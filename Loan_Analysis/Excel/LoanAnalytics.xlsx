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apare\OneDrive\Desktop\allINTERN\PROJECTS\LoanCalculator\"/>
    </mc:Choice>
  </mc:AlternateContent>
  <xr:revisionPtr revIDLastSave="0" documentId="13_ncr:1_{B8A66593-DBC4-447E-AFC2-99AB9460CB49}" xr6:coauthVersionLast="47" xr6:coauthVersionMax="47" xr10:uidLastSave="{00000000-0000-0000-0000-000000000000}"/>
  <bookViews>
    <workbookView xWindow="-108" yWindow="-108" windowWidth="23256" windowHeight="12456" activeTab="1" xr2:uid="{61BB3346-0205-4FDC-9283-CDE2954E5F30}"/>
  </bookViews>
  <sheets>
    <sheet name="PivotFields" sheetId="3" r:id="rId1"/>
    <sheet name="loandata" sheetId="2" r:id="rId2"/>
    <sheet name="Dashboard" sheetId="4" r:id="rId3"/>
    <sheet name="Summarized" sheetId="1" r:id="rId4"/>
  </sheets>
  <definedNames>
    <definedName name="Applicant_Income">loandata!$G$2:$G$530</definedName>
    <definedName name="Coapplicant_Income">loandata!$H$2:$H$530</definedName>
    <definedName name="Credit_History">loandata!$K$2:$K$530</definedName>
    <definedName name="Dependents">loandata!$D$2:$D$530</definedName>
    <definedName name="Education">loandata!$E$2:$E$530</definedName>
    <definedName name="Gender">loandata!$B$2:$B$530</definedName>
    <definedName name="IncomeLoanRatio">loandata!$P$2:$P$530</definedName>
    <definedName name="Loan_Amount">loandata!$I$2:$I$530</definedName>
    <definedName name="Loan_Amount_Term">loandata!$J$2:$J$530</definedName>
    <definedName name="Loan_ID">loandata!$A$2:$A$530</definedName>
    <definedName name="Loan_Status__Approved_Rejected">loandata!$M$2:$M$530</definedName>
    <definedName name="Loan_to_Income">loandata!$Q$2:$Q$530</definedName>
    <definedName name="LoanTable">Table2[]</definedName>
    <definedName name="Married">loandata!$C$2:$C$530</definedName>
    <definedName name="Property_Area">loandata!$L$2:$L$530</definedName>
    <definedName name="RiskCategory">loandata!$O$2:$O$530</definedName>
    <definedName name="Self_Employed">loandata!$F$2:$F$530</definedName>
    <definedName name="Slicer_Education">#N/A</definedName>
    <definedName name="Slicer_Gender">#N/A</definedName>
    <definedName name="Slicer_Married">#N/A</definedName>
    <definedName name="Slicer_RiskCategory">#N/A</definedName>
    <definedName name="Total_Income">loandata!$N$2:$N$530</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 i="1" l="1"/>
  <c r="K9" i="1"/>
  <c r="J9" i="1"/>
  <c r="J12" i="1"/>
  <c r="J11" i="1"/>
  <c r="B5" i="1"/>
  <c r="O4" i="1"/>
  <c r="P4" i="1"/>
  <c r="Q4" i="1"/>
  <c r="R4" i="1"/>
  <c r="G4" i="1"/>
  <c r="H4" i="1"/>
  <c r="I4" i="1"/>
  <c r="J4" i="1"/>
  <c r="K4" i="1"/>
  <c r="L4" i="1"/>
  <c r="M4" i="1"/>
  <c r="N4" i="1"/>
  <c r="F4" i="1"/>
  <c r="E4" i="1"/>
  <c r="D4" i="1"/>
  <c r="C4" i="1"/>
  <c r="D5" i="1"/>
  <c r="G5" i="1"/>
  <c r="H5" i="1"/>
  <c r="I5" i="1"/>
  <c r="J5" i="1"/>
  <c r="K5" i="1"/>
  <c r="L5" i="1"/>
  <c r="M5" i="1"/>
  <c r="N5" i="1"/>
  <c r="O5" i="1"/>
  <c r="P5" i="1"/>
  <c r="Q5" i="1"/>
  <c r="R5" i="1"/>
  <c r="E5" i="1"/>
  <c r="F5" i="1"/>
  <c r="C5" i="1"/>
  <c r="C26" i="1"/>
  <c r="E21" i="1"/>
  <c r="C21" i="1"/>
  <c r="G21" i="1"/>
  <c r="E26" i="1"/>
  <c r="G2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CF4EE7-46F3-452F-96B4-17D3798C38C1}" keepAlive="1" name="Query - loandata" description="Connection to the 'loandata' query in the workbook." type="5" refreshedVersion="8" background="1" saveData="1">
    <dbPr connection="Provider=Microsoft.Mashup.OleDb.1;Data Source=$Workbook$;Location=loandata;Extended Properties=&quot;&quot;" command="SELECT * FROM [loandata]"/>
  </connection>
</connections>
</file>

<file path=xl/sharedStrings.xml><?xml version="1.0" encoding="utf-8"?>
<sst xmlns="http://schemas.openxmlformats.org/spreadsheetml/2006/main" count="4330" uniqueCount="585">
  <si>
    <t>Loan_ID</t>
  </si>
  <si>
    <t>Gender</t>
  </si>
  <si>
    <t>Married</t>
  </si>
  <si>
    <t>Dependents</t>
  </si>
  <si>
    <t>Education</t>
  </si>
  <si>
    <t>Self_Employed</t>
  </si>
  <si>
    <t>Applicant_Income</t>
  </si>
  <si>
    <t>Coapplicant_Income</t>
  </si>
  <si>
    <t>Loan_Amount</t>
  </si>
  <si>
    <t>Loan_Amount_Term</t>
  </si>
  <si>
    <t>Credit_History</t>
  </si>
  <si>
    <t>Property_Area</t>
  </si>
  <si>
    <t>Loan_Status (Approved/Rejected)</t>
  </si>
  <si>
    <t>Total Income</t>
  </si>
  <si>
    <t>IncomeLoanRatio</t>
  </si>
  <si>
    <t>RiskCategory</t>
  </si>
  <si>
    <t>Loan_to_Income%</t>
  </si>
  <si>
    <t>LP001003</t>
  </si>
  <si>
    <t>Male</t>
  </si>
  <si>
    <t>Yes</t>
  </si>
  <si>
    <t>Graduate</t>
  </si>
  <si>
    <t>No</t>
  </si>
  <si>
    <t>Rural</t>
  </si>
  <si>
    <t>N</t>
  </si>
  <si>
    <t>Low Risk</t>
  </si>
  <si>
    <t>LP001005</t>
  </si>
  <si>
    <t>Urban</t>
  </si>
  <si>
    <t>Y</t>
  </si>
  <si>
    <t>LP001006</t>
  </si>
  <si>
    <t>Not Graduate</t>
  </si>
  <si>
    <t>LP001008</t>
  </si>
  <si>
    <t>LP001011</t>
  </si>
  <si>
    <t>LP001013</t>
  </si>
  <si>
    <t>LP001014</t>
  </si>
  <si>
    <t>Semiurban</t>
  </si>
  <si>
    <t>High Risk</t>
  </si>
  <si>
    <t>LP001018</t>
  </si>
  <si>
    <t>LP001020</t>
  </si>
  <si>
    <t>LP001024</t>
  </si>
  <si>
    <t>LP001027</t>
  </si>
  <si>
    <t>Not Mentioned</t>
  </si>
  <si>
    <t>LP001028</t>
  </si>
  <si>
    <t>LP001029</t>
  </si>
  <si>
    <t>LP001030</t>
  </si>
  <si>
    <t>LP001032</t>
  </si>
  <si>
    <t>LP001036</t>
  </si>
  <si>
    <t>Female</t>
  </si>
  <si>
    <t>LP001038</t>
  </si>
  <si>
    <t>LP001043</t>
  </si>
  <si>
    <t>LP001046</t>
  </si>
  <si>
    <t>LP001047</t>
  </si>
  <si>
    <t>LP001050</t>
  </si>
  <si>
    <t>LP001066</t>
  </si>
  <si>
    <t>LP001068</t>
  </si>
  <si>
    <t>LP001073</t>
  </si>
  <si>
    <t>LP001086</t>
  </si>
  <si>
    <t>LP001087</t>
  </si>
  <si>
    <t>LP001095</t>
  </si>
  <si>
    <t>LP001097</t>
  </si>
  <si>
    <t>LP001098</t>
  </si>
  <si>
    <t>LP001100</t>
  </si>
  <si>
    <t>LP001112</t>
  </si>
  <si>
    <t>LP001114</t>
  </si>
  <si>
    <t>LP001116</t>
  </si>
  <si>
    <t>LP001119</t>
  </si>
  <si>
    <t>LP001120</t>
  </si>
  <si>
    <t>LP001131</t>
  </si>
  <si>
    <t>LP001138</t>
  </si>
  <si>
    <t>LP001144</t>
  </si>
  <si>
    <t>LP001146</t>
  </si>
  <si>
    <t>LP001151</t>
  </si>
  <si>
    <t>LP001155</t>
  </si>
  <si>
    <t>LP001157</t>
  </si>
  <si>
    <t>LP001164</t>
  </si>
  <si>
    <t>LP001179</t>
  </si>
  <si>
    <t>LP001186</t>
  </si>
  <si>
    <t>LP001194</t>
  </si>
  <si>
    <t>LP001195</t>
  </si>
  <si>
    <t>LP001197</t>
  </si>
  <si>
    <t>LP001198</t>
  </si>
  <si>
    <t>LP001199</t>
  </si>
  <si>
    <t>LP001205</t>
  </si>
  <si>
    <t>LP001206</t>
  </si>
  <si>
    <t>LP001207</t>
  </si>
  <si>
    <t>LP001222</t>
  </si>
  <si>
    <t>LP001225</t>
  </si>
  <si>
    <t>LP001228</t>
  </si>
  <si>
    <t>LP001233</t>
  </si>
  <si>
    <t>LP001238</t>
  </si>
  <si>
    <t>LP001241</t>
  </si>
  <si>
    <t>LP001243</t>
  </si>
  <si>
    <t>LP001245</t>
  </si>
  <si>
    <t>LP001248</t>
  </si>
  <si>
    <t>LP001253</t>
  </si>
  <si>
    <t>LP001255</t>
  </si>
  <si>
    <t>LP001256</t>
  </si>
  <si>
    <t>LP001259</t>
  </si>
  <si>
    <t>LP001263</t>
  </si>
  <si>
    <t>LP001265</t>
  </si>
  <si>
    <t>LP001267</t>
  </si>
  <si>
    <t>LP001275</t>
  </si>
  <si>
    <t>LP001279</t>
  </si>
  <si>
    <t>LP001282</t>
  </si>
  <si>
    <t>LP001289</t>
  </si>
  <si>
    <t>LP001310</t>
  </si>
  <si>
    <t>LP001316</t>
  </si>
  <si>
    <t>LP001318</t>
  </si>
  <si>
    <t>LP001319</t>
  </si>
  <si>
    <t>LP001322</t>
  </si>
  <si>
    <t>LP001325</t>
  </si>
  <si>
    <t>LP001327</t>
  </si>
  <si>
    <t>LP001333</t>
  </si>
  <si>
    <t>LP001334</t>
  </si>
  <si>
    <t>LP001343</t>
  </si>
  <si>
    <t>LP001345</t>
  </si>
  <si>
    <t>LP001349</t>
  </si>
  <si>
    <t>LP001357</t>
  </si>
  <si>
    <t>LP001367</t>
  </si>
  <si>
    <t>LP001369</t>
  </si>
  <si>
    <t>LP001370</t>
  </si>
  <si>
    <t>LP001379</t>
  </si>
  <si>
    <t>LP001384</t>
  </si>
  <si>
    <t>LP001385</t>
  </si>
  <si>
    <t>LP001387</t>
  </si>
  <si>
    <t>LP001398</t>
  </si>
  <si>
    <t>LP001401</t>
  </si>
  <si>
    <t>LP001404</t>
  </si>
  <si>
    <t>LP001421</t>
  </si>
  <si>
    <t>LP001422</t>
  </si>
  <si>
    <t>LP001426</t>
  </si>
  <si>
    <t>LP001430</t>
  </si>
  <si>
    <t>LP001431</t>
  </si>
  <si>
    <t>LP001432</t>
  </si>
  <si>
    <t>LP001439</t>
  </si>
  <si>
    <t>LP001448</t>
  </si>
  <si>
    <t>LP001451</t>
  </si>
  <si>
    <t>LP001473</t>
  </si>
  <si>
    <t>LP001478</t>
  </si>
  <si>
    <t>LP001482</t>
  </si>
  <si>
    <t>LP001487</t>
  </si>
  <si>
    <t>LP001488</t>
  </si>
  <si>
    <t>LP001489</t>
  </si>
  <si>
    <t>LP001491</t>
  </si>
  <si>
    <t>LP001492</t>
  </si>
  <si>
    <t>LP001493</t>
  </si>
  <si>
    <t>LP001497</t>
  </si>
  <si>
    <t>LP001498</t>
  </si>
  <si>
    <t>LP001504</t>
  </si>
  <si>
    <t>LP001507</t>
  </si>
  <si>
    <t>LP001508</t>
  </si>
  <si>
    <t>LP001514</t>
  </si>
  <si>
    <t>LP001516</t>
  </si>
  <si>
    <t>LP001518</t>
  </si>
  <si>
    <t>LP001519</t>
  </si>
  <si>
    <t>LP001520</t>
  </si>
  <si>
    <t>LP001528</t>
  </si>
  <si>
    <t>LP001529</t>
  </si>
  <si>
    <t>LP001531</t>
  </si>
  <si>
    <t>LP001532</t>
  </si>
  <si>
    <t>LP001535</t>
  </si>
  <si>
    <t>LP001536</t>
  </si>
  <si>
    <t>LP001543</t>
  </si>
  <si>
    <t>LP001546</t>
  </si>
  <si>
    <t>LP001552</t>
  </si>
  <si>
    <t>LP001560</t>
  </si>
  <si>
    <t>LP001562</t>
  </si>
  <si>
    <t>LP001565</t>
  </si>
  <si>
    <t>LP001570</t>
  </si>
  <si>
    <t>LP001572</t>
  </si>
  <si>
    <t>LP001577</t>
  </si>
  <si>
    <t>LP001578</t>
  </si>
  <si>
    <t>LP001579</t>
  </si>
  <si>
    <t>LP001580</t>
  </si>
  <si>
    <t>LP001581</t>
  </si>
  <si>
    <t>LP001585</t>
  </si>
  <si>
    <t>LP001586</t>
  </si>
  <si>
    <t>LP001594</t>
  </si>
  <si>
    <t>LP001603</t>
  </si>
  <si>
    <t>LP001606</t>
  </si>
  <si>
    <t>LP001608</t>
  </si>
  <si>
    <t>LP001610</t>
  </si>
  <si>
    <t>LP001616</t>
  </si>
  <si>
    <t>LP001630</t>
  </si>
  <si>
    <t>LP001633</t>
  </si>
  <si>
    <t>LP001636</t>
  </si>
  <si>
    <t>LP001637</t>
  </si>
  <si>
    <t>LP001639</t>
  </si>
  <si>
    <t>LP001640</t>
  </si>
  <si>
    <t>LP001641</t>
  </si>
  <si>
    <t>LP001644</t>
  </si>
  <si>
    <t>LP001647</t>
  </si>
  <si>
    <t>LP001653</t>
  </si>
  <si>
    <t>LP001656</t>
  </si>
  <si>
    <t>LP001657</t>
  </si>
  <si>
    <t>LP001658</t>
  </si>
  <si>
    <t>LP001664</t>
  </si>
  <si>
    <t>LP001665</t>
  </si>
  <si>
    <t>LP001666</t>
  </si>
  <si>
    <t>LP001673</t>
  </si>
  <si>
    <t>LP001674</t>
  </si>
  <si>
    <t>LP001677</t>
  </si>
  <si>
    <t>LP001688</t>
  </si>
  <si>
    <t>LP001691</t>
  </si>
  <si>
    <t>LP001692</t>
  </si>
  <si>
    <t>LP001693</t>
  </si>
  <si>
    <t>LP001698</t>
  </si>
  <si>
    <t>LP001699</t>
  </si>
  <si>
    <t>LP001702</t>
  </si>
  <si>
    <t>LP001708</t>
  </si>
  <si>
    <t>LP001711</t>
  </si>
  <si>
    <t>LP001713</t>
  </si>
  <si>
    <t>LP001715</t>
  </si>
  <si>
    <t>LP001716</t>
  </si>
  <si>
    <t>LP001720</t>
  </si>
  <si>
    <t>LP001722</t>
  </si>
  <si>
    <t>LP001726</t>
  </si>
  <si>
    <t>LP001732</t>
  </si>
  <si>
    <t>LP001736</t>
  </si>
  <si>
    <t>LP001743</t>
  </si>
  <si>
    <t>LP001744</t>
  </si>
  <si>
    <t>LP001750</t>
  </si>
  <si>
    <t>LP001751</t>
  </si>
  <si>
    <t>LP001754</t>
  </si>
  <si>
    <t>LP001758</t>
  </si>
  <si>
    <t>LP001760</t>
  </si>
  <si>
    <t>LP001761</t>
  </si>
  <si>
    <t>LP001765</t>
  </si>
  <si>
    <t>LP001768</t>
  </si>
  <si>
    <t>LP001776</t>
  </si>
  <si>
    <t>LP001778</t>
  </si>
  <si>
    <t>LP001784</t>
  </si>
  <si>
    <t>LP001790</t>
  </si>
  <si>
    <t>LP001792</t>
  </si>
  <si>
    <t>LP001798</t>
  </si>
  <si>
    <t>LP001800</t>
  </si>
  <si>
    <t>LP001806</t>
  </si>
  <si>
    <t>LP001807</t>
  </si>
  <si>
    <t>LP001811</t>
  </si>
  <si>
    <t>LP001813</t>
  </si>
  <si>
    <t>LP001814</t>
  </si>
  <si>
    <t>LP001819</t>
  </si>
  <si>
    <t>LP001824</t>
  </si>
  <si>
    <t>LP001825</t>
  </si>
  <si>
    <t>LP001835</t>
  </si>
  <si>
    <t>LP001836</t>
  </si>
  <si>
    <t>LP001841</t>
  </si>
  <si>
    <t>LP001843</t>
  </si>
  <si>
    <t>LP001844</t>
  </si>
  <si>
    <t>LP001846</t>
  </si>
  <si>
    <t>LP001849</t>
  </si>
  <si>
    <t>LP001854</t>
  </si>
  <si>
    <t>LP001859</t>
  </si>
  <si>
    <t>LP001868</t>
  </si>
  <si>
    <t>LP001870</t>
  </si>
  <si>
    <t>LP001871</t>
  </si>
  <si>
    <t>LP001872</t>
  </si>
  <si>
    <t>LP001875</t>
  </si>
  <si>
    <t>LP001877</t>
  </si>
  <si>
    <t>LP001882</t>
  </si>
  <si>
    <t>LP001883</t>
  </si>
  <si>
    <t>LP001884</t>
  </si>
  <si>
    <t>LP001888</t>
  </si>
  <si>
    <t>LP001891</t>
  </si>
  <si>
    <t>LP001892</t>
  </si>
  <si>
    <t>LP001894</t>
  </si>
  <si>
    <t>LP001896</t>
  </si>
  <si>
    <t>LP001900</t>
  </si>
  <si>
    <t>LP001903</t>
  </si>
  <si>
    <t>LP001904</t>
  </si>
  <si>
    <t>LP001907</t>
  </si>
  <si>
    <t>LP001910</t>
  </si>
  <si>
    <t>LP001914</t>
  </si>
  <si>
    <t>LP001915</t>
  </si>
  <si>
    <t>LP001917</t>
  </si>
  <si>
    <t>LP001924</t>
  </si>
  <si>
    <t>LP001925</t>
  </si>
  <si>
    <t>LP001926</t>
  </si>
  <si>
    <t>LP001931</t>
  </si>
  <si>
    <t>LP001935</t>
  </si>
  <si>
    <t>LP001936</t>
  </si>
  <si>
    <t>LP001938</t>
  </si>
  <si>
    <t>LP001940</t>
  </si>
  <si>
    <t>LP001945</t>
  </si>
  <si>
    <t>LP001947</t>
  </si>
  <si>
    <t>LP001949</t>
  </si>
  <si>
    <t>LP001953</t>
  </si>
  <si>
    <t>LP001954</t>
  </si>
  <si>
    <t>LP001955</t>
  </si>
  <si>
    <t>LP001963</t>
  </si>
  <si>
    <t>LP001964</t>
  </si>
  <si>
    <t>LP001972</t>
  </si>
  <si>
    <t>LP001974</t>
  </si>
  <si>
    <t>LP001977</t>
  </si>
  <si>
    <t>LP001978</t>
  </si>
  <si>
    <t>LP001993</t>
  </si>
  <si>
    <t>LP001994</t>
  </si>
  <si>
    <t>LP001996</t>
  </si>
  <si>
    <t>LP002002</t>
  </si>
  <si>
    <t>LP002004</t>
  </si>
  <si>
    <t>LP002006</t>
  </si>
  <si>
    <t>LP002024</t>
  </si>
  <si>
    <t>LP002031</t>
  </si>
  <si>
    <t>LP002035</t>
  </si>
  <si>
    <t>LP002050</t>
  </si>
  <si>
    <t>LP002051</t>
  </si>
  <si>
    <t>LP002053</t>
  </si>
  <si>
    <t>LP002065</t>
  </si>
  <si>
    <t>LP002067</t>
  </si>
  <si>
    <t>LP002068</t>
  </si>
  <si>
    <t>LP002082</t>
  </si>
  <si>
    <t>LP002086</t>
  </si>
  <si>
    <t>LP002087</t>
  </si>
  <si>
    <t>LP002097</t>
  </si>
  <si>
    <t>LP002098</t>
  </si>
  <si>
    <t>LP002100</t>
  </si>
  <si>
    <t>LP002101</t>
  </si>
  <si>
    <t>LP002103</t>
  </si>
  <si>
    <t>LP002110</t>
  </si>
  <si>
    <t>LP002112</t>
  </si>
  <si>
    <t>LP002114</t>
  </si>
  <si>
    <t>LP002115</t>
  </si>
  <si>
    <t>LP002116</t>
  </si>
  <si>
    <t>LP002119</t>
  </si>
  <si>
    <t>LP002126</t>
  </si>
  <si>
    <t>LP002128</t>
  </si>
  <si>
    <t>LP002129</t>
  </si>
  <si>
    <t>LP002130</t>
  </si>
  <si>
    <t>LP002131</t>
  </si>
  <si>
    <t>LP002138</t>
  </si>
  <si>
    <t>LP002139</t>
  </si>
  <si>
    <t>LP002140</t>
  </si>
  <si>
    <t>LP002141</t>
  </si>
  <si>
    <t>LP002142</t>
  </si>
  <si>
    <t>LP002143</t>
  </si>
  <si>
    <t>LP002144</t>
  </si>
  <si>
    <t>LP002149</t>
  </si>
  <si>
    <t>LP002151</t>
  </si>
  <si>
    <t>LP002158</t>
  </si>
  <si>
    <t>LP002160</t>
  </si>
  <si>
    <t>LP002161</t>
  </si>
  <si>
    <t>LP002170</t>
  </si>
  <si>
    <t>LP002175</t>
  </si>
  <si>
    <t>LP002180</t>
  </si>
  <si>
    <t>LP002181</t>
  </si>
  <si>
    <t>LP002187</t>
  </si>
  <si>
    <t>LP002190</t>
  </si>
  <si>
    <t>LP002191</t>
  </si>
  <si>
    <t>LP002194</t>
  </si>
  <si>
    <t>LP002197</t>
  </si>
  <si>
    <t>LP002201</t>
  </si>
  <si>
    <t>LP002205</t>
  </si>
  <si>
    <t>LP002209</t>
  </si>
  <si>
    <t>LP002211</t>
  </si>
  <si>
    <t>LP002219</t>
  </si>
  <si>
    <t>LP002224</t>
  </si>
  <si>
    <t>LP002225</t>
  </si>
  <si>
    <t>LP002226</t>
  </si>
  <si>
    <t>LP002229</t>
  </si>
  <si>
    <t>LP002231</t>
  </si>
  <si>
    <t>LP002234</t>
  </si>
  <si>
    <t>LP002236</t>
  </si>
  <si>
    <t>LP002237</t>
  </si>
  <si>
    <t>LP002239</t>
  </si>
  <si>
    <t>LP002244</t>
  </si>
  <si>
    <t>LP002250</t>
  </si>
  <si>
    <t>LP002255</t>
  </si>
  <si>
    <t>LP002262</t>
  </si>
  <si>
    <t>LP002265</t>
  </si>
  <si>
    <t>LP002266</t>
  </si>
  <si>
    <t>LP002277</t>
  </si>
  <si>
    <t>LP002281</t>
  </si>
  <si>
    <t>LP002284</t>
  </si>
  <si>
    <t>LP002287</t>
  </si>
  <si>
    <t>LP002288</t>
  </si>
  <si>
    <t>LP002296</t>
  </si>
  <si>
    <t>LP002297</t>
  </si>
  <si>
    <t>LP002300</t>
  </si>
  <si>
    <t>LP002301</t>
  </si>
  <si>
    <t>LP002305</t>
  </si>
  <si>
    <t>LP002308</t>
  </si>
  <si>
    <t>LP002314</t>
  </si>
  <si>
    <t>LP002315</t>
  </si>
  <si>
    <t>LP002317</t>
  </si>
  <si>
    <t>LP002318</t>
  </si>
  <si>
    <t>LP002328</t>
  </si>
  <si>
    <t>LP002332</t>
  </si>
  <si>
    <t>LP002335</t>
  </si>
  <si>
    <t>LP002337</t>
  </si>
  <si>
    <t>LP002341</t>
  </si>
  <si>
    <t>LP002342</t>
  </si>
  <si>
    <t>LP002345</t>
  </si>
  <si>
    <t>LP002347</t>
  </si>
  <si>
    <t>LP002348</t>
  </si>
  <si>
    <t>LP002361</t>
  </si>
  <si>
    <t>LP002364</t>
  </si>
  <si>
    <t>LP002366</t>
  </si>
  <si>
    <t>LP002367</t>
  </si>
  <si>
    <t>LP002368</t>
  </si>
  <si>
    <t>LP002369</t>
  </si>
  <si>
    <t>LP002370</t>
  </si>
  <si>
    <t>LP002377</t>
  </si>
  <si>
    <t>LP002379</t>
  </si>
  <si>
    <t>LP002386</t>
  </si>
  <si>
    <t>LP002387</t>
  </si>
  <si>
    <t>LP002390</t>
  </si>
  <si>
    <t>LP002398</t>
  </si>
  <si>
    <t>LP002403</t>
  </si>
  <si>
    <t>LP002407</t>
  </si>
  <si>
    <t>LP002408</t>
  </si>
  <si>
    <t>LP002409</t>
  </si>
  <si>
    <t>LP002418</t>
  </si>
  <si>
    <t>LP002422</t>
  </si>
  <si>
    <t>LP002429</t>
  </si>
  <si>
    <t>LP002434</t>
  </si>
  <si>
    <t>LP002435</t>
  </si>
  <si>
    <t>LP002443</t>
  </si>
  <si>
    <t>LP002446</t>
  </si>
  <si>
    <t>LP002448</t>
  </si>
  <si>
    <t>LP002449</t>
  </si>
  <si>
    <t>LP002453</t>
  </si>
  <si>
    <t>LP002455</t>
  </si>
  <si>
    <t>LP002459</t>
  </si>
  <si>
    <t>LP002467</t>
  </si>
  <si>
    <t>LP002472</t>
  </si>
  <si>
    <t>LP002473</t>
  </si>
  <si>
    <t>LP002484</t>
  </si>
  <si>
    <t>LP002487</t>
  </si>
  <si>
    <t>LP002489</t>
  </si>
  <si>
    <t>LP002493</t>
  </si>
  <si>
    <t>LP002494</t>
  </si>
  <si>
    <t>LP002500</t>
  </si>
  <si>
    <t>LP002501</t>
  </si>
  <si>
    <t>LP002502</t>
  </si>
  <si>
    <t>LP002505</t>
  </si>
  <si>
    <t>LP002515</t>
  </si>
  <si>
    <t>LP002517</t>
  </si>
  <si>
    <t>LP002519</t>
  </si>
  <si>
    <t>LP002524</t>
  </si>
  <si>
    <t>LP002527</t>
  </si>
  <si>
    <t>LP002529</t>
  </si>
  <si>
    <t>LP002530</t>
  </si>
  <si>
    <t>LP002531</t>
  </si>
  <si>
    <t>LP002534</t>
  </si>
  <si>
    <t>LP002536</t>
  </si>
  <si>
    <t>LP002537</t>
  </si>
  <si>
    <t>LP002541</t>
  </si>
  <si>
    <t>LP002543</t>
  </si>
  <si>
    <t>LP002544</t>
  </si>
  <si>
    <t>LP002545</t>
  </si>
  <si>
    <t>LP002547</t>
  </si>
  <si>
    <t>LP002555</t>
  </si>
  <si>
    <t>LP002556</t>
  </si>
  <si>
    <t>LP002571</t>
  </si>
  <si>
    <t>LP002582</t>
  </si>
  <si>
    <t>LP002585</t>
  </si>
  <si>
    <t>LP002586</t>
  </si>
  <si>
    <t>LP002587</t>
  </si>
  <si>
    <t>LP002600</t>
  </si>
  <si>
    <t>LP002602</t>
  </si>
  <si>
    <t>LP002603</t>
  </si>
  <si>
    <t>LP002606</t>
  </si>
  <si>
    <t>LP002615</t>
  </si>
  <si>
    <t>LP002619</t>
  </si>
  <si>
    <t>LP002622</t>
  </si>
  <si>
    <t>LP002625</t>
  </si>
  <si>
    <t>LP002626</t>
  </si>
  <si>
    <t>LP002634</t>
  </si>
  <si>
    <t>LP002637</t>
  </si>
  <si>
    <t>LP002640</t>
  </si>
  <si>
    <t>LP002643</t>
  </si>
  <si>
    <t>LP002648</t>
  </si>
  <si>
    <t>LP002652</t>
  </si>
  <si>
    <t>LP002659</t>
  </si>
  <si>
    <t>LP002670</t>
  </si>
  <si>
    <t>LP002682</t>
  </si>
  <si>
    <t>LP002683</t>
  </si>
  <si>
    <t>LP002684</t>
  </si>
  <si>
    <t>LP002689</t>
  </si>
  <si>
    <t>LP002690</t>
  </si>
  <si>
    <t>LP002692</t>
  </si>
  <si>
    <t>LP002693</t>
  </si>
  <si>
    <t>LP002699</t>
  </si>
  <si>
    <t>LP002705</t>
  </si>
  <si>
    <t>LP002706</t>
  </si>
  <si>
    <t>LP002714</t>
  </si>
  <si>
    <t>LP002716</t>
  </si>
  <si>
    <t>LP002720</t>
  </si>
  <si>
    <t>LP002723</t>
  </si>
  <si>
    <t>LP002731</t>
  </si>
  <si>
    <t>LP002732</t>
  </si>
  <si>
    <t>LP002734</t>
  </si>
  <si>
    <t>LP002738</t>
  </si>
  <si>
    <t>LP002739</t>
  </si>
  <si>
    <t>LP002740</t>
  </si>
  <si>
    <t>LP002741</t>
  </si>
  <si>
    <t>LP002743</t>
  </si>
  <si>
    <t>LP002753</t>
  </si>
  <si>
    <t>LP002755</t>
  </si>
  <si>
    <t>LP002767</t>
  </si>
  <si>
    <t>LP002768</t>
  </si>
  <si>
    <t>LP002772</t>
  </si>
  <si>
    <t>LP002776</t>
  </si>
  <si>
    <t>LP002777</t>
  </si>
  <si>
    <t>LP002785</t>
  </si>
  <si>
    <t>LP002788</t>
  </si>
  <si>
    <t>LP002789</t>
  </si>
  <si>
    <t>LP002792</t>
  </si>
  <si>
    <t>LP002795</t>
  </si>
  <si>
    <t>LP002798</t>
  </si>
  <si>
    <t>LP002804</t>
  </si>
  <si>
    <t>LP002807</t>
  </si>
  <si>
    <t>LP002813</t>
  </si>
  <si>
    <t>LP002820</t>
  </si>
  <si>
    <t>LP002821</t>
  </si>
  <si>
    <t>LP002832</t>
  </si>
  <si>
    <t>LP002836</t>
  </si>
  <si>
    <t>LP002837</t>
  </si>
  <si>
    <t>LP002840</t>
  </si>
  <si>
    <t>LP002841</t>
  </si>
  <si>
    <t>LP002842</t>
  </si>
  <si>
    <t>LP002847</t>
  </si>
  <si>
    <t>LP002855</t>
  </si>
  <si>
    <t>LP002862</t>
  </si>
  <si>
    <t>LP002863</t>
  </si>
  <si>
    <t>LP002868</t>
  </si>
  <si>
    <t>LP002872</t>
  </si>
  <si>
    <t>LP002874</t>
  </si>
  <si>
    <t>LP002877</t>
  </si>
  <si>
    <t>LP002888</t>
  </si>
  <si>
    <t>LP002892</t>
  </si>
  <si>
    <t>LP002893</t>
  </si>
  <si>
    <t>LP002894</t>
  </si>
  <si>
    <t>LP002911</t>
  </si>
  <si>
    <t>LP002912</t>
  </si>
  <si>
    <t>LP002916</t>
  </si>
  <si>
    <t>LP002917</t>
  </si>
  <si>
    <t>LP002925</t>
  </si>
  <si>
    <t>LP002926</t>
  </si>
  <si>
    <t>LP002928</t>
  </si>
  <si>
    <t>LP002931</t>
  </si>
  <si>
    <t>LP002933</t>
  </si>
  <si>
    <t>LP002936</t>
  </si>
  <si>
    <t>LP002938</t>
  </si>
  <si>
    <t>LP002940</t>
  </si>
  <si>
    <t>LP002941</t>
  </si>
  <si>
    <t>LP002943</t>
  </si>
  <si>
    <t>LP002945</t>
  </si>
  <si>
    <t>LP002948</t>
  </si>
  <si>
    <t>LP002950</t>
  </si>
  <si>
    <t>LP002953</t>
  </si>
  <si>
    <t>LP002958</t>
  </si>
  <si>
    <t>LP002959</t>
  </si>
  <si>
    <t>LP002961</t>
  </si>
  <si>
    <t>LP002964</t>
  </si>
  <si>
    <t>LP002974</t>
  </si>
  <si>
    <t>LP002978</t>
  </si>
  <si>
    <t>LP002979</t>
  </si>
  <si>
    <t>LP002983</t>
  </si>
  <si>
    <t>LP002984</t>
  </si>
  <si>
    <t>LP002990</t>
  </si>
  <si>
    <t>Row Labels</t>
  </si>
  <si>
    <t>Grand Total</t>
  </si>
  <si>
    <t>Count of Loan_Status (Y/N)</t>
  </si>
  <si>
    <t>Sum of Loan_Amount</t>
  </si>
  <si>
    <t>Marritial Status</t>
  </si>
  <si>
    <t>LoanAmount Average</t>
  </si>
  <si>
    <t>Loan Approval %</t>
  </si>
  <si>
    <t xml:space="preserve">Education Based Loan Approval </t>
  </si>
  <si>
    <t>Avg Loan Amount by Property Area</t>
  </si>
  <si>
    <t>KPI's</t>
  </si>
  <si>
    <t>Total Applicants</t>
  </si>
  <si>
    <t>Count of Loan_Amount_Term</t>
  </si>
  <si>
    <t>column</t>
  </si>
  <si>
    <t>row</t>
  </si>
  <si>
    <t>Gender Wise Loan Approval</t>
  </si>
  <si>
    <t>Risk Factors</t>
  </si>
  <si>
    <t>Avg Income</t>
  </si>
  <si>
    <t>LoanRatio</t>
  </si>
  <si>
    <t>Average Loan</t>
  </si>
  <si>
    <t>Various Loan Terms</t>
  </si>
  <si>
    <t>Max of Loan_Amount</t>
  </si>
  <si>
    <t>Min of Loan_Amount</t>
  </si>
  <si>
    <t>Max of Loan_Amount_Term</t>
  </si>
  <si>
    <t>Sum of Total Income</t>
  </si>
  <si>
    <t>Bank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</si>
</sst>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Red]#,##0.00"/>
    <numFmt numFmtId="165" formatCode="0.00;[Red]0.00"/>
    <numFmt numFmtId="166" formatCode="&quot;₹&quot;\ #,##0.00;[Red]&quot;₹&quot;\ #,##0.00"/>
    <numFmt numFmtId="167" formatCode="#,##0;[Red]#,##0"/>
  </numFmts>
  <fonts count="7">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1"/>
      <color theme="0" tint="-0.34998626667073579"/>
      <name val="Calibri"/>
      <family val="2"/>
      <scheme val="minor"/>
    </font>
    <font>
      <sz val="10"/>
      <color theme="1"/>
      <name val="Arial Unicode MS"/>
    </font>
    <font>
      <sz val="11"/>
      <color theme="0" tint="-0.499984740745262"/>
      <name val="Calibri"/>
      <family val="2"/>
      <scheme val="minor"/>
    </font>
  </fonts>
  <fills count="11">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249977111117893"/>
        <bgColor indexed="64"/>
      </patternFill>
    </fill>
    <fill>
      <patternFill patternType="solid">
        <fgColor theme="6" tint="0.79998168889431442"/>
        <bgColor indexed="64"/>
      </patternFill>
    </fill>
    <fill>
      <patternFill patternType="solid">
        <fgColor theme="4"/>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8"/>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theme="9" tint="0.3999755851924192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76">
    <xf numFmtId="0" fontId="0" fillId="0" borderId="0" xfId="0"/>
    <xf numFmtId="0" fontId="0" fillId="0" borderId="6" xfId="0" applyBorder="1"/>
    <xf numFmtId="0" fontId="0" fillId="0" borderId="5" xfId="0" applyBorder="1"/>
    <xf numFmtId="0" fontId="0" fillId="0" borderId="7" xfId="0" applyBorder="1"/>
    <xf numFmtId="0" fontId="0" fillId="0" borderId="8" xfId="0" applyBorder="1"/>
    <xf numFmtId="0" fontId="0" fillId="0" borderId="9" xfId="0" applyBorder="1"/>
    <xf numFmtId="10" fontId="0" fillId="0" borderId="5" xfId="0" applyNumberFormat="1" applyBorder="1"/>
    <xf numFmtId="0" fontId="0" fillId="0" borderId="0" xfId="0" applyAlignment="1">
      <alignment wrapText="1"/>
    </xf>
    <xf numFmtId="0" fontId="0" fillId="0" borderId="3" xfId="0" applyBorder="1"/>
    <xf numFmtId="0" fontId="0" fillId="0" borderId="4" xfId="0" applyBorder="1"/>
    <xf numFmtId="10" fontId="0" fillId="0" borderId="6" xfId="0" applyNumberFormat="1" applyBorder="1"/>
    <xf numFmtId="10" fontId="0" fillId="0" borderId="8" xfId="0" applyNumberFormat="1" applyBorder="1"/>
    <xf numFmtId="10" fontId="0" fillId="0" borderId="9" xfId="0" applyNumberFormat="1" applyBorder="1"/>
    <xf numFmtId="10" fontId="0" fillId="0" borderId="2" xfId="0" applyNumberFormat="1" applyBorder="1"/>
    <xf numFmtId="10" fontId="0" fillId="0" borderId="3" xfId="0" applyNumberFormat="1" applyBorder="1"/>
    <xf numFmtId="10" fontId="0" fillId="0" borderId="4" xfId="0" applyNumberFormat="1" applyBorder="1"/>
    <xf numFmtId="10" fontId="0" fillId="0" borderId="7" xfId="0" applyNumberFormat="1" applyBorder="1"/>
    <xf numFmtId="0" fontId="0" fillId="0" borderId="1" xfId="0" pivotButton="1" applyBorder="1"/>
    <xf numFmtId="0" fontId="0" fillId="0" borderId="10" xfId="0" applyBorder="1"/>
    <xf numFmtId="0" fontId="0" fillId="0" borderId="11" xfId="0" applyBorder="1"/>
    <xf numFmtId="0" fontId="0" fillId="0" borderId="12" xfId="0" applyBorder="1"/>
    <xf numFmtId="0" fontId="0" fillId="0" borderId="13" xfId="0"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0" fillId="0" borderId="1" xfId="0" applyBorder="1" applyAlignment="1">
      <alignment horizontal="left"/>
    </xf>
    <xf numFmtId="0" fontId="0" fillId="0" borderId="1" xfId="0" applyBorder="1"/>
    <xf numFmtId="165" fontId="0" fillId="0" borderId="14" xfId="0" applyNumberFormat="1" applyBorder="1"/>
    <xf numFmtId="165" fontId="0" fillId="0" borderId="15" xfId="0" applyNumberFormat="1" applyBorder="1"/>
    <xf numFmtId="0" fontId="0" fillId="0" borderId="15" xfId="0" pivotButton="1" applyBorder="1"/>
    <xf numFmtId="0" fontId="0" fillId="0" borderId="15" xfId="0" applyBorder="1"/>
    <xf numFmtId="0" fontId="0" fillId="0" borderId="2" xfId="0" applyBorder="1"/>
    <xf numFmtId="0" fontId="0" fillId="3" borderId="16" xfId="0" applyFill="1" applyBorder="1"/>
    <xf numFmtId="9" fontId="0" fillId="3" borderId="16" xfId="1" applyFont="1" applyFill="1" applyBorder="1"/>
    <xf numFmtId="0" fontId="0" fillId="0" borderId="16" xfId="0" applyBorder="1"/>
    <xf numFmtId="9" fontId="0" fillId="0" borderId="16" xfId="1" applyFont="1" applyBorder="1"/>
    <xf numFmtId="0" fontId="2" fillId="2" borderId="0" xfId="0" applyFont="1" applyFill="1"/>
    <xf numFmtId="0" fontId="0" fillId="0" borderId="17" xfId="0" applyBorder="1"/>
    <xf numFmtId="0" fontId="2" fillId="2" borderId="17" xfId="0" applyFont="1" applyFill="1" applyBorder="1"/>
    <xf numFmtId="0" fontId="2" fillId="2" borderId="17" xfId="0" applyFont="1" applyFill="1" applyBorder="1" applyAlignment="1">
      <alignment wrapText="1"/>
    </xf>
    <xf numFmtId="0" fontId="4" fillId="5" borderId="17" xfId="0" applyFont="1" applyFill="1" applyBorder="1"/>
    <xf numFmtId="0" fontId="4" fillId="5" borderId="17" xfId="0" applyFont="1" applyFill="1" applyBorder="1" applyAlignment="1">
      <alignment wrapText="1"/>
    </xf>
    <xf numFmtId="0" fontId="2" fillId="2" borderId="18" xfId="0" applyFont="1" applyFill="1" applyBorder="1"/>
    <xf numFmtId="0" fontId="0" fillId="0" borderId="10" xfId="0" pivotButton="1" applyBorder="1"/>
    <xf numFmtId="0" fontId="5" fillId="0" borderId="0" xfId="0" applyFont="1" applyAlignment="1">
      <alignment vertical="center" wrapText="1"/>
    </xf>
    <xf numFmtId="0" fontId="3" fillId="7" borderId="0" xfId="0" applyFont="1" applyFill="1"/>
    <xf numFmtId="164" fontId="0" fillId="0" borderId="8" xfId="0" applyNumberFormat="1" applyBorder="1"/>
    <xf numFmtId="164" fontId="0" fillId="0" borderId="5" xfId="0" applyNumberFormat="1" applyBorder="1"/>
    <xf numFmtId="164" fontId="0" fillId="0" borderId="7" xfId="0" applyNumberFormat="1" applyBorder="1"/>
    <xf numFmtId="0" fontId="2" fillId="2" borderId="19" xfId="0" applyFont="1" applyFill="1" applyBorder="1"/>
    <xf numFmtId="0" fontId="0" fillId="8" borderId="20" xfId="0" applyFill="1" applyBorder="1"/>
    <xf numFmtId="0" fontId="0" fillId="8" borderId="9" xfId="0" applyFill="1" applyBorder="1"/>
    <xf numFmtId="0" fontId="5" fillId="0" borderId="0" xfId="0" applyFont="1"/>
    <xf numFmtId="0" fontId="0" fillId="0" borderId="1" xfId="0" applyBorder="1" applyAlignment="1">
      <alignment horizontal="left" vertical="top" wrapText="1"/>
    </xf>
    <xf numFmtId="0" fontId="0" fillId="0" borderId="1" xfId="0" applyBorder="1" applyAlignment="1">
      <alignment horizontal="left" vertical="center" wrapText="1"/>
    </xf>
    <xf numFmtId="0" fontId="0" fillId="10" borderId="12" xfId="0" applyFill="1" applyBorder="1"/>
    <xf numFmtId="0" fontId="0" fillId="10" borderId="1" xfId="0" applyFill="1" applyBorder="1"/>
    <xf numFmtId="0" fontId="4" fillId="9" borderId="17" xfId="0" applyFont="1" applyFill="1" applyBorder="1"/>
    <xf numFmtId="0" fontId="0" fillId="9" borderId="17" xfId="0" applyFill="1" applyBorder="1"/>
    <xf numFmtId="0" fontId="6" fillId="7" borderId="17" xfId="0" applyFont="1" applyFill="1" applyBorder="1"/>
    <xf numFmtId="0" fontId="0" fillId="0" borderId="1" xfId="0" applyBorder="1" applyAlignment="1">
      <alignment wrapText="1"/>
    </xf>
    <xf numFmtId="166" fontId="0" fillId="0" borderId="13" xfId="0" applyNumberFormat="1" applyBorder="1"/>
    <xf numFmtId="166" fontId="0" fillId="0" borderId="14" xfId="0" applyNumberFormat="1" applyBorder="1"/>
    <xf numFmtId="166" fontId="0" fillId="0" borderId="15" xfId="0" applyNumberFormat="1" applyBorder="1"/>
    <xf numFmtId="167" fontId="0" fillId="0" borderId="15" xfId="0" applyNumberFormat="1" applyBorder="1"/>
    <xf numFmtId="167" fontId="0" fillId="0" borderId="1" xfId="0" applyNumberFormat="1" applyBorder="1"/>
    <xf numFmtId="164" fontId="0" fillId="0" borderId="0" xfId="0" applyNumberFormat="1"/>
    <xf numFmtId="10" fontId="0" fillId="0" borderId="0" xfId="0" applyNumberFormat="1"/>
    <xf numFmtId="0" fontId="0" fillId="0" borderId="13" xfId="0" applyBorder="1"/>
    <xf numFmtId="0" fontId="0" fillId="0" borderId="14" xfId="0" applyBorder="1"/>
    <xf numFmtId="0" fontId="0" fillId="10" borderId="10" xfId="0" applyFill="1" applyBorder="1"/>
    <xf numFmtId="0" fontId="3" fillId="4" borderId="10" xfId="0" applyFont="1" applyFill="1" applyBorder="1" applyAlignment="1">
      <alignment horizontal="center"/>
    </xf>
    <xf numFmtId="0" fontId="3" fillId="4" borderId="11" xfId="0" applyFont="1" applyFill="1" applyBorder="1" applyAlignment="1">
      <alignment horizontal="center"/>
    </xf>
    <xf numFmtId="0" fontId="3" fillId="4" borderId="12" xfId="0" applyFont="1" applyFill="1" applyBorder="1" applyAlignment="1">
      <alignment horizontal="center"/>
    </xf>
    <xf numFmtId="0" fontId="3" fillId="6" borderId="2" xfId="0" applyFont="1" applyFill="1" applyBorder="1" applyAlignment="1">
      <alignment horizontal="center"/>
    </xf>
    <xf numFmtId="0" fontId="3" fillId="6" borderId="3" xfId="0" applyFont="1" applyFill="1" applyBorder="1" applyAlignment="1">
      <alignment horizontal="center"/>
    </xf>
    <xf numFmtId="0" fontId="3" fillId="6" borderId="4" xfId="0" applyFont="1" applyFill="1" applyBorder="1" applyAlignment="1">
      <alignment horizontal="center"/>
    </xf>
  </cellXfs>
  <cellStyles count="2">
    <cellStyle name="Normal" xfId="0" builtinId="0"/>
    <cellStyle name="Percent" xfId="1" builtinId="5"/>
  </cellStyles>
  <dxfs count="16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00;[Red]&quot;₹&quot;\ #,##0.0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patternFill>
      </fill>
    </dxf>
    <dxf>
      <fill>
        <patternFill patternType="solid">
          <bgColor theme="8"/>
        </patternFill>
      </fill>
    </dxf>
    <dxf>
      <font>
        <color theme="1"/>
      </font>
    </dxf>
    <dxf>
      <font>
        <color theme="1"/>
      </font>
    </dxf>
    <dxf>
      <border>
        <left style="medium">
          <color indexed="64"/>
        </left>
        <right style="medium">
          <color indexed="64"/>
        </right>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vertical="top"/>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vertical="top"/>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Red]#,##0"/>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wrapText="1"/>
    </dxf>
    <dxf>
      <border>
        <left style="medium">
          <color indexed="64"/>
        </left>
      </border>
    </dxf>
    <dxf>
      <border>
        <left style="medium">
          <color indexed="64"/>
        </left>
      </border>
    </dxf>
    <dxf>
      <border>
        <bottom style="medium">
          <color indexed="64"/>
        </bottom>
      </border>
    </dxf>
    <dxf>
      <border>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vertical="top"/>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wrapText="1"/>
    </dxf>
    <dxf>
      <border>
        <left style="medium">
          <color indexed="64"/>
        </left>
      </border>
    </dxf>
    <dxf>
      <border>
        <left style="medium">
          <color indexed="64"/>
        </left>
      </border>
    </dxf>
    <dxf>
      <border>
        <bottom style="medium">
          <color indexed="64"/>
        </bottom>
      </border>
    </dxf>
    <dxf>
      <border>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vertical="top"/>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patternFill>
      </fill>
    </dxf>
    <dxf>
      <border>
        <right style="medium">
          <color indexed="64"/>
        </right>
      </border>
    </dxf>
    <dxf>
      <fill>
        <patternFill patternType="solid">
          <bgColor theme="8"/>
        </patternFill>
      </fill>
    </dxf>
    <dxf>
      <alignment vertical="center"/>
    </dxf>
    <dxf>
      <alignment wrapText="1"/>
    </dxf>
    <dxf>
      <border>
        <left style="medium">
          <color indexed="64"/>
        </left>
      </border>
    </dxf>
    <dxf>
      <border>
        <left style="medium">
          <color indexed="64"/>
        </left>
      </border>
    </dxf>
    <dxf>
      <border>
        <bottom style="medium">
          <color indexed="64"/>
        </bottom>
      </border>
    </dxf>
    <dxf>
      <border>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vertical="top"/>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3" formatCode="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z val="8"/>
        <color theme="0"/>
        <name val="Nirmala UI Semilight"/>
        <family val="2"/>
        <scheme val="none"/>
      </font>
      <fill>
        <patternFill patternType="solid">
          <bgColor rgb="FF002060"/>
        </patternFill>
      </fill>
      <border diagonalUp="0" diagonalDown="0">
        <left style="thin">
          <color theme="1"/>
        </left>
        <right style="thin">
          <color theme="1"/>
        </right>
        <top style="thin">
          <color theme="1"/>
        </top>
        <bottom style="thin">
          <color theme="1"/>
        </bottom>
        <vertical/>
        <horizontal/>
      </border>
    </dxf>
    <dxf>
      <font>
        <b val="0"/>
        <i val="0"/>
        <sz val="10"/>
        <color theme="0"/>
        <name val="Nirmala UI Semilight"/>
        <family val="2"/>
        <scheme val="none"/>
      </font>
      <fill>
        <patternFill patternType="solid">
          <fgColor auto="1"/>
          <bgColor rgb="FF002060"/>
        </patternFill>
      </fill>
      <border diagonalUp="0" diagonalDown="1">
        <left style="thin">
          <color theme="1"/>
        </left>
        <right style="thin">
          <color theme="1"/>
        </right>
        <top style="thin">
          <color theme="1"/>
        </top>
        <bottom style="thin">
          <color theme="1"/>
        </bottom>
        <diagonal style="thin">
          <color theme="5" tint="-0.24994659260841701"/>
        </diagonal>
        <vertical/>
        <horizontal/>
      </border>
    </dxf>
  </dxfs>
  <tableStyles count="1" defaultTableStyle="TableStyleMedium2" defaultPivotStyle="PivotStyleLight16">
    <tableStyle name="LOAN SLICER" pivot="0" table="0" count="10" xr9:uid="{6F9B5861-F4E4-4698-98EA-DEE6410F4C1F}">
      <tableStyleElement type="wholeTable" dxfId="165"/>
      <tableStyleElement type="headerRow" dxfId="164"/>
    </tableStyle>
  </tableStyles>
  <colors>
    <mruColors>
      <color rgb="FF00206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LOAN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[LoanAnalytics.xlsx]PivotFields!PivotTable1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PivotFields!$B$3</c:f>
              <c:strCache>
                <c:ptCount val="1"/>
                <c:pt idx="0">
                  <c:v>Count of Loan_Status (Y/N)</c:v>
                </c:pt>
              </c:strCache>
            </c:strRef>
          </c:tx>
          <c:spPr>
            <a:solidFill>
              <a:schemeClr val="accent1"/>
            </a:solidFill>
            <a:ln>
              <a:noFill/>
            </a:ln>
            <a:effectLst/>
          </c:spPr>
          <c:invertIfNegative val="0"/>
          <c:cat>
            <c:strRef>
              <c:f>PivotFields!$A$4:$A$6</c:f>
              <c:strCache>
                <c:ptCount val="2"/>
                <c:pt idx="0">
                  <c:v>Graduate</c:v>
                </c:pt>
                <c:pt idx="1">
                  <c:v>Not Graduate</c:v>
                </c:pt>
              </c:strCache>
            </c:strRef>
          </c:cat>
          <c:val>
            <c:numRef>
              <c:f>PivotFields!$B$4:$B$6</c:f>
              <c:numCache>
                <c:formatCode>General</c:formatCode>
                <c:ptCount val="2"/>
                <c:pt idx="0">
                  <c:v>421</c:v>
                </c:pt>
                <c:pt idx="1">
                  <c:v>108</c:v>
                </c:pt>
              </c:numCache>
            </c:numRef>
          </c:val>
          <c:extLst>
            <c:ext xmlns:c16="http://schemas.microsoft.com/office/drawing/2014/chart" uri="{C3380CC4-5D6E-409C-BE32-E72D297353CC}">
              <c16:uniqueId val="{00000000-786D-44FB-AD11-2507249688E5}"/>
            </c:ext>
          </c:extLst>
        </c:ser>
        <c:ser>
          <c:idx val="1"/>
          <c:order val="1"/>
          <c:tx>
            <c:strRef>
              <c:f>PivotFields!$C$3</c:f>
              <c:strCache>
                <c:ptCount val="1"/>
                <c:pt idx="0">
                  <c:v>Loan Approval %</c:v>
                </c:pt>
              </c:strCache>
            </c:strRef>
          </c:tx>
          <c:spPr>
            <a:solidFill>
              <a:schemeClr val="accent2"/>
            </a:solidFill>
            <a:ln>
              <a:noFill/>
            </a:ln>
            <a:effectLst/>
          </c:spPr>
          <c:invertIfNegative val="0"/>
          <c:cat>
            <c:strRef>
              <c:f>PivotFields!$A$4:$A$6</c:f>
              <c:strCache>
                <c:ptCount val="2"/>
                <c:pt idx="0">
                  <c:v>Graduate</c:v>
                </c:pt>
                <c:pt idx="1">
                  <c:v>Not Graduate</c:v>
                </c:pt>
              </c:strCache>
            </c:strRef>
          </c:cat>
          <c:val>
            <c:numRef>
              <c:f>PivotFields!$C$4:$C$6</c:f>
              <c:numCache>
                <c:formatCode>0.00%</c:formatCode>
                <c:ptCount val="2"/>
                <c:pt idx="0">
                  <c:v>0.79584120982986772</c:v>
                </c:pt>
                <c:pt idx="1">
                  <c:v>0.20415879017013233</c:v>
                </c:pt>
              </c:numCache>
            </c:numRef>
          </c:val>
          <c:extLst>
            <c:ext xmlns:c16="http://schemas.microsoft.com/office/drawing/2014/chart" uri="{C3380CC4-5D6E-409C-BE32-E72D297353CC}">
              <c16:uniqueId val="{00000001-786D-44FB-AD11-2507249688E5}"/>
            </c:ext>
          </c:extLst>
        </c:ser>
        <c:dLbls>
          <c:showLegendKey val="0"/>
          <c:showVal val="0"/>
          <c:showCatName val="0"/>
          <c:showSerName val="0"/>
          <c:showPercent val="0"/>
          <c:showBubbleSize val="0"/>
        </c:dLbls>
        <c:gapWidth val="219"/>
        <c:overlap val="-27"/>
        <c:axId val="33909679"/>
        <c:axId val="33914959"/>
      </c:barChart>
      <c:catAx>
        <c:axId val="3390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14959"/>
        <c:crosses val="autoZero"/>
        <c:auto val="1"/>
        <c:lblAlgn val="ctr"/>
        <c:lblOffset val="100"/>
        <c:noMultiLvlLbl val="0"/>
      </c:catAx>
      <c:valAx>
        <c:axId val="3391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0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[LoanAnalytics.xlsx]PivotFields!PivotTable3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PivotFields!$B$14</c:f>
              <c:strCache>
                <c:ptCount val="1"/>
                <c:pt idx="0">
                  <c:v>Total</c:v>
                </c:pt>
              </c:strCache>
            </c:strRef>
          </c:tx>
          <c:spPr>
            <a:solidFill>
              <a:schemeClr val="accent1"/>
            </a:solidFill>
            <a:ln>
              <a:noFill/>
            </a:ln>
            <a:effectLst/>
          </c:spPr>
          <c:invertIfNegative val="0"/>
          <c:cat>
            <c:strRef>
              <c:f>PivotFields!$A$15:$A$18</c:f>
              <c:strCache>
                <c:ptCount val="3"/>
                <c:pt idx="0">
                  <c:v>Rural</c:v>
                </c:pt>
                <c:pt idx="1">
                  <c:v>Semiurban</c:v>
                </c:pt>
                <c:pt idx="2">
                  <c:v>Urban</c:v>
                </c:pt>
              </c:strCache>
            </c:strRef>
          </c:cat>
          <c:val>
            <c:numRef>
              <c:f>PivotFields!$B$15:$B$18</c:f>
              <c:numCache>
                <c:formatCode>0.00;[Red]0.00</c:formatCode>
                <c:ptCount val="3"/>
                <c:pt idx="0">
                  <c:v>154.24516129032259</c:v>
                </c:pt>
                <c:pt idx="1">
                  <c:v>145.65550239234449</c:v>
                </c:pt>
                <c:pt idx="2">
                  <c:v>138.21818181818182</c:v>
                </c:pt>
              </c:numCache>
            </c:numRef>
          </c:val>
          <c:extLst>
            <c:ext xmlns:c16="http://schemas.microsoft.com/office/drawing/2014/chart" uri="{C3380CC4-5D6E-409C-BE32-E72D297353CC}">
              <c16:uniqueId val="{00000000-5014-4E78-8EA0-B3038635A3E4}"/>
            </c:ext>
          </c:extLst>
        </c:ser>
        <c:dLbls>
          <c:showLegendKey val="0"/>
          <c:showVal val="0"/>
          <c:showCatName val="0"/>
          <c:showSerName val="0"/>
          <c:showPercent val="0"/>
          <c:showBubbleSize val="0"/>
        </c:dLbls>
        <c:gapWidth val="219"/>
        <c:overlap val="-27"/>
        <c:axId val="33884239"/>
        <c:axId val="33894319"/>
      </c:barChart>
      <c:catAx>
        <c:axId val="3388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94319"/>
        <c:crosses val="autoZero"/>
        <c:auto val="1"/>
        <c:lblAlgn val="ctr"/>
        <c:lblOffset val="100"/>
        <c:noMultiLvlLbl val="0"/>
      </c:catAx>
      <c:valAx>
        <c:axId val="33894319"/>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8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[LoanAnalytics.xlsx]PivotFields!PivotTable5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PivotFields!$B$29:$B$30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PivotFields!$A$31:$A$34</c:f>
              <c:strCache>
                <c:ptCount val="3"/>
                <c:pt idx="0">
                  <c:v>Female</c:v>
                </c:pt>
                <c:pt idx="1">
                  <c:v>Male</c:v>
                </c:pt>
                <c:pt idx="2">
                  <c:v>Not Mentioned</c:v>
                </c:pt>
              </c:strCache>
            </c:strRef>
          </c:cat>
          <c:val>
            <c:numRef>
              <c:f>PivotFields!$B$31:$B$34</c:f>
              <c:numCache>
                <c:formatCode>0.00%</c:formatCode>
                <c:ptCount val="3"/>
                <c:pt idx="0">
                  <c:v>0.71578947368421053</c:v>
                </c:pt>
                <c:pt idx="1">
                  <c:v>0.2772511848341232</c:v>
                </c:pt>
                <c:pt idx="2">
                  <c:v>0.25</c:v>
                </c:pt>
              </c:numCache>
            </c:numRef>
          </c:val>
          <c:smooth val="0"/>
          <c:extLst>
            <c:ext xmlns:c16="http://schemas.microsoft.com/office/drawing/2014/chart" uri="{C3380CC4-5D6E-409C-BE32-E72D297353CC}">
              <c16:uniqueId val="{00000000-056F-43A3-AA15-AD0239BB3DBB}"/>
            </c:ext>
          </c:extLst>
        </c:ser>
        <c:ser>
          <c:idx val="1"/>
          <c:order val="1"/>
          <c:tx>
            <c:strRef>
              <c:f>PivotFields!$C$29:$C$30</c:f>
              <c:strCache>
                <c:ptCount val="1"/>
                <c:pt idx="0">
                  <c:v>Not Mentioned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PivotFields!$A$31:$A$34</c:f>
              <c:strCache>
                <c:ptCount val="3"/>
                <c:pt idx="0">
                  <c:v>Female</c:v>
                </c:pt>
                <c:pt idx="1">
                  <c:v>Male</c:v>
                </c:pt>
                <c:pt idx="2">
                  <c:v>Not Mentioned</c:v>
                </c:pt>
              </c:strCache>
            </c:strRef>
          </c:cat>
          <c:val>
            <c:numRef>
              <c:f>PivotFields!$C$31:$C$34</c:f>
              <c:numCache>
                <c:formatCode>0.00%</c:formatCode>
                <c:ptCount val="3"/>
                <c:pt idx="0">
                  <c:v>0</c:v>
                </c:pt>
                <c:pt idx="1">
                  <c:v>4.7393364928909956E-3</c:v>
                </c:pt>
                <c:pt idx="2">
                  <c:v>0</c:v>
                </c:pt>
              </c:numCache>
            </c:numRef>
          </c:val>
          <c:smooth val="0"/>
          <c:extLst>
            <c:ext xmlns:c16="http://schemas.microsoft.com/office/drawing/2014/chart" uri="{C3380CC4-5D6E-409C-BE32-E72D297353CC}">
              <c16:uniqueId val="{00000001-056F-43A3-AA15-AD0239BB3DBB}"/>
            </c:ext>
          </c:extLst>
        </c:ser>
        <c:ser>
          <c:idx val="2"/>
          <c:order val="2"/>
          <c:tx>
            <c:strRef>
              <c:f>PivotFields!$D$29:$D$30</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PivotFields!$A$31:$A$34</c:f>
              <c:strCache>
                <c:ptCount val="3"/>
                <c:pt idx="0">
                  <c:v>Female</c:v>
                </c:pt>
                <c:pt idx="1">
                  <c:v>Male</c:v>
                </c:pt>
                <c:pt idx="2">
                  <c:v>Not Mentioned</c:v>
                </c:pt>
              </c:strCache>
            </c:strRef>
          </c:cat>
          <c:val>
            <c:numRef>
              <c:f>PivotFields!$D$31:$D$34</c:f>
              <c:numCache>
                <c:formatCode>0.00%</c:formatCode>
                <c:ptCount val="3"/>
                <c:pt idx="0">
                  <c:v>0.28421052631578947</c:v>
                </c:pt>
                <c:pt idx="1">
                  <c:v>0.71800947867298581</c:v>
                </c:pt>
                <c:pt idx="2">
                  <c:v>0.75</c:v>
                </c:pt>
              </c:numCache>
            </c:numRef>
          </c:val>
          <c:smooth val="0"/>
          <c:extLst>
            <c:ext xmlns:c16="http://schemas.microsoft.com/office/drawing/2014/chart" uri="{C3380CC4-5D6E-409C-BE32-E72D297353CC}">
              <c16:uniqueId val="{00000007-056F-43A3-AA15-AD0239BB3DBB}"/>
            </c:ext>
          </c:extLst>
        </c:ser>
        <c:dLbls>
          <c:showLegendKey val="0"/>
          <c:showVal val="0"/>
          <c:showCatName val="0"/>
          <c:showSerName val="0"/>
          <c:showPercent val="0"/>
          <c:showBubbleSize val="0"/>
        </c:dLbls>
        <c:marker val="1"/>
        <c:smooth val="0"/>
        <c:axId val="33890479"/>
        <c:axId val="33889519"/>
      </c:lineChart>
      <c:catAx>
        <c:axId val="3389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89519"/>
        <c:crosses val="autoZero"/>
        <c:auto val="1"/>
        <c:lblAlgn val="ctr"/>
        <c:lblOffset val="100"/>
        <c:noMultiLvlLbl val="0"/>
      </c:catAx>
      <c:valAx>
        <c:axId val="338895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9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[LoanAnalytics.xlsx]PivotFields!PivotTable7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957674099148812E-2"/>
              <c:y val="-2.2862695598164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0320622889428541"/>
              <c:y val="-4.8307988219029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3071234086393406E-2"/>
              <c:y val="-8.39313978882411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7.2780476038626016E-2"/>
              <c:y val="-9.41095149365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3435826362826141E-2"/>
              <c:y val="-1.7773637073991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12194319752087067"/>
              <c:y val="-1.77736370739917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s>
    <c:plotArea>
      <c:layout/>
      <c:doughnutChart>
        <c:varyColors val="1"/>
        <c:ser>
          <c:idx val="0"/>
          <c:order val="0"/>
          <c:tx>
            <c:strRef>
              <c:f>PivotFields!$B$47</c:f>
              <c:strCache>
                <c:ptCount val="1"/>
                <c:pt idx="0">
                  <c:v>Avg Income</c:v>
                </c:pt>
              </c:strCache>
            </c:strRef>
          </c:tx>
          <c:dPt>
            <c:idx val="0"/>
            <c:bubble3D val="0"/>
            <c:spPr>
              <a:solidFill>
                <a:schemeClr val="accent1"/>
              </a:solidFill>
              <a:ln>
                <a:noFill/>
              </a:ln>
              <a:effectLst/>
            </c:spPr>
            <c:extLst>
              <c:ext xmlns:c16="http://schemas.microsoft.com/office/drawing/2014/chart" uri="{C3380CC4-5D6E-409C-BE32-E72D297353CC}">
                <c16:uniqueId val="{00000001-443B-4AEE-948C-6AEFF05F9274}"/>
              </c:ext>
            </c:extLst>
          </c:dPt>
          <c:dPt>
            <c:idx val="1"/>
            <c:bubble3D val="0"/>
            <c:spPr>
              <a:solidFill>
                <a:schemeClr val="accent2"/>
              </a:solidFill>
              <a:ln>
                <a:noFill/>
              </a:ln>
              <a:effectLst/>
            </c:spPr>
            <c:extLst>
              <c:ext xmlns:c16="http://schemas.microsoft.com/office/drawing/2014/chart" uri="{C3380CC4-5D6E-409C-BE32-E72D297353CC}">
                <c16:uniqueId val="{00000003-443B-4AEE-948C-6AEFF05F92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PivotFields!$A$48:$A$50</c:f>
              <c:strCache>
                <c:ptCount val="2"/>
                <c:pt idx="0">
                  <c:v>High Risk</c:v>
                </c:pt>
                <c:pt idx="1">
                  <c:v>Low Risk</c:v>
                </c:pt>
              </c:strCache>
            </c:strRef>
          </c:cat>
          <c:val>
            <c:numRef>
              <c:f>PivotFields!$B$48:$B$50</c:f>
              <c:numCache>
                <c:formatCode>#,##0.00;[Red]#,##0.00</c:formatCode>
                <c:ptCount val="2"/>
                <c:pt idx="0">
                  <c:v>7478.6075949367087</c:v>
                </c:pt>
                <c:pt idx="1">
                  <c:v>6975.0111111111109</c:v>
                </c:pt>
              </c:numCache>
            </c:numRef>
          </c:val>
          <c:extLst>
            <c:ext xmlns:c16="http://schemas.microsoft.com/office/drawing/2014/chart" uri="{C3380CC4-5D6E-409C-BE32-E72D297353CC}">
              <c16:uniqueId val="{00000000-35F1-4218-BDEB-440AD7BD3F43}"/>
            </c:ext>
          </c:extLst>
        </c:ser>
        <c:ser>
          <c:idx val="1"/>
          <c:order val="1"/>
          <c:tx>
            <c:strRef>
              <c:f>PivotFields!$C$47</c:f>
              <c:strCache>
                <c:ptCount val="1"/>
                <c:pt idx="0">
                  <c:v>Average Loan</c:v>
                </c:pt>
              </c:strCache>
            </c:strRef>
          </c:tx>
          <c:dPt>
            <c:idx val="0"/>
            <c:bubble3D val="0"/>
            <c:spPr>
              <a:solidFill>
                <a:schemeClr val="accent1"/>
              </a:solidFill>
              <a:ln>
                <a:noFill/>
              </a:ln>
              <a:effectLst/>
            </c:spPr>
            <c:extLst>
              <c:ext xmlns:c16="http://schemas.microsoft.com/office/drawing/2014/chart" uri="{C3380CC4-5D6E-409C-BE32-E72D297353CC}">
                <c16:uniqueId val="{00000006-35F1-4218-BDEB-440AD7BD3F43}"/>
              </c:ext>
            </c:extLst>
          </c:dPt>
          <c:dPt>
            <c:idx val="1"/>
            <c:bubble3D val="0"/>
            <c:spPr>
              <a:solidFill>
                <a:schemeClr val="accent2"/>
              </a:solidFill>
              <a:ln>
                <a:noFill/>
              </a:ln>
              <a:effectLst/>
            </c:spPr>
            <c:extLst>
              <c:ext xmlns:c16="http://schemas.microsoft.com/office/drawing/2014/chart" uri="{C3380CC4-5D6E-409C-BE32-E72D297353CC}">
                <c16:uniqueId val="{00000007-35F1-4218-BDEB-440AD7BD3F43}"/>
              </c:ext>
            </c:extLst>
          </c:dPt>
          <c:dLbls>
            <c:dLbl>
              <c:idx val="0"/>
              <c:layout>
                <c:manualLayout>
                  <c:x val="-1.3071234086393406E-2"/>
                  <c:y val="-8.39313978882411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5F1-4218-BDEB-440AD7BD3F43}"/>
                </c:ext>
              </c:extLst>
            </c:dLbl>
            <c:dLbl>
              <c:idx val="1"/>
              <c:layout>
                <c:manualLayout>
                  <c:x val="-7.2780476038626016E-2"/>
                  <c:y val="-9.41095149365872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5F1-4218-BDEB-440AD7BD3F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PivotFields!$A$48:$A$50</c:f>
              <c:strCache>
                <c:ptCount val="2"/>
                <c:pt idx="0">
                  <c:v>High Risk</c:v>
                </c:pt>
                <c:pt idx="1">
                  <c:v>Low Risk</c:v>
                </c:pt>
              </c:strCache>
            </c:strRef>
          </c:cat>
          <c:val>
            <c:numRef>
              <c:f>PivotFields!$C$48:$C$50</c:f>
              <c:numCache>
                <c:formatCode>#,##0.00;[Red]#,##0.00</c:formatCode>
                <c:ptCount val="2"/>
                <c:pt idx="0">
                  <c:v>149.49367088607596</c:v>
                </c:pt>
                <c:pt idx="1">
                  <c:v>145.21333333333334</c:v>
                </c:pt>
              </c:numCache>
            </c:numRef>
          </c:val>
          <c:extLst>
            <c:ext xmlns:c16="http://schemas.microsoft.com/office/drawing/2014/chart" uri="{C3380CC4-5D6E-409C-BE32-E72D297353CC}">
              <c16:uniqueId val="{00000001-35F1-4218-BDEB-440AD7BD3F43}"/>
            </c:ext>
          </c:extLst>
        </c:ser>
        <c:ser>
          <c:idx val="2"/>
          <c:order val="2"/>
          <c:tx>
            <c:strRef>
              <c:f>PivotFields!$D$47</c:f>
              <c:strCache>
                <c:ptCount val="1"/>
                <c:pt idx="0">
                  <c:v>LoanRatio</c:v>
                </c:pt>
              </c:strCache>
            </c:strRef>
          </c:tx>
          <c:dPt>
            <c:idx val="0"/>
            <c:bubble3D val="0"/>
            <c:spPr>
              <a:solidFill>
                <a:schemeClr val="accent1"/>
              </a:solidFill>
              <a:ln>
                <a:noFill/>
              </a:ln>
              <a:effectLst/>
            </c:spPr>
            <c:extLst>
              <c:ext xmlns:c16="http://schemas.microsoft.com/office/drawing/2014/chart" uri="{C3380CC4-5D6E-409C-BE32-E72D297353CC}">
                <c16:uniqueId val="{0000000B-35F1-4218-BDEB-440AD7BD3F43}"/>
              </c:ext>
            </c:extLst>
          </c:dPt>
          <c:dPt>
            <c:idx val="1"/>
            <c:bubble3D val="0"/>
            <c:spPr>
              <a:solidFill>
                <a:schemeClr val="accent2"/>
              </a:solidFill>
              <a:ln>
                <a:noFill/>
              </a:ln>
              <a:effectLst/>
            </c:spPr>
            <c:extLst>
              <c:ext xmlns:c16="http://schemas.microsoft.com/office/drawing/2014/chart" uri="{C3380CC4-5D6E-409C-BE32-E72D297353CC}">
                <c16:uniqueId val="{0000000A-35F1-4218-BDEB-440AD7BD3F43}"/>
              </c:ext>
            </c:extLst>
          </c:dPt>
          <c:dLbls>
            <c:dLbl>
              <c:idx val="0"/>
              <c:layout>
                <c:manualLayout>
                  <c:x val="-0.12194319752087067"/>
                  <c:y val="-1.77736370739917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5F1-4218-BDEB-440AD7BD3F43}"/>
                </c:ext>
              </c:extLst>
            </c:dLbl>
            <c:dLbl>
              <c:idx val="1"/>
              <c:layout>
                <c:manualLayout>
                  <c:x val="2.3435826362826141E-2"/>
                  <c:y val="-1.77736370739917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5F1-4218-BDEB-440AD7BD3F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PivotFields!$A$48:$A$50</c:f>
              <c:strCache>
                <c:ptCount val="2"/>
                <c:pt idx="0">
                  <c:v>High Risk</c:v>
                </c:pt>
                <c:pt idx="1">
                  <c:v>Low Risk</c:v>
                </c:pt>
              </c:strCache>
            </c:strRef>
          </c:cat>
          <c:val>
            <c:numRef>
              <c:f>PivotFields!$D$48:$D$50</c:f>
              <c:numCache>
                <c:formatCode>0.00%</c:formatCode>
                <c:ptCount val="2"/>
                <c:pt idx="0">
                  <c:v>0.46721518987341776</c:v>
                </c:pt>
                <c:pt idx="1">
                  <c:v>0.52551111111111104</c:v>
                </c:pt>
              </c:numCache>
            </c:numRef>
          </c:val>
          <c:extLst>
            <c:ext xmlns:c16="http://schemas.microsoft.com/office/drawing/2014/chart" uri="{C3380CC4-5D6E-409C-BE32-E72D297353CC}">
              <c16:uniqueId val="{00000009-35F1-4218-BDEB-440AD7BD3F4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[LoanAnalytics.xlsx]PivotFields!PivotTable4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PivotFields!$B$63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PivotFields!$A$64:$A$73</c:f>
              <c:strCache>
                <c:ptCount val="9"/>
                <c:pt idx="0">
                  <c:v>36</c:v>
                </c:pt>
                <c:pt idx="1">
                  <c:v>60</c:v>
                </c:pt>
                <c:pt idx="2">
                  <c:v>84</c:v>
                </c:pt>
                <c:pt idx="3">
                  <c:v>120</c:v>
                </c:pt>
                <c:pt idx="4">
                  <c:v>180</c:v>
                </c:pt>
                <c:pt idx="5">
                  <c:v>240</c:v>
                </c:pt>
                <c:pt idx="6">
                  <c:v>300</c:v>
                </c:pt>
                <c:pt idx="7">
                  <c:v>360</c:v>
                </c:pt>
                <c:pt idx="8">
                  <c:v>480</c:v>
                </c:pt>
              </c:strCache>
            </c:strRef>
          </c:cat>
          <c:val>
            <c:numRef>
              <c:f>PivotFields!$B$64:$B$73</c:f>
              <c:numCache>
                <c:formatCode>General</c:formatCode>
                <c:ptCount val="9"/>
                <c:pt idx="0">
                  <c:v>2</c:v>
                </c:pt>
                <c:pt idx="1">
                  <c:v>2</c:v>
                </c:pt>
                <c:pt idx="2">
                  <c:v>3</c:v>
                </c:pt>
                <c:pt idx="3">
                  <c:v>3</c:v>
                </c:pt>
                <c:pt idx="4">
                  <c:v>41</c:v>
                </c:pt>
                <c:pt idx="5">
                  <c:v>2</c:v>
                </c:pt>
                <c:pt idx="6">
                  <c:v>10</c:v>
                </c:pt>
                <c:pt idx="7">
                  <c:v>452</c:v>
                </c:pt>
                <c:pt idx="8">
                  <c:v>14</c:v>
                </c:pt>
              </c:numCache>
            </c:numRef>
          </c:val>
          <c:smooth val="0"/>
          <c:extLst>
            <c:ext xmlns:c16="http://schemas.microsoft.com/office/drawing/2014/chart" uri="{C3380CC4-5D6E-409C-BE32-E72D297353CC}">
              <c16:uniqueId val="{00000000-A4FE-4896-8A2E-6A4496E036B3}"/>
            </c:ext>
          </c:extLst>
        </c:ser>
        <c:dLbls>
          <c:showLegendKey val="0"/>
          <c:showVal val="0"/>
          <c:showCatName val="0"/>
          <c:showSerName val="0"/>
          <c:showPercent val="0"/>
          <c:showBubbleSize val="0"/>
        </c:dLbls>
        <c:marker val="1"/>
        <c:smooth val="0"/>
        <c:axId val="918712607"/>
        <c:axId val="918700127"/>
      </c:lineChart>
      <c:catAx>
        <c:axId val="91871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700127"/>
        <c:crosses val="autoZero"/>
        <c:auto val="1"/>
        <c:lblAlgn val="ctr"/>
        <c:lblOffset val="100"/>
        <c:noMultiLvlLbl val="0"/>
      </c:catAx>
      <c:valAx>
        <c:axId val="91870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71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[LoanAnalytics.xlsx]PivotFields!PivotTable2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PivotFields!$O$3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PivotFields!$N$4:$N$7</c:f>
              <c:strCache>
                <c:ptCount val="3"/>
                <c:pt idx="0">
                  <c:v>Female</c:v>
                </c:pt>
                <c:pt idx="1">
                  <c:v>Male</c:v>
                </c:pt>
                <c:pt idx="2">
                  <c:v>Not Mentioned</c:v>
                </c:pt>
              </c:strCache>
            </c:strRef>
          </c:cat>
          <c:val>
            <c:numRef>
              <c:f>PivotFields!$O$4:$O$7</c:f>
              <c:numCache>
                <c:formatCode>"₹"\ #,##0.00;[Red]"₹"\ #,##0.00</c:formatCode>
                <c:ptCount val="3"/>
                <c:pt idx="0">
                  <c:v>528036</c:v>
                </c:pt>
                <c:pt idx="1">
                  <c:v>3054305</c:v>
                </c:pt>
                <c:pt idx="2">
                  <c:v>147224</c:v>
                </c:pt>
              </c:numCache>
            </c:numRef>
          </c:val>
          <c:extLst>
            <c:ext xmlns:c16="http://schemas.microsoft.com/office/drawing/2014/chart" uri="{C3380CC4-5D6E-409C-BE32-E72D297353CC}">
              <c16:uniqueId val="{00000000-6E09-4844-A647-8AA69A5652A1}"/>
            </c:ext>
          </c:extLst>
        </c:ser>
        <c:dLbls>
          <c:showLegendKey val="0"/>
          <c:showVal val="1"/>
          <c:showCatName val="0"/>
          <c:showSerName val="0"/>
          <c:showPercent val="0"/>
          <c:showBubbleSize val="0"/>
        </c:dLbls>
        <c:gapWidth val="150"/>
        <c:axId val="997256352"/>
        <c:axId val="997266432"/>
      </c:barChart>
      <c:catAx>
        <c:axId val="997256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266432"/>
        <c:crosses val="autoZero"/>
        <c:auto val="1"/>
        <c:lblAlgn val="ctr"/>
        <c:lblOffset val="100"/>
        <c:noMultiLvlLbl val="0"/>
      </c:catAx>
      <c:valAx>
        <c:axId val="997266432"/>
        <c:scaling>
          <c:orientation val="minMax"/>
        </c:scaling>
        <c:delete val="0"/>
        <c:axPos val="l"/>
        <c:numFmt formatCode="&quot;₹&quot;\ #,##0.00;[Red]&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2563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[LoanAnalytics.xlsx]PivotFields!PivotTable3</c:name>
    <c:fmtId val="4"/>
  </c:pivotSource>
  <c:chart>
    <c:title>
      <c:tx>
        <c:rich>
          <a:bodyPr rot="0" spcFirstLastPara="1" vertOverflow="ellipsis" vert="horz" wrap="square" anchor="ctr" anchorCtr="1"/>
          <a:lstStyle/>
          <a:p>
            <a:pPr>
              <a:defRPr sz="1200" b="1" i="0" u="none" strike="noStrike" kern="1200" spc="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r>
              <a:rPr lang="en-US" sz="1200"/>
              <a:t>Average Loan By Property Area</a:t>
            </a:r>
          </a:p>
        </c:rich>
      </c:tx>
      <c:layout>
        <c:manualLayout>
          <c:xMode val="edge"/>
          <c:yMode val="edge"/>
          <c:x val="0.20085199073563473"/>
          <c:y val="1.6680052740216051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304902505835244E-2"/>
          <c:y val="0.20852944159514483"/>
          <c:w val="0.87446480746711541"/>
          <c:h val="0.57438385228353628"/>
        </c:manualLayout>
      </c:layout>
      <c:barChart>
        <c:barDir val="col"/>
        <c:grouping val="clustered"/>
        <c:varyColors val="0"/>
        <c:ser>
          <c:idx val="0"/>
          <c:order val="0"/>
          <c:tx>
            <c:strRef>
              <c:f>PivotFields!$B$14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PivotFields!$A$15:$A$18</c:f>
              <c:strCache>
                <c:ptCount val="3"/>
                <c:pt idx="0">
                  <c:v>Rural</c:v>
                </c:pt>
                <c:pt idx="1">
                  <c:v>Semiurban</c:v>
                </c:pt>
                <c:pt idx="2">
                  <c:v>Urban</c:v>
                </c:pt>
              </c:strCache>
            </c:strRef>
          </c:cat>
          <c:val>
            <c:numRef>
              <c:f>PivotFields!$B$15:$B$18</c:f>
              <c:numCache>
                <c:formatCode>0.00;[Red]0.00</c:formatCode>
                <c:ptCount val="3"/>
                <c:pt idx="0">
                  <c:v>154.24516129032259</c:v>
                </c:pt>
                <c:pt idx="1">
                  <c:v>145.65550239234449</c:v>
                </c:pt>
                <c:pt idx="2">
                  <c:v>138.21818181818182</c:v>
                </c:pt>
              </c:numCache>
            </c:numRef>
          </c:val>
          <c:extLst>
            <c:ext xmlns:c16="http://schemas.microsoft.com/office/drawing/2014/chart" uri="{C3380CC4-5D6E-409C-BE32-E72D297353CC}">
              <c16:uniqueId val="{00000000-FD28-4ECE-9006-BABFB402920F}"/>
            </c:ext>
          </c:extLst>
        </c:ser>
        <c:dLbls>
          <c:dLblPos val="outEnd"/>
          <c:showLegendKey val="0"/>
          <c:showVal val="1"/>
          <c:showCatName val="0"/>
          <c:showSerName val="0"/>
          <c:showPercent val="0"/>
          <c:showBubbleSize val="0"/>
        </c:dLbls>
        <c:gapWidth val="219"/>
        <c:overlap val="-27"/>
        <c:axId val="33884239"/>
        <c:axId val="33894319"/>
      </c:barChart>
      <c:catAx>
        <c:axId val="33884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crossAx val="33894319"/>
        <c:crosses val="autoZero"/>
        <c:auto val="1"/>
        <c:lblAlgn val="ctr"/>
        <c:lblOffset val="100"/>
        <c:noMultiLvlLbl val="0"/>
      </c:catAx>
      <c:valAx>
        <c:axId val="33894319"/>
        <c:scaling>
          <c:orientation val="minMax"/>
        </c:scaling>
        <c:delete val="1"/>
        <c:axPos val="l"/>
        <c:numFmt formatCode="0.00;[Red]0.00" sourceLinked="1"/>
        <c:majorTickMark val="out"/>
        <c:minorTickMark val="none"/>
        <c:tickLblPos val="nextTo"/>
        <c:crossAx val="3388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[LoanAnalytics.xlsx]PivotFields!PivotTable1</c:name>
    <c:fmtId val="13"/>
  </c:pivotSource>
  <c:chart>
    <c:title>
      <c:tx>
        <c:rich>
          <a:bodyPr rot="0" spcFirstLastPara="1" vertOverflow="ellipsis" vert="horz" wrap="square" anchor="ctr" anchorCtr="1"/>
          <a:lstStyle/>
          <a:p>
            <a:pPr>
              <a:defRPr sz="1200" b="1" i="0" u="none" strike="noStrike" kern="1200" spc="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r>
              <a:rPr lang="en-IN" sz="1200"/>
              <a:t>Education Based Loan Approval</a:t>
            </a:r>
          </a:p>
        </c:rich>
      </c:tx>
      <c:layout>
        <c:manualLayout>
          <c:xMode val="edge"/>
          <c:yMode val="edge"/>
          <c:x val="0.20936832275390971"/>
          <c:y val="5.4784344677097569E-4"/>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88819202229164E-2"/>
          <c:y val="0.22416309033741702"/>
          <c:w val="0.92062236159554167"/>
          <c:h val="0.59992318329535332"/>
        </c:manualLayout>
      </c:layout>
      <c:barChart>
        <c:barDir val="col"/>
        <c:grouping val="clustered"/>
        <c:varyColors val="0"/>
        <c:ser>
          <c:idx val="0"/>
          <c:order val="0"/>
          <c:tx>
            <c:strRef>
              <c:f>PivotFields!$B$3</c:f>
              <c:strCache>
                <c:ptCount val="1"/>
                <c:pt idx="0">
                  <c:v>Count of Loan_Status (Y/N)</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PivotFields!$A$4:$A$6</c:f>
              <c:strCache>
                <c:ptCount val="2"/>
                <c:pt idx="0">
                  <c:v>Graduate</c:v>
                </c:pt>
                <c:pt idx="1">
                  <c:v>Not Graduate</c:v>
                </c:pt>
              </c:strCache>
            </c:strRef>
          </c:cat>
          <c:val>
            <c:numRef>
              <c:f>PivotFields!$B$4:$B$6</c:f>
              <c:numCache>
                <c:formatCode>General</c:formatCode>
                <c:ptCount val="2"/>
                <c:pt idx="0">
                  <c:v>421</c:v>
                </c:pt>
                <c:pt idx="1">
                  <c:v>108</c:v>
                </c:pt>
              </c:numCache>
            </c:numRef>
          </c:val>
          <c:extLst>
            <c:ext xmlns:c16="http://schemas.microsoft.com/office/drawing/2014/chart" uri="{C3380CC4-5D6E-409C-BE32-E72D297353CC}">
              <c16:uniqueId val="{00000000-5E8E-4798-AA3F-182299549800}"/>
            </c:ext>
          </c:extLst>
        </c:ser>
        <c:ser>
          <c:idx val="1"/>
          <c:order val="1"/>
          <c:tx>
            <c:strRef>
              <c:f>PivotFields!$C$3</c:f>
              <c:strCache>
                <c:ptCount val="1"/>
                <c:pt idx="0">
                  <c:v>Loan Approval %</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PivotFields!$A$4:$A$6</c:f>
              <c:strCache>
                <c:ptCount val="2"/>
                <c:pt idx="0">
                  <c:v>Graduate</c:v>
                </c:pt>
                <c:pt idx="1">
                  <c:v>Not Graduate</c:v>
                </c:pt>
              </c:strCache>
            </c:strRef>
          </c:cat>
          <c:val>
            <c:numRef>
              <c:f>PivotFields!$C$4:$C$6</c:f>
              <c:numCache>
                <c:formatCode>0.00%</c:formatCode>
                <c:ptCount val="2"/>
                <c:pt idx="0">
                  <c:v>0.79584120982986772</c:v>
                </c:pt>
                <c:pt idx="1">
                  <c:v>0.20415879017013233</c:v>
                </c:pt>
              </c:numCache>
            </c:numRef>
          </c:val>
          <c:extLst>
            <c:ext xmlns:c16="http://schemas.microsoft.com/office/drawing/2014/chart" uri="{C3380CC4-5D6E-409C-BE32-E72D297353CC}">
              <c16:uniqueId val="{00000001-5E8E-4798-AA3F-182299549800}"/>
            </c:ext>
          </c:extLst>
        </c:ser>
        <c:dLbls>
          <c:dLblPos val="outEnd"/>
          <c:showLegendKey val="0"/>
          <c:showVal val="1"/>
          <c:showCatName val="0"/>
          <c:showSerName val="0"/>
          <c:showPercent val="0"/>
          <c:showBubbleSize val="0"/>
        </c:dLbls>
        <c:gapWidth val="219"/>
        <c:overlap val="-27"/>
        <c:axId val="33909679"/>
        <c:axId val="33914959"/>
      </c:barChart>
      <c:catAx>
        <c:axId val="33909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crossAx val="33914959"/>
        <c:crosses val="autoZero"/>
        <c:auto val="1"/>
        <c:lblAlgn val="ctr"/>
        <c:lblOffset val="100"/>
        <c:noMultiLvlLbl val="0"/>
      </c:catAx>
      <c:valAx>
        <c:axId val="33914959"/>
        <c:scaling>
          <c:orientation val="minMax"/>
        </c:scaling>
        <c:delete val="1"/>
        <c:axPos val="l"/>
        <c:numFmt formatCode="General" sourceLinked="1"/>
        <c:majorTickMark val="out"/>
        <c:minorTickMark val="none"/>
        <c:tickLblPos val="nextTo"/>
        <c:crossAx val="3390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[LoanAnalytics.xlsx]PivotFields!PivotTable7</c:name>
    <c:fmtId val="9"/>
  </c:pivotSource>
  <c:chart>
    <c:title>
      <c:tx>
        <c:rich>
          <a:bodyPr rot="0" spcFirstLastPara="1" vertOverflow="ellipsis" vert="horz" wrap="square" anchor="ctr" anchorCtr="1"/>
          <a:lstStyle/>
          <a:p>
            <a:pPr>
              <a:defRPr sz="840" b="0" i="0" u="none" strike="noStrike" kern="1200" spc="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r>
              <a:rPr lang="en-IN"/>
              <a:t>Risk Factors</a:t>
            </a:r>
          </a:p>
        </c:rich>
      </c:tx>
      <c:layout>
        <c:manualLayout>
          <c:xMode val="edge"/>
          <c:yMode val="edge"/>
          <c:x val="0.32118056971367526"/>
          <c:y val="0"/>
        </c:manualLayout>
      </c:layout>
      <c:overlay val="0"/>
      <c:spPr>
        <a:noFill/>
        <a:ln>
          <a:noFill/>
        </a:ln>
        <a:effectLst/>
      </c:spPr>
      <c:txPr>
        <a:bodyPr rot="0" spcFirstLastPara="1" vertOverflow="ellipsis" vert="horz" wrap="square" anchor="ctr" anchorCtr="1"/>
        <a:lstStyle/>
        <a:p>
          <a:pPr>
            <a:defRPr sz="840" b="0" i="0" u="none" strike="noStrike" kern="1200" spc="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title>
    <c:autoTitleDeleted val="0"/>
    <c:pivotFmts>
      <c:pivotFmt>
        <c:idx val="0"/>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957674099148812E-2"/>
              <c:y val="-2.2862695598164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0320622889428541"/>
              <c:y val="-4.8307988219029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3071234086393406E-2"/>
              <c:y val="-8.39313978882411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7.2780476038626016E-2"/>
              <c:y val="-9.41095149365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2.3435826362826141E-2"/>
              <c:y val="-1.7773637073991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12194319752087067"/>
              <c:y val="-1.77736370739917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1.3071234086393406E-2"/>
              <c:y val="-8.39313978882411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7.2780476038626016E-2"/>
              <c:y val="-9.41095149365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194319752087067"/>
              <c:y val="-1.77736370739917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2.3435826362826141E-2"/>
              <c:y val="-1.7773637073991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1"/>
        <c:spPr>
          <a:solidFill>
            <a:schemeClr val="accent1"/>
          </a:solidFill>
          <a:ln>
            <a:noFill/>
          </a:ln>
          <a:effectLst/>
        </c:spPr>
        <c:dLbl>
          <c:idx val="0"/>
          <c:layout>
            <c:manualLayout>
              <c:x val="0.18826808188920349"/>
              <c:y val="0.2748407132152576"/>
            </c:manualLayout>
          </c:layout>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2"/>
        <c:spPr>
          <a:solidFill>
            <a:schemeClr val="accent1"/>
          </a:solidFill>
          <a:ln>
            <a:noFill/>
          </a:ln>
          <a:effectLst/>
        </c:spPr>
        <c:dLbl>
          <c:idx val="0"/>
          <c:layout>
            <c:manualLayout>
              <c:x val="-0.22072809759886591"/>
              <c:y val="0.30233339127961184"/>
            </c:manualLayout>
          </c:layout>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3"/>
        <c:spPr>
          <a:solidFill>
            <a:schemeClr val="accent1"/>
          </a:solidFill>
          <a:ln>
            <a:solidFill>
              <a:schemeClr val="accent1">
                <a:shade val="15000"/>
                <a:alpha val="95000"/>
              </a:schemeClr>
            </a:solid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4"/>
        <c:spPr>
          <a:solidFill>
            <a:schemeClr val="accent1"/>
          </a:solidFill>
          <a:ln>
            <a:solidFill>
              <a:schemeClr val="accent1">
                <a:shade val="15000"/>
                <a:alpha val="95000"/>
              </a:schemeClr>
            </a:solidFill>
          </a:ln>
          <a:effectLst/>
        </c:spPr>
        <c:dLbl>
          <c:idx val="0"/>
          <c:layout>
            <c:manualLayout>
              <c:x val="0.2271326868252726"/>
              <c:y val="7.6819542304850073E-3"/>
            </c:manualLayout>
          </c:layout>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5"/>
        <c:spPr>
          <a:solidFill>
            <a:schemeClr val="accent1"/>
          </a:solidFill>
          <a:ln>
            <a:solidFill>
              <a:schemeClr val="accent1">
                <a:shade val="15000"/>
                <a:alpha val="95000"/>
              </a:schemeClr>
            </a:solidFill>
          </a:ln>
          <a:effectLst/>
        </c:spPr>
        <c:dLbl>
          <c:idx val="0"/>
          <c:layout>
            <c:manualLayout>
              <c:x val="-0.21249108916513462"/>
              <c:y val="7.1680299093102454E-3"/>
            </c:manualLayout>
          </c:layout>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1.2878247828189859E-2"/>
              <c:y val="-0.28672119637241245"/>
            </c:manualLayout>
          </c:layout>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9.0147734797329862E-2"/>
              <c:y val="-0.34406543564689496"/>
            </c:manualLayout>
          </c:layout>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PivotFields!$B$47</c:f>
              <c:strCache>
                <c:ptCount val="1"/>
                <c:pt idx="0">
                  <c:v>Avg Income</c:v>
                </c:pt>
              </c:strCache>
            </c:strRef>
          </c:tx>
          <c:dPt>
            <c:idx val="0"/>
            <c:bubble3D val="0"/>
            <c:spPr>
              <a:solidFill>
                <a:schemeClr val="accent1"/>
              </a:solidFill>
              <a:ln>
                <a:noFill/>
              </a:ln>
              <a:effectLst/>
            </c:spPr>
            <c:extLst>
              <c:ext xmlns:c16="http://schemas.microsoft.com/office/drawing/2014/chart" uri="{C3380CC4-5D6E-409C-BE32-E72D297353CC}">
                <c16:uniqueId val="{00000001-7A86-4021-8CF4-F733D89E6719}"/>
              </c:ext>
            </c:extLst>
          </c:dPt>
          <c:dPt>
            <c:idx val="1"/>
            <c:bubble3D val="0"/>
            <c:spPr>
              <a:solidFill>
                <a:schemeClr val="accent2"/>
              </a:solidFill>
              <a:ln>
                <a:noFill/>
              </a:ln>
              <a:effectLst/>
            </c:spPr>
            <c:extLst>
              <c:ext xmlns:c16="http://schemas.microsoft.com/office/drawing/2014/chart" uri="{C3380CC4-5D6E-409C-BE32-E72D297353CC}">
                <c16:uniqueId val="{00000003-7A86-4021-8CF4-F733D89E6719}"/>
              </c:ext>
            </c:extLst>
          </c:dPt>
          <c:dLbls>
            <c:dLbl>
              <c:idx val="0"/>
              <c:layout>
                <c:manualLayout>
                  <c:x val="0.18826808188920349"/>
                  <c:y val="0.2748407132152576"/>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7A86-4021-8CF4-F733D89E6719}"/>
                </c:ext>
              </c:extLst>
            </c:dLbl>
            <c:dLbl>
              <c:idx val="1"/>
              <c:layout>
                <c:manualLayout>
                  <c:x val="-0.22072809759886591"/>
                  <c:y val="0.30233339127961184"/>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7A86-4021-8CF4-F733D89E6719}"/>
                </c:ext>
              </c:extLst>
            </c:dLbl>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1"/>
            <c:showCatName val="0"/>
            <c:showSerName val="1"/>
            <c:showPercent val="0"/>
            <c:showBubbleSize val="0"/>
            <c:separator>
</c:separator>
            <c:showLeaderLines val="1"/>
            <c:leaderLines>
              <c:spPr>
                <a:ln w="9525" cap="flat" cmpd="sng" algn="ctr">
                  <a:solidFill>
                    <a:schemeClr val="bg1"/>
                  </a:solidFill>
                  <a:round/>
                </a:ln>
                <a:effectLst/>
              </c:spPr>
            </c:leaderLines>
            <c:extLst>
              <c:ext xmlns:c15="http://schemas.microsoft.com/office/drawing/2012/chart" uri="{CE6537A1-D6FC-4f65-9D91-7224C49458BB}"/>
            </c:extLst>
          </c:dLbls>
          <c:cat>
            <c:strRef>
              <c:f>PivotFields!$A$48:$A$50</c:f>
              <c:strCache>
                <c:ptCount val="2"/>
                <c:pt idx="0">
                  <c:v>High Risk</c:v>
                </c:pt>
                <c:pt idx="1">
                  <c:v>Low Risk</c:v>
                </c:pt>
              </c:strCache>
            </c:strRef>
          </c:cat>
          <c:val>
            <c:numRef>
              <c:f>PivotFields!$B$48:$B$50</c:f>
              <c:numCache>
                <c:formatCode>#,##0.00;[Red]#,##0.00</c:formatCode>
                <c:ptCount val="2"/>
                <c:pt idx="0">
                  <c:v>7478.6075949367087</c:v>
                </c:pt>
                <c:pt idx="1">
                  <c:v>6975.0111111111109</c:v>
                </c:pt>
              </c:numCache>
            </c:numRef>
          </c:val>
          <c:extLst>
            <c:ext xmlns:c16="http://schemas.microsoft.com/office/drawing/2014/chart" uri="{C3380CC4-5D6E-409C-BE32-E72D297353CC}">
              <c16:uniqueId val="{00000004-7A86-4021-8CF4-F733D89E6719}"/>
            </c:ext>
          </c:extLst>
        </c:ser>
        <c:ser>
          <c:idx val="1"/>
          <c:order val="1"/>
          <c:tx>
            <c:strRef>
              <c:f>PivotFields!$C$47</c:f>
              <c:strCache>
                <c:ptCount val="1"/>
                <c:pt idx="0">
                  <c:v>Average Loan</c:v>
                </c:pt>
              </c:strCache>
            </c:strRef>
          </c:tx>
          <c:spPr>
            <a:ln>
              <a:solidFill>
                <a:schemeClr val="accent1">
                  <a:shade val="15000"/>
                  <a:alpha val="95000"/>
                </a:schemeClr>
              </a:solidFill>
            </a:ln>
          </c:spPr>
          <c:dPt>
            <c:idx val="0"/>
            <c:bubble3D val="0"/>
            <c:spPr>
              <a:solidFill>
                <a:schemeClr val="accent1"/>
              </a:solidFill>
              <a:ln>
                <a:solidFill>
                  <a:schemeClr val="accent1">
                    <a:shade val="15000"/>
                    <a:alpha val="95000"/>
                  </a:schemeClr>
                </a:solidFill>
              </a:ln>
              <a:effectLst/>
            </c:spPr>
            <c:extLst>
              <c:ext xmlns:c16="http://schemas.microsoft.com/office/drawing/2014/chart" uri="{C3380CC4-5D6E-409C-BE32-E72D297353CC}">
                <c16:uniqueId val="{00000006-7A86-4021-8CF4-F733D89E6719}"/>
              </c:ext>
            </c:extLst>
          </c:dPt>
          <c:dPt>
            <c:idx val="1"/>
            <c:bubble3D val="0"/>
            <c:spPr>
              <a:solidFill>
                <a:schemeClr val="accent2"/>
              </a:solidFill>
              <a:ln>
                <a:solidFill>
                  <a:schemeClr val="accent1">
                    <a:shade val="15000"/>
                    <a:alpha val="95000"/>
                  </a:schemeClr>
                </a:solidFill>
              </a:ln>
              <a:effectLst/>
            </c:spPr>
            <c:extLst>
              <c:ext xmlns:c16="http://schemas.microsoft.com/office/drawing/2014/chart" uri="{C3380CC4-5D6E-409C-BE32-E72D297353CC}">
                <c16:uniqueId val="{00000008-7A86-4021-8CF4-F733D89E6719}"/>
              </c:ext>
            </c:extLst>
          </c:dPt>
          <c:dLbls>
            <c:dLbl>
              <c:idx val="0"/>
              <c:layout>
                <c:manualLayout>
                  <c:x val="0.2271326868252726"/>
                  <c:y val="7.6819542304850073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7A86-4021-8CF4-F733D89E6719}"/>
                </c:ext>
              </c:extLst>
            </c:dLbl>
            <c:dLbl>
              <c:idx val="1"/>
              <c:layout>
                <c:manualLayout>
                  <c:x val="-0.21249108916513462"/>
                  <c:y val="7.1680299093102454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7A86-4021-8CF4-F733D89E6719}"/>
                </c:ext>
              </c:extLst>
            </c:dLbl>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PivotFields!$A$48:$A$50</c:f>
              <c:strCache>
                <c:ptCount val="2"/>
                <c:pt idx="0">
                  <c:v>High Risk</c:v>
                </c:pt>
                <c:pt idx="1">
                  <c:v>Low Risk</c:v>
                </c:pt>
              </c:strCache>
            </c:strRef>
          </c:cat>
          <c:val>
            <c:numRef>
              <c:f>PivotFields!$C$48:$C$50</c:f>
              <c:numCache>
                <c:formatCode>#,##0.00;[Red]#,##0.00</c:formatCode>
                <c:ptCount val="2"/>
                <c:pt idx="0">
                  <c:v>149.49367088607596</c:v>
                </c:pt>
                <c:pt idx="1">
                  <c:v>145.21333333333334</c:v>
                </c:pt>
              </c:numCache>
            </c:numRef>
          </c:val>
          <c:extLst>
            <c:ext xmlns:c16="http://schemas.microsoft.com/office/drawing/2014/chart" uri="{C3380CC4-5D6E-409C-BE32-E72D297353CC}">
              <c16:uniqueId val="{00000009-7A86-4021-8CF4-F733D89E6719}"/>
            </c:ext>
          </c:extLst>
        </c:ser>
        <c:ser>
          <c:idx val="2"/>
          <c:order val="2"/>
          <c:tx>
            <c:strRef>
              <c:f>PivotFields!$D$47</c:f>
              <c:strCache>
                <c:ptCount val="1"/>
                <c:pt idx="0">
                  <c:v>LoanRatio</c:v>
                </c:pt>
              </c:strCache>
            </c:strRef>
          </c:tx>
          <c:dPt>
            <c:idx val="0"/>
            <c:bubble3D val="0"/>
            <c:spPr>
              <a:solidFill>
                <a:schemeClr val="accent1"/>
              </a:solidFill>
              <a:ln>
                <a:noFill/>
              </a:ln>
              <a:effectLst/>
            </c:spPr>
            <c:extLst>
              <c:ext xmlns:c16="http://schemas.microsoft.com/office/drawing/2014/chart" uri="{C3380CC4-5D6E-409C-BE32-E72D297353CC}">
                <c16:uniqueId val="{0000000B-7A86-4021-8CF4-F733D89E6719}"/>
              </c:ext>
            </c:extLst>
          </c:dPt>
          <c:dPt>
            <c:idx val="1"/>
            <c:bubble3D val="0"/>
            <c:spPr>
              <a:solidFill>
                <a:schemeClr val="accent2"/>
              </a:solidFill>
              <a:ln>
                <a:noFill/>
              </a:ln>
              <a:effectLst/>
            </c:spPr>
            <c:extLst>
              <c:ext xmlns:c16="http://schemas.microsoft.com/office/drawing/2014/chart" uri="{C3380CC4-5D6E-409C-BE32-E72D297353CC}">
                <c16:uniqueId val="{0000000D-7A86-4021-8CF4-F733D89E6719}"/>
              </c:ext>
            </c:extLst>
          </c:dPt>
          <c:dLbls>
            <c:dLbl>
              <c:idx val="0"/>
              <c:layout>
                <c:manualLayout>
                  <c:x val="1.2878247828189859E-2"/>
                  <c:y val="-0.286721196372412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A86-4021-8CF4-F733D89E6719}"/>
                </c:ext>
              </c:extLst>
            </c:dLbl>
            <c:dLbl>
              <c:idx val="1"/>
              <c:layout>
                <c:manualLayout>
                  <c:x val="-9.0147734797329862E-2"/>
                  <c:y val="-0.344065435646894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A86-4021-8CF4-F733D89E6719}"/>
                </c:ext>
              </c:extLst>
            </c:dLbl>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PivotFields!$A$48:$A$50</c:f>
              <c:strCache>
                <c:ptCount val="2"/>
                <c:pt idx="0">
                  <c:v>High Risk</c:v>
                </c:pt>
                <c:pt idx="1">
                  <c:v>Low Risk</c:v>
                </c:pt>
              </c:strCache>
            </c:strRef>
          </c:cat>
          <c:val>
            <c:numRef>
              <c:f>PivotFields!$D$48:$D$50</c:f>
              <c:numCache>
                <c:formatCode>0.00%</c:formatCode>
                <c:ptCount val="2"/>
                <c:pt idx="0">
                  <c:v>0.46721518987341776</c:v>
                </c:pt>
                <c:pt idx="1">
                  <c:v>0.52551111111111104</c:v>
                </c:pt>
              </c:numCache>
            </c:numRef>
          </c:val>
          <c:extLst>
            <c:ext xmlns:c16="http://schemas.microsoft.com/office/drawing/2014/chart" uri="{C3380CC4-5D6E-409C-BE32-E72D297353CC}">
              <c16:uniqueId val="{0000000E-7A86-4021-8CF4-F733D89E6719}"/>
            </c:ext>
          </c:extLst>
        </c:ser>
        <c:dLbls>
          <c:showLegendKey val="0"/>
          <c:showVal val="0"/>
          <c:showCatName val="0"/>
          <c:showSerName val="0"/>
          <c:showPercent val="0"/>
          <c:showBubbleSize val="0"/>
          <c:showLeaderLines val="1"/>
        </c:dLbls>
        <c:firstSliceAng val="0"/>
        <c:holeSize val="3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b="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[LoanAnalytics.xlsx]PivotFields!PivotTable5</c:name>
    <c:fmtId val="4"/>
  </c:pivotSource>
  <c:chart>
    <c:title>
      <c:tx>
        <c:rich>
          <a:bodyPr rot="0" spcFirstLastPara="1" vertOverflow="ellipsis" vert="horz" wrap="square" anchor="ctr" anchorCtr="1"/>
          <a:lstStyle/>
          <a:p>
            <a:pPr>
              <a:defRPr sz="1000" b="1" i="0" u="none" strike="noStrike" kern="1200" spc="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r>
              <a:rPr lang="en-IN" sz="1000"/>
              <a:t>Chart Gender Wise Loan Approval</a:t>
            </a:r>
          </a:p>
        </c:rich>
      </c:tx>
      <c:layout>
        <c:manualLayout>
          <c:xMode val="edge"/>
          <c:yMode val="edge"/>
          <c:x val="0.13952797868579891"/>
          <c:y val="0"/>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PivotFields!$B$29:$B$30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PivotFields!$A$31:$A$34</c:f>
              <c:strCache>
                <c:ptCount val="3"/>
                <c:pt idx="0">
                  <c:v>Female</c:v>
                </c:pt>
                <c:pt idx="1">
                  <c:v>Male</c:v>
                </c:pt>
                <c:pt idx="2">
                  <c:v>Not Mentioned</c:v>
                </c:pt>
              </c:strCache>
            </c:strRef>
          </c:cat>
          <c:val>
            <c:numRef>
              <c:f>PivotFields!$B$31:$B$34</c:f>
              <c:numCache>
                <c:formatCode>0.00%</c:formatCode>
                <c:ptCount val="3"/>
                <c:pt idx="0">
                  <c:v>0.71578947368421053</c:v>
                </c:pt>
                <c:pt idx="1">
                  <c:v>0.2772511848341232</c:v>
                </c:pt>
                <c:pt idx="2">
                  <c:v>0.25</c:v>
                </c:pt>
              </c:numCache>
            </c:numRef>
          </c:val>
          <c:smooth val="0"/>
          <c:extLst>
            <c:ext xmlns:c16="http://schemas.microsoft.com/office/drawing/2014/chart" uri="{C3380CC4-5D6E-409C-BE32-E72D297353CC}">
              <c16:uniqueId val="{00000000-FD46-47CE-AC9E-6C9D0F57B7A7}"/>
            </c:ext>
          </c:extLst>
        </c:ser>
        <c:ser>
          <c:idx val="1"/>
          <c:order val="1"/>
          <c:tx>
            <c:strRef>
              <c:f>PivotFields!$C$29:$C$30</c:f>
              <c:strCache>
                <c:ptCount val="1"/>
                <c:pt idx="0">
                  <c:v>Not Mentioned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PivotFields!$A$31:$A$34</c:f>
              <c:strCache>
                <c:ptCount val="3"/>
                <c:pt idx="0">
                  <c:v>Female</c:v>
                </c:pt>
                <c:pt idx="1">
                  <c:v>Male</c:v>
                </c:pt>
                <c:pt idx="2">
                  <c:v>Not Mentioned</c:v>
                </c:pt>
              </c:strCache>
            </c:strRef>
          </c:cat>
          <c:val>
            <c:numRef>
              <c:f>PivotFields!$C$31:$C$34</c:f>
              <c:numCache>
                <c:formatCode>0.00%</c:formatCode>
                <c:ptCount val="3"/>
                <c:pt idx="0">
                  <c:v>0</c:v>
                </c:pt>
                <c:pt idx="1">
                  <c:v>4.7393364928909956E-3</c:v>
                </c:pt>
                <c:pt idx="2">
                  <c:v>0</c:v>
                </c:pt>
              </c:numCache>
            </c:numRef>
          </c:val>
          <c:smooth val="0"/>
          <c:extLst>
            <c:ext xmlns:c16="http://schemas.microsoft.com/office/drawing/2014/chart" uri="{C3380CC4-5D6E-409C-BE32-E72D297353CC}">
              <c16:uniqueId val="{00000001-FD46-47CE-AC9E-6C9D0F57B7A7}"/>
            </c:ext>
          </c:extLst>
        </c:ser>
        <c:ser>
          <c:idx val="2"/>
          <c:order val="2"/>
          <c:tx>
            <c:strRef>
              <c:f>PivotFields!$D$29:$D$30</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PivotFields!$A$31:$A$34</c:f>
              <c:strCache>
                <c:ptCount val="3"/>
                <c:pt idx="0">
                  <c:v>Female</c:v>
                </c:pt>
                <c:pt idx="1">
                  <c:v>Male</c:v>
                </c:pt>
                <c:pt idx="2">
                  <c:v>Not Mentioned</c:v>
                </c:pt>
              </c:strCache>
            </c:strRef>
          </c:cat>
          <c:val>
            <c:numRef>
              <c:f>PivotFields!$D$31:$D$34</c:f>
              <c:numCache>
                <c:formatCode>0.00%</c:formatCode>
                <c:ptCount val="3"/>
                <c:pt idx="0">
                  <c:v>0.28421052631578947</c:v>
                </c:pt>
                <c:pt idx="1">
                  <c:v>0.71800947867298581</c:v>
                </c:pt>
                <c:pt idx="2">
                  <c:v>0.75</c:v>
                </c:pt>
              </c:numCache>
            </c:numRef>
          </c:val>
          <c:smooth val="0"/>
          <c:extLst>
            <c:ext xmlns:c16="http://schemas.microsoft.com/office/drawing/2014/chart" uri="{C3380CC4-5D6E-409C-BE32-E72D297353CC}">
              <c16:uniqueId val="{00000006-FD46-47CE-AC9E-6C9D0F57B7A7}"/>
            </c:ext>
          </c:extLst>
        </c:ser>
        <c:dLbls>
          <c:showLegendKey val="0"/>
          <c:showVal val="0"/>
          <c:showCatName val="0"/>
          <c:showSerName val="0"/>
          <c:showPercent val="0"/>
          <c:showBubbleSize val="0"/>
        </c:dLbls>
        <c:marker val="1"/>
        <c:smooth val="0"/>
        <c:axId val="33890479"/>
        <c:axId val="33889519"/>
      </c:lineChart>
      <c:catAx>
        <c:axId val="3389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crossAx val="33889519"/>
        <c:crosses val="autoZero"/>
        <c:auto val="1"/>
        <c:lblAlgn val="ctr"/>
        <c:lblOffset val="100"/>
        <c:noMultiLvlLbl val="0"/>
      </c:catAx>
      <c:valAx>
        <c:axId val="338895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crossAx val="3389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[LoanAnalytics.xlsx]PivotFields!PivotTable4</c:name>
    <c:fmtId val="5"/>
  </c:pivotSource>
  <c:chart>
    <c:title>
      <c:tx>
        <c:rich>
          <a:bodyPr rot="0" spcFirstLastPara="1" vertOverflow="ellipsis" vert="horz" wrap="square" anchor="ctr" anchorCtr="1"/>
          <a:lstStyle/>
          <a:p>
            <a:pPr>
              <a:defRPr lang="en-US" sz="1000" b="1" i="0" u="none" strike="noStrike" kern="1200" spc="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r>
              <a:rPr lang="en-US" sz="1000"/>
              <a:t>Various Loan Terms</a:t>
            </a:r>
          </a:p>
        </c:rich>
      </c:tx>
      <c:layout>
        <c:manualLayout>
          <c:xMode val="edge"/>
          <c:yMode val="edge"/>
          <c:x val="0.26154000605736955"/>
          <c:y val="0"/>
        </c:manualLayout>
      </c:layout>
      <c:overlay val="0"/>
      <c:spPr>
        <a:noFill/>
        <a:ln>
          <a:noFill/>
        </a:ln>
        <a:effectLst/>
      </c:spPr>
      <c:txPr>
        <a:bodyPr rot="0" spcFirstLastPara="1" vertOverflow="ellipsis" vert="horz" wrap="square" anchor="ctr" anchorCtr="1"/>
        <a:lstStyle/>
        <a:p>
          <a:pPr>
            <a:defRPr lang="en-US" sz="1000" b="1" i="0" u="none" strike="noStrike" kern="1200" spc="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PivotFields!$B$63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PivotFields!$A$64:$A$73</c:f>
              <c:strCache>
                <c:ptCount val="9"/>
                <c:pt idx="0">
                  <c:v>36</c:v>
                </c:pt>
                <c:pt idx="1">
                  <c:v>60</c:v>
                </c:pt>
                <c:pt idx="2">
                  <c:v>84</c:v>
                </c:pt>
                <c:pt idx="3">
                  <c:v>120</c:v>
                </c:pt>
                <c:pt idx="4">
                  <c:v>180</c:v>
                </c:pt>
                <c:pt idx="5">
                  <c:v>240</c:v>
                </c:pt>
                <c:pt idx="6">
                  <c:v>300</c:v>
                </c:pt>
                <c:pt idx="7">
                  <c:v>360</c:v>
                </c:pt>
                <c:pt idx="8">
                  <c:v>480</c:v>
                </c:pt>
              </c:strCache>
            </c:strRef>
          </c:cat>
          <c:val>
            <c:numRef>
              <c:f>PivotFields!$B$64:$B$73</c:f>
              <c:numCache>
                <c:formatCode>General</c:formatCode>
                <c:ptCount val="9"/>
                <c:pt idx="0">
                  <c:v>2</c:v>
                </c:pt>
                <c:pt idx="1">
                  <c:v>2</c:v>
                </c:pt>
                <c:pt idx="2">
                  <c:v>3</c:v>
                </c:pt>
                <c:pt idx="3">
                  <c:v>3</c:v>
                </c:pt>
                <c:pt idx="4">
                  <c:v>41</c:v>
                </c:pt>
                <c:pt idx="5">
                  <c:v>2</c:v>
                </c:pt>
                <c:pt idx="6">
                  <c:v>10</c:v>
                </c:pt>
                <c:pt idx="7">
                  <c:v>452</c:v>
                </c:pt>
                <c:pt idx="8">
                  <c:v>14</c:v>
                </c:pt>
              </c:numCache>
            </c:numRef>
          </c:val>
          <c:smooth val="0"/>
          <c:extLst>
            <c:ext xmlns:c16="http://schemas.microsoft.com/office/drawing/2014/chart" uri="{C3380CC4-5D6E-409C-BE32-E72D297353CC}">
              <c16:uniqueId val="{00000000-CB53-4676-8D84-A2FB0E7FB73B}"/>
            </c:ext>
          </c:extLst>
        </c:ser>
        <c:dLbls>
          <c:showLegendKey val="0"/>
          <c:showVal val="0"/>
          <c:showCatName val="0"/>
          <c:showSerName val="0"/>
          <c:showPercent val="0"/>
          <c:showBubbleSize val="0"/>
        </c:dLbls>
        <c:marker val="1"/>
        <c:smooth val="0"/>
        <c:axId val="918712607"/>
        <c:axId val="918700127"/>
      </c:lineChart>
      <c:catAx>
        <c:axId val="91871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crossAx val="918700127"/>
        <c:crosses val="autoZero"/>
        <c:auto val="1"/>
        <c:lblAlgn val="ctr"/>
        <c:lblOffset val="100"/>
        <c:noMultiLvlLbl val="0"/>
      </c:catAx>
      <c:valAx>
        <c:axId val="91870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crossAx val="91871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[LoanAnalytics.xlsx]PivotFields!PivotTable2</c:name>
    <c:fmtId val="21"/>
  </c:pivotSource>
  <c:chart>
    <c:title>
      <c:tx>
        <c:rich>
          <a:bodyPr rot="0" spcFirstLastPara="1" vertOverflow="ellipsis" vert="horz" wrap="square" anchor="ctr" anchorCtr="1"/>
          <a:lstStyle/>
          <a:p>
            <a:pPr>
              <a:defRPr sz="1200" b="1" i="0" u="none" strike="noStrike" kern="1200" spc="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r>
              <a:rPr lang="en-US" sz="1200"/>
              <a:t>Gender Wise Income</a:t>
            </a:r>
          </a:p>
        </c:rich>
      </c:tx>
      <c:layout>
        <c:manualLayout>
          <c:xMode val="edge"/>
          <c:yMode val="edge"/>
          <c:x val="0.17456689856197863"/>
          <c:y val="1.5054666516910273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1372625149584726E-4"/>
              <c:y val="-1.0159677261141285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72008492525939727"/>
                  <c:h val="0.10113001867904783"/>
                </c:manualLayout>
              </c15:layout>
            </c:ext>
          </c:extLst>
        </c:dLbl>
      </c:pivotFmt>
      <c:pivotFmt>
        <c:idx val="4"/>
        <c:spPr>
          <a:solidFill>
            <a:schemeClr val="accent2">
              <a:lumMod val="75000"/>
            </a:schemeClr>
          </a:solidFill>
          <a:ln>
            <a:noFill/>
          </a:ln>
          <a:effectLst/>
        </c:spPr>
        <c:dLbl>
          <c:idx val="0"/>
          <c:layout>
            <c:manualLayout>
              <c:x val="-2.3520327299805578E-3"/>
              <c:y val="-0.2297229496833334"/>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6039791149345024"/>
                  <c:h val="9.1559340427795538E-2"/>
                </c:manualLayout>
              </c15:layout>
            </c:ext>
          </c:extLst>
        </c:dLbl>
      </c:pivotFmt>
      <c:pivotFmt>
        <c:idx val="5"/>
        <c:spPr>
          <a:solidFill>
            <a:schemeClr val="accent2">
              <a:lumMod val="75000"/>
            </a:schemeClr>
          </a:solidFill>
          <a:ln>
            <a:noFill/>
          </a:ln>
          <a:effectLst/>
        </c:spPr>
        <c:dLbl>
          <c:idx val="0"/>
          <c:layout>
            <c:manualLayout>
              <c:x val="-7.3618914196802915E-2"/>
              <c:y val="-7.0447837803156679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543104422430003"/>
                  <c:h val="9.1559340427795538E-2"/>
                </c:manualLayout>
              </c15:layout>
            </c:ext>
          </c:extLst>
        </c:dLbl>
      </c:pivotFmt>
    </c:pivotFmts>
    <c:plotArea>
      <c:layout>
        <c:manualLayout>
          <c:layoutTarget val="inner"/>
          <c:xMode val="edge"/>
          <c:yMode val="edge"/>
          <c:x val="0.12400107761985435"/>
          <c:y val="0.17801713786238751"/>
          <c:w val="0.77455451964949762"/>
          <c:h val="0.62344246966617867"/>
        </c:manualLayout>
      </c:layout>
      <c:barChart>
        <c:barDir val="col"/>
        <c:grouping val="clustered"/>
        <c:varyColors val="0"/>
        <c:ser>
          <c:idx val="0"/>
          <c:order val="0"/>
          <c:tx>
            <c:strRef>
              <c:f>PivotFields!$O$3</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3-C612-427D-99B9-850F92F9BB9F}"/>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1-C612-427D-99B9-850F92F9BB9F}"/>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2-C612-427D-99B9-850F92F9BB9F}"/>
              </c:ext>
            </c:extLst>
          </c:dPt>
          <c:dLbls>
            <c:dLbl>
              <c:idx val="0"/>
              <c:layout>
                <c:manualLayout>
                  <c:x val="-7.3618914196802915E-2"/>
                  <c:y val="-7.0447837803156679E-2"/>
                </c:manualLayout>
              </c:layout>
              <c:showLegendKey val="0"/>
              <c:showVal val="1"/>
              <c:showCatName val="0"/>
              <c:showSerName val="0"/>
              <c:showPercent val="0"/>
              <c:showBubbleSize val="0"/>
              <c:extLst>
                <c:ext xmlns:c15="http://schemas.microsoft.com/office/drawing/2012/chart" uri="{CE6537A1-D6FC-4f65-9D91-7224C49458BB}">
                  <c15:layout>
                    <c:manualLayout>
                      <c:w val="0.5543104422430003"/>
                      <c:h val="9.1559340427795538E-2"/>
                    </c:manualLayout>
                  </c15:layout>
                </c:ext>
                <c:ext xmlns:c16="http://schemas.microsoft.com/office/drawing/2014/chart" uri="{C3380CC4-5D6E-409C-BE32-E72D297353CC}">
                  <c16:uniqueId val="{00000003-C612-427D-99B9-850F92F9BB9F}"/>
                </c:ext>
              </c:extLst>
            </c:dLbl>
            <c:dLbl>
              <c:idx val="1"/>
              <c:layout>
                <c:manualLayout>
                  <c:x val="-1.1372625149584726E-4"/>
                  <c:y val="-1.0159677261141285E-2"/>
                </c:manualLayout>
              </c:layout>
              <c:showLegendKey val="0"/>
              <c:showVal val="1"/>
              <c:showCatName val="0"/>
              <c:showSerName val="0"/>
              <c:showPercent val="0"/>
              <c:showBubbleSize val="0"/>
              <c:extLst>
                <c:ext xmlns:c15="http://schemas.microsoft.com/office/drawing/2012/chart" uri="{CE6537A1-D6FC-4f65-9D91-7224C49458BB}">
                  <c15:layout>
                    <c:manualLayout>
                      <c:w val="0.72008492525939727"/>
                      <c:h val="0.10113001867904783"/>
                    </c:manualLayout>
                  </c15:layout>
                </c:ext>
                <c:ext xmlns:c16="http://schemas.microsoft.com/office/drawing/2014/chart" uri="{C3380CC4-5D6E-409C-BE32-E72D297353CC}">
                  <c16:uniqueId val="{00000001-C612-427D-99B9-850F92F9BB9F}"/>
                </c:ext>
              </c:extLst>
            </c:dLbl>
            <c:dLbl>
              <c:idx val="2"/>
              <c:layout>
                <c:manualLayout>
                  <c:x val="-2.3520327299805578E-3"/>
                  <c:y val="-0.2297229496833334"/>
                </c:manualLayout>
              </c:layout>
              <c:showLegendKey val="0"/>
              <c:showVal val="1"/>
              <c:showCatName val="0"/>
              <c:showSerName val="0"/>
              <c:showPercent val="0"/>
              <c:showBubbleSize val="0"/>
              <c:extLst>
                <c:ext xmlns:c15="http://schemas.microsoft.com/office/drawing/2012/chart" uri="{CE6537A1-D6FC-4f65-9D91-7224C49458BB}">
                  <c15:layout>
                    <c:manualLayout>
                      <c:w val="0.6039791149345024"/>
                      <c:h val="9.1559340427795538E-2"/>
                    </c:manualLayout>
                  </c15:layout>
                </c:ext>
                <c:ext xmlns:c16="http://schemas.microsoft.com/office/drawing/2014/chart" uri="{C3380CC4-5D6E-409C-BE32-E72D297353CC}">
                  <c16:uniqueId val="{00000002-C612-427D-99B9-850F92F9BB9F}"/>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PivotFields!$N$4:$N$7</c:f>
              <c:strCache>
                <c:ptCount val="3"/>
                <c:pt idx="0">
                  <c:v>Female</c:v>
                </c:pt>
                <c:pt idx="1">
                  <c:v>Male</c:v>
                </c:pt>
                <c:pt idx="2">
                  <c:v>Not Mentioned</c:v>
                </c:pt>
              </c:strCache>
            </c:strRef>
          </c:cat>
          <c:val>
            <c:numRef>
              <c:f>PivotFields!$O$4:$O$7</c:f>
              <c:numCache>
                <c:formatCode>"₹"\ #,##0.00;[Red]"₹"\ #,##0.00</c:formatCode>
                <c:ptCount val="3"/>
                <c:pt idx="0">
                  <c:v>528036</c:v>
                </c:pt>
                <c:pt idx="1">
                  <c:v>3054305</c:v>
                </c:pt>
                <c:pt idx="2">
                  <c:v>147224</c:v>
                </c:pt>
              </c:numCache>
            </c:numRef>
          </c:val>
          <c:extLst>
            <c:ext xmlns:c16="http://schemas.microsoft.com/office/drawing/2014/chart" uri="{C3380CC4-5D6E-409C-BE32-E72D297353CC}">
              <c16:uniqueId val="{00000000-C612-427D-99B9-850F92F9BB9F}"/>
            </c:ext>
          </c:extLst>
        </c:ser>
        <c:dLbls>
          <c:showLegendKey val="0"/>
          <c:showVal val="1"/>
          <c:showCatName val="0"/>
          <c:showSerName val="0"/>
          <c:showPercent val="0"/>
          <c:showBubbleSize val="0"/>
        </c:dLbls>
        <c:gapWidth val="53"/>
        <c:axId val="997256352"/>
        <c:axId val="997266432"/>
      </c:barChart>
      <c:catAx>
        <c:axId val="997256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crossAx val="997266432"/>
        <c:crosses val="autoZero"/>
        <c:auto val="1"/>
        <c:lblAlgn val="ctr"/>
        <c:lblOffset val="100"/>
        <c:noMultiLvlLbl val="0"/>
      </c:catAx>
      <c:valAx>
        <c:axId val="997266432"/>
        <c:scaling>
          <c:orientation val="minMax"/>
        </c:scaling>
        <c:delete val="1"/>
        <c:axPos val="l"/>
        <c:numFmt formatCode="&quot;₹&quot;\ #,##0.00;[Red]&quot;₹&quot;\ #,##0.00" sourceLinked="1"/>
        <c:majorTickMark val="out"/>
        <c:minorTickMark val="none"/>
        <c:tickLblPos val="nextTo"/>
        <c:crossAx val="9972563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9.xml"/><Relationship Id="rId7" Type="http://schemas.openxmlformats.org/officeDocument/2006/relationships/image" Target="../media/image2.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175260</xdr:colOff>
      <xdr:row>2</xdr:row>
      <xdr:rowOff>26670</xdr:rowOff>
    </xdr:from>
    <xdr:to>
      <xdr:col>5</xdr:col>
      <xdr:colOff>594360</xdr:colOff>
      <xdr:row>10</xdr:row>
      <xdr:rowOff>60960</xdr:rowOff>
    </xdr:to>
    <xdr:graphicFrame macro="">
      <xdr:nvGraphicFramePr>
        <xdr:cNvPr id="2" name="Chart 1">
          <a:extLst>
            <a:ext uri="{FF2B5EF4-FFF2-40B4-BE49-F238E27FC236}">
              <a16:creationId xmlns:a16="http://schemas.microsoft.com/office/drawing/2014/main" id="{9AADE835-98F5-9546-E76F-CE6E95C5C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83820</xdr:colOff>
      <xdr:row>13</xdr:row>
      <xdr:rowOff>19050</xdr:rowOff>
    </xdr:from>
    <xdr:to>
      <xdr:col>5</xdr:col>
      <xdr:colOff>541020</xdr:colOff>
      <xdr:row>24</xdr:row>
      <xdr:rowOff>121920</xdr:rowOff>
    </xdr:to>
    <xdr:graphicFrame macro="">
      <xdr:nvGraphicFramePr>
        <xdr:cNvPr id="3" name="Chart 2">
          <a:extLst>
            <a:ext uri="{FF2B5EF4-FFF2-40B4-BE49-F238E27FC236}">
              <a16:creationId xmlns:a16="http://schemas.microsoft.com/office/drawing/2014/main" id="{FA705D97-5D04-CAF4-20B8-B2981EA99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53340</xdr:colOff>
      <xdr:row>28</xdr:row>
      <xdr:rowOff>57150</xdr:rowOff>
    </xdr:from>
    <xdr:to>
      <xdr:col>11</xdr:col>
      <xdr:colOff>541020</xdr:colOff>
      <xdr:row>43</xdr:row>
      <xdr:rowOff>57150</xdr:rowOff>
    </xdr:to>
    <xdr:graphicFrame macro="">
      <xdr:nvGraphicFramePr>
        <xdr:cNvPr id="4" name="Chart 3">
          <a:extLst>
            <a:ext uri="{FF2B5EF4-FFF2-40B4-BE49-F238E27FC236}">
              <a16:creationId xmlns:a16="http://schemas.microsoft.com/office/drawing/2014/main" id="{A2C884B3-87A6-9D26-3B10-A055D5042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91440</xdr:colOff>
      <xdr:row>46</xdr:row>
      <xdr:rowOff>41910</xdr:rowOff>
    </xdr:from>
    <xdr:to>
      <xdr:col>11</xdr:col>
      <xdr:colOff>586740</xdr:colOff>
      <xdr:row>59</xdr:row>
      <xdr:rowOff>160020</xdr:rowOff>
    </xdr:to>
    <xdr:graphicFrame macro="">
      <xdr:nvGraphicFramePr>
        <xdr:cNvPr id="6" name="Chart 5">
          <a:extLst>
            <a:ext uri="{FF2B5EF4-FFF2-40B4-BE49-F238E27FC236}">
              <a16:creationId xmlns:a16="http://schemas.microsoft.com/office/drawing/2014/main" id="{2A0989F6-2B68-BC16-104D-BA14BE3573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130629</xdr:colOff>
      <xdr:row>63</xdr:row>
      <xdr:rowOff>54429</xdr:rowOff>
    </xdr:from>
    <xdr:to>
      <xdr:col>6</xdr:col>
      <xdr:colOff>250372</xdr:colOff>
      <xdr:row>78</xdr:row>
      <xdr:rowOff>21772</xdr:rowOff>
    </xdr:to>
    <xdr:graphicFrame macro="">
      <xdr:nvGraphicFramePr>
        <xdr:cNvPr id="7" name="Chart 6">
          <a:extLst>
            <a:ext uri="{FF2B5EF4-FFF2-40B4-BE49-F238E27FC236}">
              <a16:creationId xmlns:a16="http://schemas.microsoft.com/office/drawing/2014/main" id="{C12D619F-D43C-263B-53FB-51C85F6FB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772886</xdr:colOff>
      <xdr:row>11</xdr:row>
      <xdr:rowOff>97970</xdr:rowOff>
    </xdr:from>
    <xdr:to>
      <xdr:col>11</xdr:col>
      <xdr:colOff>468086</xdr:colOff>
      <xdr:row>17</xdr:row>
      <xdr:rowOff>48984</xdr:rowOff>
    </xdr:to>
    <mc:AlternateContent xmlns:mc="http://schemas.openxmlformats.org/markup-compatibility/2006" xmlns:a14="http://schemas.microsoft.com/office/drawing/2010/main">
      <mc:Choice Requires="a14">
        <xdr:graphicFrame macro="">
          <xdr:nvGraphicFramePr>
            <xdr:cNvPr id="12" name="Married">
              <a:extLst>
                <a:ext uri="{FF2B5EF4-FFF2-40B4-BE49-F238E27FC236}">
                  <a16:creationId xmlns:a16="http://schemas.microsoft.com/office/drawing/2014/main" id="{D57622DC-477B-4FC5-997C-8BF14E712FBB}"/>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mlns="">
        <xdr:sp macro="" textlink="">
          <xdr:nvSpPr>
            <xdr:cNvPr id="0" name=""/>
            <xdr:cNvSpPr>
              <a:spLocks noTextEdit="1"/>
            </xdr:cNvSpPr>
          </xdr:nvSpPr>
          <xdr:spPr>
            <a:xfrm>
              <a:off x="9184194" y="2120201"/>
              <a:ext cx="1834661" cy="1064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772886</xdr:colOff>
      <xdr:row>5</xdr:row>
      <xdr:rowOff>168728</xdr:rowOff>
    </xdr:from>
    <xdr:to>
      <xdr:col>11</xdr:col>
      <xdr:colOff>468086</xdr:colOff>
      <xdr:row>10</xdr:row>
      <xdr:rowOff>148631</xdr:rowOff>
    </xdr:to>
    <mc:AlternateContent xmlns:mc="http://schemas.openxmlformats.org/markup-compatibility/2006" xmlns:a14="http://schemas.microsoft.com/office/drawing/2010/main">
      <mc:Choice Requires="a14">
        <xdr:graphicFrame macro="">
          <xdr:nvGraphicFramePr>
            <xdr:cNvPr id="13" name="Education">
              <a:extLst>
                <a:ext uri="{FF2B5EF4-FFF2-40B4-BE49-F238E27FC236}">
                  <a16:creationId xmlns:a16="http://schemas.microsoft.com/office/drawing/2014/main" id="{E8FD9E84-5E12-48BC-A07B-4E70468764A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184194" y="1106574"/>
              <a:ext cx="1834661" cy="888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348343</xdr:colOff>
      <xdr:row>11</xdr:row>
      <xdr:rowOff>87085</xdr:rowOff>
    </xdr:from>
    <xdr:to>
      <xdr:col>9</xdr:col>
      <xdr:colOff>707572</xdr:colOff>
      <xdr:row>17</xdr:row>
      <xdr:rowOff>59870</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DE3FF4C8-9AE8-4087-8961-C5432A49CD6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79612" y="2109316"/>
              <a:ext cx="1839268" cy="1086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348343</xdr:colOff>
      <xdr:row>5</xdr:row>
      <xdr:rowOff>163285</xdr:rowOff>
    </xdr:from>
    <xdr:to>
      <xdr:col>9</xdr:col>
      <xdr:colOff>707572</xdr:colOff>
      <xdr:row>10</xdr:row>
      <xdr:rowOff>154074</xdr:rowOff>
    </xdr:to>
    <mc:AlternateContent xmlns:mc="http://schemas.openxmlformats.org/markup-compatibility/2006" xmlns:a14="http://schemas.microsoft.com/office/drawing/2010/main">
      <mc:Choice Requires="a14">
        <xdr:graphicFrame macro="">
          <xdr:nvGraphicFramePr>
            <xdr:cNvPr id="15" name="RiskCategory">
              <a:extLst>
                <a:ext uri="{FF2B5EF4-FFF2-40B4-BE49-F238E27FC236}">
                  <a16:creationId xmlns:a16="http://schemas.microsoft.com/office/drawing/2014/main" id="{9C1A6C32-4A72-4685-8CAF-87E1B360D1B3}"/>
                </a:ext>
              </a:extLst>
            </xdr:cNvPr>
            <xdr:cNvGraphicFramePr/>
          </xdr:nvGraphicFramePr>
          <xdr:xfrm>
            <a:off x="0" y="0"/>
            <a:ext cx="0" cy="0"/>
          </xdr:xfrm>
          <a:graphic>
            <a:graphicData uri="http://schemas.microsoft.com/office/drawing/2010/slicer">
              <sle:slicer xmlns:sle="http://schemas.microsoft.com/office/drawing/2010/slicer" name="RiskCategory"/>
            </a:graphicData>
          </a:graphic>
        </xdr:graphicFrame>
      </mc:Choice>
      <mc:Fallback xmlns="">
        <xdr:sp macro="" textlink="">
          <xdr:nvSpPr>
            <xdr:cNvPr id="0" name=""/>
            <xdr:cNvSpPr>
              <a:spLocks noTextEdit="1"/>
            </xdr:cNvSpPr>
          </xdr:nvSpPr>
          <xdr:spPr>
            <a:xfrm>
              <a:off x="7279612" y="1101131"/>
              <a:ext cx="1839268" cy="899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109904</xdr:colOff>
      <xdr:row>2</xdr:row>
      <xdr:rowOff>79130</xdr:rowOff>
    </xdr:from>
    <xdr:to>
      <xdr:col>20</xdr:col>
      <xdr:colOff>359019</xdr:colOff>
      <xdr:row>17</xdr:row>
      <xdr:rowOff>67407</xdr:rowOff>
    </xdr:to>
    <xdr:graphicFrame macro="">
      <xdr:nvGraphicFramePr>
        <xdr:cNvPr id="5" name="Chart 4">
          <a:extLst>
            <a:ext uri="{FF2B5EF4-FFF2-40B4-BE49-F238E27FC236}">
              <a16:creationId xmlns:a16="http://schemas.microsoft.com/office/drawing/2014/main" id="{60D5606A-4835-7BEE-C53D-9BB062535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236220</xdr:colOff>
      <xdr:row>2</xdr:row>
      <xdr:rowOff>99060</xdr:rowOff>
    </xdr:from>
    <xdr:to>
      <xdr:col>21</xdr:col>
      <xdr:colOff>307475</xdr:colOff>
      <xdr:row>31</xdr:row>
      <xdr:rowOff>120315</xdr:rowOff>
    </xdr:to>
    <xdr:sp macro="" textlink="">
      <xdr:nvSpPr>
        <xdr:cNvPr id="2" name="Rectangle 1">
          <a:extLst>
            <a:ext uri="{FF2B5EF4-FFF2-40B4-BE49-F238E27FC236}">
              <a16:creationId xmlns:a16="http://schemas.microsoft.com/office/drawing/2014/main" id="{C99AE26C-66B5-3C4F-8A3B-97C860CE4293}"/>
            </a:ext>
          </a:extLst>
        </xdr:cNvPr>
        <xdr:cNvSpPr/>
      </xdr:nvSpPr>
      <xdr:spPr>
        <a:xfrm>
          <a:off x="2669273" y="460007"/>
          <a:ext cx="10411728" cy="5254992"/>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243840</xdr:colOff>
      <xdr:row>2</xdr:row>
      <xdr:rowOff>99060</xdr:rowOff>
    </xdr:from>
    <xdr:to>
      <xdr:col>6</xdr:col>
      <xdr:colOff>533400</xdr:colOff>
      <xdr:row>31</xdr:row>
      <xdr:rowOff>120315</xdr:rowOff>
    </xdr:to>
    <xdr:sp macro="" textlink="">
      <xdr:nvSpPr>
        <xdr:cNvPr id="3" name="Rectangle 2">
          <a:extLst>
            <a:ext uri="{FF2B5EF4-FFF2-40B4-BE49-F238E27FC236}">
              <a16:creationId xmlns:a16="http://schemas.microsoft.com/office/drawing/2014/main" id="{A2D5168A-00F0-7280-E409-A465BCF70007}"/>
            </a:ext>
          </a:extLst>
        </xdr:cNvPr>
        <xdr:cNvSpPr/>
      </xdr:nvSpPr>
      <xdr:spPr>
        <a:xfrm>
          <a:off x="2682240" y="468028"/>
          <a:ext cx="1508760" cy="5371298"/>
        </a:xfrm>
        <a:prstGeom prst="rect">
          <a:avLst/>
        </a:prstGeom>
        <a:gradFill>
          <a:gsLst>
            <a:gs pos="0">
              <a:srgbClr val="002060"/>
            </a:gs>
            <a:gs pos="55000">
              <a:srgbClr val="002060"/>
            </a:gs>
            <a:gs pos="24000">
              <a:srgbClr val="173163">
                <a:lumMod val="100000"/>
              </a:srgbClr>
            </a:gs>
            <a:gs pos="76000">
              <a:schemeClr val="accent1">
                <a:lumMod val="55000"/>
              </a:schemeClr>
            </a:gs>
            <a:gs pos="100000">
              <a:srgbClr val="00206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525780</xdr:colOff>
      <xdr:row>2</xdr:row>
      <xdr:rowOff>97693</xdr:rowOff>
    </xdr:from>
    <xdr:to>
      <xdr:col>21</xdr:col>
      <xdr:colOff>307474</xdr:colOff>
      <xdr:row>6</xdr:row>
      <xdr:rowOff>50246</xdr:rowOff>
    </xdr:to>
    <xdr:sp macro="" textlink="">
      <xdr:nvSpPr>
        <xdr:cNvPr id="5" name="Rectangle 4">
          <a:extLst>
            <a:ext uri="{FF2B5EF4-FFF2-40B4-BE49-F238E27FC236}">
              <a16:creationId xmlns:a16="http://schemas.microsoft.com/office/drawing/2014/main" id="{B25D8AD4-B7D5-4949-9228-4CF3E8886CE6}"/>
            </a:ext>
          </a:extLst>
        </xdr:cNvPr>
        <xdr:cNvSpPr/>
      </xdr:nvSpPr>
      <xdr:spPr>
        <a:xfrm rot="5400000">
          <a:off x="8290956" y="-3656957"/>
          <a:ext cx="674448" cy="8905641"/>
        </a:xfrm>
        <a:prstGeom prst="rect">
          <a:avLst/>
        </a:prstGeom>
        <a:gradFill>
          <a:gsLst>
            <a:gs pos="0">
              <a:srgbClr val="002060"/>
            </a:gs>
            <a:gs pos="55000">
              <a:srgbClr val="002060"/>
            </a:gs>
            <a:gs pos="24000">
              <a:srgbClr val="173163">
                <a:lumMod val="100000"/>
              </a:srgbClr>
            </a:gs>
            <a:gs pos="76000">
              <a:schemeClr val="accent1">
                <a:lumMod val="55000"/>
              </a:schemeClr>
            </a:gs>
            <a:gs pos="100000">
              <a:srgbClr val="002060"/>
            </a:gs>
          </a:gsLst>
          <a:lin ang="5400000" scaled="1"/>
        </a:gradFill>
        <a:ln>
          <a:no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579120</xdr:colOff>
      <xdr:row>6</xdr:row>
      <xdr:rowOff>95250</xdr:rowOff>
    </xdr:from>
    <xdr:to>
      <xdr:col>9</xdr:col>
      <xdr:colOff>173790</xdr:colOff>
      <xdr:row>12</xdr:row>
      <xdr:rowOff>11462</xdr:rowOff>
    </xdr:to>
    <xdr:sp macro="" textlink="">
      <xdr:nvSpPr>
        <xdr:cNvPr id="8" name="Rectangle: Rounded Corners 7">
          <a:extLst>
            <a:ext uri="{FF2B5EF4-FFF2-40B4-BE49-F238E27FC236}">
              <a16:creationId xmlns:a16="http://schemas.microsoft.com/office/drawing/2014/main" id="{D53828E6-654C-738C-3E3D-6EFC80F14F9E}"/>
            </a:ext>
          </a:extLst>
        </xdr:cNvPr>
        <xdr:cNvSpPr/>
      </xdr:nvSpPr>
      <xdr:spPr>
        <a:xfrm>
          <a:off x="4236720" y="1171015"/>
          <a:ext cx="1423470" cy="991976"/>
        </a:xfrm>
        <a:prstGeom prst="roundRect">
          <a:avLst>
            <a:gd name="adj" fmla="val 8559"/>
          </a:avLst>
        </a:prstGeom>
        <a:gradFill flip="none" rotWithShape="1">
          <a:gsLst>
            <a:gs pos="61000">
              <a:schemeClr val="accent2">
                <a:lumMod val="75000"/>
              </a:schemeClr>
            </a:gs>
            <a:gs pos="38000">
              <a:schemeClr val="accent2">
                <a:lumMod val="75000"/>
              </a:schemeClr>
            </a:gs>
            <a:gs pos="0">
              <a:schemeClr val="accent1">
                <a:lumMod val="60000"/>
                <a:lumOff val="40000"/>
              </a:schemeClr>
            </a:gs>
            <a:gs pos="100000">
              <a:schemeClr val="accent2">
                <a:lumMod val="50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247316</xdr:colOff>
      <xdr:row>6</xdr:row>
      <xdr:rowOff>104430</xdr:rowOff>
    </xdr:from>
    <xdr:to>
      <xdr:col>11</xdr:col>
      <xdr:colOff>451889</xdr:colOff>
      <xdr:row>12</xdr:row>
      <xdr:rowOff>20642</xdr:rowOff>
    </xdr:to>
    <xdr:sp macro="" textlink="">
      <xdr:nvSpPr>
        <xdr:cNvPr id="9" name="Rectangle: Rounded Corners 8">
          <a:extLst>
            <a:ext uri="{FF2B5EF4-FFF2-40B4-BE49-F238E27FC236}">
              <a16:creationId xmlns:a16="http://schemas.microsoft.com/office/drawing/2014/main" id="{A86D6B7F-E34A-4928-90F4-AF1B7317D5E9}"/>
            </a:ext>
          </a:extLst>
        </xdr:cNvPr>
        <xdr:cNvSpPr/>
      </xdr:nvSpPr>
      <xdr:spPr>
        <a:xfrm>
          <a:off x="5733716" y="1180195"/>
          <a:ext cx="1423773" cy="991976"/>
        </a:xfrm>
        <a:prstGeom prst="roundRect">
          <a:avLst>
            <a:gd name="adj" fmla="val 8559"/>
          </a:avLst>
        </a:prstGeom>
        <a:gradFill flip="none" rotWithShape="1">
          <a:gsLst>
            <a:gs pos="61000">
              <a:schemeClr val="accent1">
                <a:lumMod val="50000"/>
              </a:schemeClr>
            </a:gs>
            <a:gs pos="19000">
              <a:schemeClr val="accent1">
                <a:lumMod val="75000"/>
              </a:schemeClr>
            </a:gs>
            <a:gs pos="0">
              <a:schemeClr val="accent1">
                <a:lumMod val="75000"/>
              </a:schemeClr>
            </a:gs>
            <a:gs pos="100000">
              <a:schemeClr val="accent1">
                <a:lumMod val="50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394368</xdr:colOff>
      <xdr:row>6</xdr:row>
      <xdr:rowOff>92753</xdr:rowOff>
    </xdr:from>
    <xdr:to>
      <xdr:col>18</xdr:col>
      <xdr:colOff>548584</xdr:colOff>
      <xdr:row>12</xdr:row>
      <xdr:rowOff>8965</xdr:rowOff>
    </xdr:to>
    <xdr:sp macro="" textlink="">
      <xdr:nvSpPr>
        <xdr:cNvPr id="10" name="Rectangle: Rounded Corners 9">
          <a:extLst>
            <a:ext uri="{FF2B5EF4-FFF2-40B4-BE49-F238E27FC236}">
              <a16:creationId xmlns:a16="http://schemas.microsoft.com/office/drawing/2014/main" id="{F3765C34-A3D2-48C5-B4AD-B19B940B7CBA}"/>
            </a:ext>
          </a:extLst>
        </xdr:cNvPr>
        <xdr:cNvSpPr/>
      </xdr:nvSpPr>
      <xdr:spPr>
        <a:xfrm>
          <a:off x="10147968" y="1168518"/>
          <a:ext cx="1373416" cy="991976"/>
        </a:xfrm>
        <a:prstGeom prst="roundRect">
          <a:avLst>
            <a:gd name="adj" fmla="val 8559"/>
          </a:avLst>
        </a:prstGeom>
        <a:gradFill flip="none" rotWithShape="1">
          <a:gsLst>
            <a:gs pos="61000">
              <a:schemeClr val="accent1">
                <a:lumMod val="50000"/>
              </a:schemeClr>
            </a:gs>
            <a:gs pos="19000">
              <a:schemeClr val="accent1">
                <a:lumMod val="75000"/>
              </a:schemeClr>
            </a:gs>
            <a:gs pos="0">
              <a:schemeClr val="accent1">
                <a:lumMod val="75000"/>
              </a:schemeClr>
            </a:gs>
            <a:gs pos="100000">
              <a:schemeClr val="accent1">
                <a:lumMod val="50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160421</xdr:colOff>
      <xdr:row>6</xdr:row>
      <xdr:rowOff>86069</xdr:rowOff>
    </xdr:from>
    <xdr:to>
      <xdr:col>16</xdr:col>
      <xdr:colOff>334464</xdr:colOff>
      <xdr:row>12</xdr:row>
      <xdr:rowOff>2281</xdr:rowOff>
    </xdr:to>
    <xdr:sp macro="" textlink="">
      <xdr:nvSpPr>
        <xdr:cNvPr id="11" name="Rectangle: Rounded Corners 10">
          <a:extLst>
            <a:ext uri="{FF2B5EF4-FFF2-40B4-BE49-F238E27FC236}">
              <a16:creationId xmlns:a16="http://schemas.microsoft.com/office/drawing/2014/main" id="{4B24385B-94A9-47F3-88C7-430B698B56C0}"/>
            </a:ext>
          </a:extLst>
        </xdr:cNvPr>
        <xdr:cNvSpPr/>
      </xdr:nvSpPr>
      <xdr:spPr>
        <a:xfrm>
          <a:off x="8694821" y="1161834"/>
          <a:ext cx="1393243" cy="991976"/>
        </a:xfrm>
        <a:prstGeom prst="roundRect">
          <a:avLst>
            <a:gd name="adj" fmla="val 8559"/>
          </a:avLst>
        </a:prstGeom>
        <a:gradFill flip="none" rotWithShape="1">
          <a:gsLst>
            <a:gs pos="61000">
              <a:schemeClr val="accent1">
                <a:lumMod val="50000"/>
              </a:schemeClr>
            </a:gs>
            <a:gs pos="19000">
              <a:schemeClr val="accent1">
                <a:lumMod val="75000"/>
              </a:schemeClr>
            </a:gs>
            <a:gs pos="0">
              <a:schemeClr val="accent1">
                <a:lumMod val="75000"/>
              </a:schemeClr>
            </a:gs>
            <a:gs pos="100000">
              <a:schemeClr val="accent1">
                <a:lumMod val="50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514684</xdr:colOff>
      <xdr:row>6</xdr:row>
      <xdr:rowOff>95250</xdr:rowOff>
    </xdr:from>
    <xdr:to>
      <xdr:col>14</xdr:col>
      <xdr:colOff>107463</xdr:colOff>
      <xdr:row>12</xdr:row>
      <xdr:rowOff>11462</xdr:rowOff>
    </xdr:to>
    <xdr:sp macro="" textlink="">
      <xdr:nvSpPr>
        <xdr:cNvPr id="12" name="Rectangle: Rounded Corners 11">
          <a:extLst>
            <a:ext uri="{FF2B5EF4-FFF2-40B4-BE49-F238E27FC236}">
              <a16:creationId xmlns:a16="http://schemas.microsoft.com/office/drawing/2014/main" id="{2A81FC52-D5A0-46F7-AB25-04D3A3045B22}"/>
            </a:ext>
          </a:extLst>
        </xdr:cNvPr>
        <xdr:cNvSpPr/>
      </xdr:nvSpPr>
      <xdr:spPr>
        <a:xfrm>
          <a:off x="7220284" y="1171015"/>
          <a:ext cx="1421579" cy="991976"/>
        </a:xfrm>
        <a:prstGeom prst="roundRect">
          <a:avLst>
            <a:gd name="adj" fmla="val 8559"/>
          </a:avLst>
        </a:prstGeom>
        <a:gradFill flip="none" rotWithShape="1">
          <a:gsLst>
            <a:gs pos="61000">
              <a:schemeClr val="accent1">
                <a:lumMod val="50000"/>
              </a:schemeClr>
            </a:gs>
            <a:gs pos="19000">
              <a:schemeClr val="accent1">
                <a:lumMod val="75000"/>
              </a:schemeClr>
            </a:gs>
            <a:gs pos="0">
              <a:schemeClr val="accent1">
                <a:lumMod val="75000"/>
              </a:schemeClr>
            </a:gs>
            <a:gs pos="100000">
              <a:schemeClr val="accent1">
                <a:lumMod val="50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57061</xdr:colOff>
      <xdr:row>6</xdr:row>
      <xdr:rowOff>60240</xdr:rowOff>
    </xdr:from>
    <xdr:to>
      <xdr:col>9</xdr:col>
      <xdr:colOff>95161</xdr:colOff>
      <xdr:row>10</xdr:row>
      <xdr:rowOff>6900</xdr:rowOff>
    </xdr:to>
    <xdr:sp macro="" textlink="">
      <xdr:nvSpPr>
        <xdr:cNvPr id="13" name="TextBox 12">
          <a:extLst>
            <a:ext uri="{FF2B5EF4-FFF2-40B4-BE49-F238E27FC236}">
              <a16:creationId xmlns:a16="http://schemas.microsoft.com/office/drawing/2014/main" id="{06B1B7F8-173C-4238-9135-2D44BA342721}"/>
            </a:ext>
          </a:extLst>
        </xdr:cNvPr>
        <xdr:cNvSpPr txBox="1"/>
      </xdr:nvSpPr>
      <xdr:spPr>
        <a:xfrm>
          <a:off x="4324261" y="1136005"/>
          <a:ext cx="1257300" cy="663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rPr>
            <a:t>Total Loan Applicantions</a:t>
          </a:r>
        </a:p>
      </xdr:txBody>
    </xdr:sp>
    <xdr:clientData/>
  </xdr:twoCellAnchor>
  <xdr:twoCellAnchor>
    <xdr:from>
      <xdr:col>12</xdr:col>
      <xdr:colOff>17304</xdr:colOff>
      <xdr:row>6</xdr:row>
      <xdr:rowOff>60240</xdr:rowOff>
    </xdr:from>
    <xdr:to>
      <xdr:col>14</xdr:col>
      <xdr:colOff>55404</xdr:colOff>
      <xdr:row>10</xdr:row>
      <xdr:rowOff>6900</xdr:rowOff>
    </xdr:to>
    <xdr:sp macro="" textlink="">
      <xdr:nvSpPr>
        <xdr:cNvPr id="14" name="TextBox 13">
          <a:extLst>
            <a:ext uri="{FF2B5EF4-FFF2-40B4-BE49-F238E27FC236}">
              <a16:creationId xmlns:a16="http://schemas.microsoft.com/office/drawing/2014/main" id="{E0B52036-0614-4BF1-B1EE-34CDB8F8B24C}"/>
            </a:ext>
          </a:extLst>
        </xdr:cNvPr>
        <xdr:cNvSpPr txBox="1"/>
      </xdr:nvSpPr>
      <xdr:spPr>
        <a:xfrm>
          <a:off x="7332504" y="1136005"/>
          <a:ext cx="1257300" cy="663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rPr>
            <a:t>Minimum Loan Approved</a:t>
          </a:r>
        </a:p>
      </xdr:txBody>
    </xdr:sp>
    <xdr:clientData/>
  </xdr:twoCellAnchor>
  <xdr:twoCellAnchor>
    <xdr:from>
      <xdr:col>14</xdr:col>
      <xdr:colOff>228943</xdr:colOff>
      <xdr:row>6</xdr:row>
      <xdr:rowOff>60240</xdr:rowOff>
    </xdr:from>
    <xdr:to>
      <xdr:col>16</xdr:col>
      <xdr:colOff>267043</xdr:colOff>
      <xdr:row>10</xdr:row>
      <xdr:rowOff>6900</xdr:rowOff>
    </xdr:to>
    <xdr:sp macro="" textlink="">
      <xdr:nvSpPr>
        <xdr:cNvPr id="15" name="TextBox 14">
          <a:extLst>
            <a:ext uri="{FF2B5EF4-FFF2-40B4-BE49-F238E27FC236}">
              <a16:creationId xmlns:a16="http://schemas.microsoft.com/office/drawing/2014/main" id="{2DA1A24E-65B8-4524-90C6-BB7A7DD4CB86}"/>
            </a:ext>
          </a:extLst>
        </xdr:cNvPr>
        <xdr:cNvSpPr txBox="1"/>
      </xdr:nvSpPr>
      <xdr:spPr>
        <a:xfrm>
          <a:off x="8763343" y="1136005"/>
          <a:ext cx="1257300" cy="663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rPr>
            <a:t>Total Loan Approved</a:t>
          </a:r>
        </a:p>
      </xdr:txBody>
    </xdr:sp>
    <xdr:clientData/>
  </xdr:twoCellAnchor>
  <xdr:twoCellAnchor>
    <xdr:from>
      <xdr:col>9</xdr:col>
      <xdr:colOff>270181</xdr:colOff>
      <xdr:row>6</xdr:row>
      <xdr:rowOff>60240</xdr:rowOff>
    </xdr:from>
    <xdr:to>
      <xdr:col>11</xdr:col>
      <xdr:colOff>472141</xdr:colOff>
      <xdr:row>10</xdr:row>
      <xdr:rowOff>6900</xdr:rowOff>
    </xdr:to>
    <xdr:sp macro="" textlink="">
      <xdr:nvSpPr>
        <xdr:cNvPr id="16" name="TextBox 15">
          <a:extLst>
            <a:ext uri="{FF2B5EF4-FFF2-40B4-BE49-F238E27FC236}">
              <a16:creationId xmlns:a16="http://schemas.microsoft.com/office/drawing/2014/main" id="{4A581A53-32CB-445B-8092-DFD0967A8601}"/>
            </a:ext>
          </a:extLst>
        </xdr:cNvPr>
        <xdr:cNvSpPr txBox="1"/>
      </xdr:nvSpPr>
      <xdr:spPr>
        <a:xfrm>
          <a:off x="5756581" y="1136005"/>
          <a:ext cx="1421160" cy="663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rPr>
            <a:t>Maximum Loan Approved</a:t>
          </a:r>
        </a:p>
      </xdr:txBody>
    </xdr:sp>
    <xdr:clientData/>
  </xdr:twoCellAnchor>
  <xdr:twoCellAnchor>
    <xdr:from>
      <xdr:col>16</xdr:col>
      <xdr:colOff>384908</xdr:colOff>
      <xdr:row>6</xdr:row>
      <xdr:rowOff>119187</xdr:rowOff>
    </xdr:from>
    <xdr:to>
      <xdr:col>18</xdr:col>
      <xdr:colOff>542260</xdr:colOff>
      <xdr:row>9</xdr:row>
      <xdr:rowOff>127247</xdr:rowOff>
    </xdr:to>
    <xdr:sp macro="" textlink="">
      <xdr:nvSpPr>
        <xdr:cNvPr id="17" name="TextBox 16">
          <a:extLst>
            <a:ext uri="{FF2B5EF4-FFF2-40B4-BE49-F238E27FC236}">
              <a16:creationId xmlns:a16="http://schemas.microsoft.com/office/drawing/2014/main" id="{02CDDAF2-A226-44CE-8D32-85E1F3161251}"/>
            </a:ext>
          </a:extLst>
        </xdr:cNvPr>
        <xdr:cNvSpPr txBox="1"/>
      </xdr:nvSpPr>
      <xdr:spPr>
        <a:xfrm>
          <a:off x="10138508" y="1194952"/>
          <a:ext cx="1376552" cy="545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rPr>
            <a:t>Highest</a:t>
          </a:r>
          <a:r>
            <a:rPr lang="en-IN" sz="1200" b="1"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rPr>
            <a:t> Loan Term</a:t>
          </a:r>
          <a:endParaRPr lang="en-IN" sz="1200"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endParaRPr>
        </a:p>
      </xdr:txBody>
    </xdr:sp>
    <xdr:clientData/>
  </xdr:twoCellAnchor>
  <xdr:twoCellAnchor>
    <xdr:from>
      <xdr:col>9</xdr:col>
      <xdr:colOff>599066</xdr:colOff>
      <xdr:row>9</xdr:row>
      <xdr:rowOff>21766</xdr:rowOff>
    </xdr:from>
    <xdr:to>
      <xdr:col>11</xdr:col>
      <xdr:colOff>112288</xdr:colOff>
      <xdr:row>11</xdr:row>
      <xdr:rowOff>70676</xdr:rowOff>
    </xdr:to>
    <xdr:sp macro="" textlink="Summarized!C21">
      <xdr:nvSpPr>
        <xdr:cNvPr id="18" name="TextBox 17">
          <a:extLst>
            <a:ext uri="{FF2B5EF4-FFF2-40B4-BE49-F238E27FC236}">
              <a16:creationId xmlns:a16="http://schemas.microsoft.com/office/drawing/2014/main" id="{A821A592-453C-41CB-1D94-5E4637896AA3}"/>
            </a:ext>
          </a:extLst>
        </xdr:cNvPr>
        <xdr:cNvSpPr txBox="1"/>
      </xdr:nvSpPr>
      <xdr:spPr>
        <a:xfrm>
          <a:off x="6085466" y="1635413"/>
          <a:ext cx="732422" cy="407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3F42E-D930-488C-B501-BA1FB647CDD6}" type="TxLink">
            <a:rPr lang="en-US" sz="2400" b="1" i="0" u="none" strike="noStrike">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rPr>
            <a:pPr algn="ctr"/>
            <a:t>700</a:t>
          </a:fld>
          <a:endParaRPr lang="en-IN" sz="2400"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endParaRPr>
        </a:p>
      </xdr:txBody>
    </xdr:sp>
    <xdr:clientData/>
  </xdr:twoCellAnchor>
  <xdr:twoCellAnchor>
    <xdr:from>
      <xdr:col>12</xdr:col>
      <xdr:colOff>346381</xdr:colOff>
      <xdr:row>9</xdr:row>
      <xdr:rowOff>21766</xdr:rowOff>
    </xdr:from>
    <xdr:to>
      <xdr:col>13</xdr:col>
      <xdr:colOff>300661</xdr:colOff>
      <xdr:row>11</xdr:row>
      <xdr:rowOff>70676</xdr:rowOff>
    </xdr:to>
    <xdr:sp macro="" textlink="Summarized!E21">
      <xdr:nvSpPr>
        <xdr:cNvPr id="19" name="TextBox 18">
          <a:extLst>
            <a:ext uri="{FF2B5EF4-FFF2-40B4-BE49-F238E27FC236}">
              <a16:creationId xmlns:a16="http://schemas.microsoft.com/office/drawing/2014/main" id="{263CC547-5C9D-4B37-AC19-CBA63DBFACAE}"/>
            </a:ext>
          </a:extLst>
        </xdr:cNvPr>
        <xdr:cNvSpPr txBox="1"/>
      </xdr:nvSpPr>
      <xdr:spPr>
        <a:xfrm>
          <a:off x="7661581" y="1635413"/>
          <a:ext cx="563880" cy="407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C6D3C2-5357-49A3-A90E-6046C0B03563}" type="TxLink">
            <a:rPr lang="en-US" sz="2400" b="1" i="0" u="none" strike="noStrike">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rPr>
            <a:pPr algn="ctr"/>
            <a:t>17</a:t>
          </a:fld>
          <a:endParaRPr lang="en-IN" sz="2400"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endParaRPr>
        </a:p>
      </xdr:txBody>
    </xdr:sp>
    <xdr:clientData/>
  </xdr:twoCellAnchor>
  <xdr:twoCellAnchor>
    <xdr:from>
      <xdr:col>14</xdr:col>
      <xdr:colOff>246425</xdr:colOff>
      <xdr:row>9</xdr:row>
      <xdr:rowOff>21766</xdr:rowOff>
    </xdr:from>
    <xdr:to>
      <xdr:col>16</xdr:col>
      <xdr:colOff>206189</xdr:colOff>
      <xdr:row>11</xdr:row>
      <xdr:rowOff>70676</xdr:rowOff>
    </xdr:to>
    <xdr:sp macro="" textlink="Summarized!G21">
      <xdr:nvSpPr>
        <xdr:cNvPr id="20" name="TextBox 19">
          <a:extLst>
            <a:ext uri="{FF2B5EF4-FFF2-40B4-BE49-F238E27FC236}">
              <a16:creationId xmlns:a16="http://schemas.microsoft.com/office/drawing/2014/main" id="{DC59E65F-35AB-42B5-85DC-4BE6F0E4AD9B}"/>
            </a:ext>
          </a:extLst>
        </xdr:cNvPr>
        <xdr:cNvSpPr txBox="1"/>
      </xdr:nvSpPr>
      <xdr:spPr>
        <a:xfrm>
          <a:off x="8780825" y="1635413"/>
          <a:ext cx="1178964" cy="407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EA1278-5FE9-421C-81C0-D6C92B82863C}" type="TxLink">
            <a:rPr lang="en-US" sz="2400" b="1" i="0" u="none" strike="noStrike">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rPr>
            <a:pPr algn="ctr"/>
            <a:t>52,630</a:t>
          </a:fld>
          <a:endParaRPr lang="en-IN" sz="2400"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endParaRPr>
        </a:p>
      </xdr:txBody>
    </xdr:sp>
    <xdr:clientData/>
  </xdr:twoCellAnchor>
  <xdr:twoCellAnchor>
    <xdr:from>
      <xdr:col>17</xdr:col>
      <xdr:colOff>134443</xdr:colOff>
      <xdr:row>9</xdr:row>
      <xdr:rowOff>21766</xdr:rowOff>
    </xdr:from>
    <xdr:to>
      <xdr:col>18</xdr:col>
      <xdr:colOff>198380</xdr:colOff>
      <xdr:row>11</xdr:row>
      <xdr:rowOff>70676</xdr:rowOff>
    </xdr:to>
    <xdr:sp macro="" textlink="Summarized!C26">
      <xdr:nvSpPr>
        <xdr:cNvPr id="21" name="TextBox 20">
          <a:extLst>
            <a:ext uri="{FF2B5EF4-FFF2-40B4-BE49-F238E27FC236}">
              <a16:creationId xmlns:a16="http://schemas.microsoft.com/office/drawing/2014/main" id="{DFB38ACC-F68B-43DA-96FC-35031E71E9BF}"/>
            </a:ext>
          </a:extLst>
        </xdr:cNvPr>
        <xdr:cNvSpPr txBox="1"/>
      </xdr:nvSpPr>
      <xdr:spPr>
        <a:xfrm>
          <a:off x="10497643" y="1635413"/>
          <a:ext cx="673537" cy="407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A9A60D-388C-4D51-AE18-22202A5EB7D2}" type="TxLink">
            <a:rPr lang="en-US" sz="2400" b="1" i="0" u="none" strike="noStrike">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rPr>
            <a:pPr algn="ctr"/>
            <a:t>480</a:t>
          </a:fld>
          <a:endParaRPr lang="en-IN" sz="2400"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endParaRPr>
        </a:p>
      </xdr:txBody>
    </xdr:sp>
    <xdr:clientData/>
  </xdr:twoCellAnchor>
  <xdr:twoCellAnchor>
    <xdr:from>
      <xdr:col>7</xdr:col>
      <xdr:colOff>334703</xdr:colOff>
      <xdr:row>9</xdr:row>
      <xdr:rowOff>21766</xdr:rowOff>
    </xdr:from>
    <xdr:to>
      <xdr:col>8</xdr:col>
      <xdr:colOff>426143</xdr:colOff>
      <xdr:row>11</xdr:row>
      <xdr:rowOff>70676</xdr:rowOff>
    </xdr:to>
    <xdr:sp macro="" textlink="Summarized!E26">
      <xdr:nvSpPr>
        <xdr:cNvPr id="22" name="TextBox 21">
          <a:extLst>
            <a:ext uri="{FF2B5EF4-FFF2-40B4-BE49-F238E27FC236}">
              <a16:creationId xmlns:a16="http://schemas.microsoft.com/office/drawing/2014/main" id="{70F22D47-DB46-4236-828C-D65CF6918B9E}"/>
            </a:ext>
          </a:extLst>
        </xdr:cNvPr>
        <xdr:cNvSpPr txBox="1"/>
      </xdr:nvSpPr>
      <xdr:spPr>
        <a:xfrm>
          <a:off x="4601903" y="1635413"/>
          <a:ext cx="701040" cy="407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42EBF2-59B0-480A-9827-DEFEBE1FF7FB}" type="TxLink">
            <a:rPr lang="en-US" sz="2400" b="1" i="0" u="none" strike="noStrike">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rPr>
            <a:pPr algn="ctr"/>
            <a:t>529</a:t>
          </a:fld>
          <a:endParaRPr lang="en-IN" sz="2400"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endParaRPr>
        </a:p>
      </xdr:txBody>
    </xdr:sp>
    <xdr:clientData/>
  </xdr:twoCellAnchor>
  <xdr:twoCellAnchor>
    <xdr:from>
      <xdr:col>6</xdr:col>
      <xdr:colOff>579120</xdr:colOff>
      <xdr:row>12</xdr:row>
      <xdr:rowOff>40446</xdr:rowOff>
    </xdr:from>
    <xdr:to>
      <xdr:col>12</xdr:col>
      <xdr:colOff>528205</xdr:colOff>
      <xdr:row>21</xdr:row>
      <xdr:rowOff>60961</xdr:rowOff>
    </xdr:to>
    <xdr:sp macro="" textlink="">
      <xdr:nvSpPr>
        <xdr:cNvPr id="23" name="Rectangle: Rounded Corners 22">
          <a:extLst>
            <a:ext uri="{FF2B5EF4-FFF2-40B4-BE49-F238E27FC236}">
              <a16:creationId xmlns:a16="http://schemas.microsoft.com/office/drawing/2014/main" id="{1A3676A6-A51C-42DD-BBEF-B5586BBAF42E}"/>
            </a:ext>
          </a:extLst>
        </xdr:cNvPr>
        <xdr:cNvSpPr/>
      </xdr:nvSpPr>
      <xdr:spPr>
        <a:xfrm>
          <a:off x="4236720" y="2191975"/>
          <a:ext cx="3606685" cy="1634162"/>
        </a:xfrm>
        <a:prstGeom prst="roundRect">
          <a:avLst>
            <a:gd name="adj" fmla="val 8559"/>
          </a:avLst>
        </a:prstGeom>
        <a:gradFill flip="none" rotWithShape="1">
          <a:gsLst>
            <a:gs pos="61000">
              <a:schemeClr val="accent1">
                <a:lumMod val="50000"/>
              </a:schemeClr>
            </a:gs>
            <a:gs pos="19000">
              <a:schemeClr val="accent1">
                <a:lumMod val="75000"/>
              </a:schemeClr>
            </a:gs>
            <a:gs pos="0">
              <a:schemeClr val="accent1">
                <a:lumMod val="75000"/>
              </a:schemeClr>
            </a:gs>
            <a:gs pos="100000">
              <a:schemeClr val="accent1">
                <a:lumMod val="50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60960</xdr:colOff>
      <xdr:row>12</xdr:row>
      <xdr:rowOff>98612</xdr:rowOff>
    </xdr:from>
    <xdr:to>
      <xdr:col>12</xdr:col>
      <xdr:colOff>415637</xdr:colOff>
      <xdr:row>21</xdr:row>
      <xdr:rowOff>0</xdr:rowOff>
    </xdr:to>
    <xdr:graphicFrame macro="">
      <xdr:nvGraphicFramePr>
        <xdr:cNvPr id="24" name="Chart 23">
          <a:extLst>
            <a:ext uri="{FF2B5EF4-FFF2-40B4-BE49-F238E27FC236}">
              <a16:creationId xmlns:a16="http://schemas.microsoft.com/office/drawing/2014/main" id="{745D5745-3C68-4503-8EF4-E16539F46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577389</xdr:colOff>
      <xdr:row>12</xdr:row>
      <xdr:rowOff>42327</xdr:rowOff>
    </xdr:from>
    <xdr:to>
      <xdr:col>18</xdr:col>
      <xdr:colOff>564776</xdr:colOff>
      <xdr:row>21</xdr:row>
      <xdr:rowOff>59365</xdr:rowOff>
    </xdr:to>
    <xdr:sp macro="" textlink="">
      <xdr:nvSpPr>
        <xdr:cNvPr id="25" name="Rectangle: Rounded Corners 24">
          <a:extLst>
            <a:ext uri="{FF2B5EF4-FFF2-40B4-BE49-F238E27FC236}">
              <a16:creationId xmlns:a16="http://schemas.microsoft.com/office/drawing/2014/main" id="{928C5A64-F6FE-4C74-89A1-C474CFEF4A37}"/>
            </a:ext>
          </a:extLst>
        </xdr:cNvPr>
        <xdr:cNvSpPr/>
      </xdr:nvSpPr>
      <xdr:spPr>
        <a:xfrm>
          <a:off x="7892589" y="2193856"/>
          <a:ext cx="3644987" cy="1630685"/>
        </a:xfrm>
        <a:prstGeom prst="roundRect">
          <a:avLst>
            <a:gd name="adj" fmla="val 8559"/>
          </a:avLst>
        </a:prstGeom>
        <a:gradFill flip="none" rotWithShape="1">
          <a:gsLst>
            <a:gs pos="61000">
              <a:schemeClr val="accent1">
                <a:lumMod val="50000"/>
              </a:schemeClr>
            </a:gs>
            <a:gs pos="19000">
              <a:schemeClr val="accent1">
                <a:lumMod val="75000"/>
              </a:schemeClr>
            </a:gs>
            <a:gs pos="0">
              <a:schemeClr val="accent1">
                <a:lumMod val="75000"/>
              </a:schemeClr>
            </a:gs>
            <a:gs pos="100000">
              <a:schemeClr val="accent1">
                <a:lumMod val="50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118110</xdr:colOff>
      <xdr:row>12</xdr:row>
      <xdr:rowOff>80683</xdr:rowOff>
    </xdr:from>
    <xdr:to>
      <xdr:col>18</xdr:col>
      <xdr:colOff>564227</xdr:colOff>
      <xdr:row>20</xdr:row>
      <xdr:rowOff>168681</xdr:rowOff>
    </xdr:to>
    <xdr:graphicFrame macro="">
      <xdr:nvGraphicFramePr>
        <xdr:cNvPr id="26" name="Chart 25">
          <a:extLst>
            <a:ext uri="{FF2B5EF4-FFF2-40B4-BE49-F238E27FC236}">
              <a16:creationId xmlns:a16="http://schemas.microsoft.com/office/drawing/2014/main" id="{841A6071-EDAD-484F-9F6D-A0C2CEEC0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577515</xdr:colOff>
      <xdr:row>21</xdr:row>
      <xdr:rowOff>88606</xdr:rowOff>
    </xdr:from>
    <xdr:to>
      <xdr:col>18</xdr:col>
      <xdr:colOff>562840</xdr:colOff>
      <xdr:row>31</xdr:row>
      <xdr:rowOff>88606</xdr:rowOff>
    </xdr:to>
    <xdr:sp macro="" textlink="">
      <xdr:nvSpPr>
        <xdr:cNvPr id="28" name="Rectangle: Rounded Corners 27">
          <a:extLst>
            <a:ext uri="{FF2B5EF4-FFF2-40B4-BE49-F238E27FC236}">
              <a16:creationId xmlns:a16="http://schemas.microsoft.com/office/drawing/2014/main" id="{68C3ACF9-F0A6-4145-B5BE-BC5156C403B9}"/>
            </a:ext>
          </a:extLst>
        </xdr:cNvPr>
        <xdr:cNvSpPr/>
      </xdr:nvSpPr>
      <xdr:spPr>
        <a:xfrm>
          <a:off x="4228027" y="3934048"/>
          <a:ext cx="7286348" cy="1831163"/>
        </a:xfrm>
        <a:prstGeom prst="roundRect">
          <a:avLst>
            <a:gd name="adj" fmla="val 8559"/>
          </a:avLst>
        </a:prstGeom>
        <a:gradFill flip="none" rotWithShape="1">
          <a:gsLst>
            <a:gs pos="61000">
              <a:schemeClr val="accent1">
                <a:lumMod val="50000"/>
              </a:schemeClr>
            </a:gs>
            <a:gs pos="19000">
              <a:schemeClr val="accent1">
                <a:lumMod val="75000"/>
              </a:schemeClr>
            </a:gs>
            <a:gs pos="0">
              <a:schemeClr val="accent1">
                <a:lumMod val="75000"/>
              </a:schemeClr>
            </a:gs>
            <a:gs pos="100000">
              <a:schemeClr val="accent1">
                <a:lumMod val="50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177217</xdr:colOff>
      <xdr:row>21</xdr:row>
      <xdr:rowOff>154825</xdr:rowOff>
    </xdr:from>
    <xdr:to>
      <xdr:col>14</xdr:col>
      <xdr:colOff>324280</xdr:colOff>
      <xdr:row>31</xdr:row>
      <xdr:rowOff>95418</xdr:rowOff>
    </xdr:to>
    <xdr:graphicFrame macro="">
      <xdr:nvGraphicFramePr>
        <xdr:cNvPr id="27" name="Chart 26">
          <a:extLst>
            <a:ext uri="{FF2B5EF4-FFF2-40B4-BE49-F238E27FC236}">
              <a16:creationId xmlns:a16="http://schemas.microsoft.com/office/drawing/2014/main" id="{793CC047-1313-4329-953C-10447568E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49698</xdr:colOff>
      <xdr:row>21</xdr:row>
      <xdr:rowOff>148918</xdr:rowOff>
    </xdr:from>
    <xdr:to>
      <xdr:col>11</xdr:col>
      <xdr:colOff>124047</xdr:colOff>
      <xdr:row>31</xdr:row>
      <xdr:rowOff>89511</xdr:rowOff>
    </xdr:to>
    <xdr:graphicFrame macro="">
      <xdr:nvGraphicFramePr>
        <xdr:cNvPr id="29" name="Chart 28">
          <a:extLst>
            <a:ext uri="{FF2B5EF4-FFF2-40B4-BE49-F238E27FC236}">
              <a16:creationId xmlns:a16="http://schemas.microsoft.com/office/drawing/2014/main" id="{725100D7-D490-4E60-812B-4306E0F73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383954</xdr:colOff>
      <xdr:row>21</xdr:row>
      <xdr:rowOff>148918</xdr:rowOff>
    </xdr:from>
    <xdr:to>
      <xdr:col>18</xdr:col>
      <xdr:colOff>389860</xdr:colOff>
      <xdr:row>31</xdr:row>
      <xdr:rowOff>89511</xdr:rowOff>
    </xdr:to>
    <xdr:graphicFrame macro="">
      <xdr:nvGraphicFramePr>
        <xdr:cNvPr id="30" name="Chart 29">
          <a:extLst>
            <a:ext uri="{FF2B5EF4-FFF2-40B4-BE49-F238E27FC236}">
              <a16:creationId xmlns:a16="http://schemas.microsoft.com/office/drawing/2014/main" id="{49419941-F0A0-462C-AA5A-9E5527E03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301842</xdr:colOff>
      <xdr:row>23</xdr:row>
      <xdr:rowOff>47422</xdr:rowOff>
    </xdr:from>
    <xdr:to>
      <xdr:col>6</xdr:col>
      <xdr:colOff>452886</xdr:colOff>
      <xdr:row>29</xdr:row>
      <xdr:rowOff>73887</xdr:rowOff>
    </xdr:to>
    <mc:AlternateContent xmlns:mc="http://schemas.openxmlformats.org/markup-compatibility/2006" xmlns:a14="http://schemas.microsoft.com/office/drawing/2010/main">
      <mc:Choice Requires="a14">
        <xdr:graphicFrame macro="">
          <xdr:nvGraphicFramePr>
            <xdr:cNvPr id="31" name="Married 1">
              <a:extLst>
                <a:ext uri="{FF2B5EF4-FFF2-40B4-BE49-F238E27FC236}">
                  <a16:creationId xmlns:a16="http://schemas.microsoft.com/office/drawing/2014/main" id="{1F91F673-FADB-4073-9C5E-D29A1380D59F}"/>
                </a:ext>
              </a:extLst>
            </xdr:cNvPr>
            <xdr:cNvGraphicFramePr/>
          </xdr:nvGraphicFramePr>
          <xdr:xfrm>
            <a:off x="0" y="0"/>
            <a:ext cx="0" cy="0"/>
          </xdr:xfrm>
          <a:graphic>
            <a:graphicData uri="http://schemas.microsoft.com/office/drawing/2010/slicer">
              <sle:slicer xmlns:sle="http://schemas.microsoft.com/office/drawing/2010/slicer" name="Married 1"/>
            </a:graphicData>
          </a:graphic>
        </xdr:graphicFrame>
      </mc:Choice>
      <mc:Fallback xmlns="">
        <xdr:sp macro="" textlink="">
          <xdr:nvSpPr>
            <xdr:cNvPr id="0" name=""/>
            <xdr:cNvSpPr>
              <a:spLocks noTextEdit="1"/>
            </xdr:cNvSpPr>
          </xdr:nvSpPr>
          <xdr:spPr>
            <a:xfrm>
              <a:off x="2726387" y="4229763"/>
              <a:ext cx="1363317" cy="1117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315133</xdr:colOff>
      <xdr:row>11</xdr:row>
      <xdr:rowOff>124351</xdr:rowOff>
    </xdr:from>
    <xdr:to>
      <xdr:col>6</xdr:col>
      <xdr:colOff>439596</xdr:colOff>
      <xdr:row>16</xdr:row>
      <xdr:rowOff>74820</xdr:rowOff>
    </xdr:to>
    <mc:AlternateContent xmlns:mc="http://schemas.openxmlformats.org/markup-compatibility/2006" xmlns:a14="http://schemas.microsoft.com/office/drawing/2010/main">
      <mc:Choice Requires="a14">
        <xdr:graphicFrame macro="">
          <xdr:nvGraphicFramePr>
            <xdr:cNvPr id="32" name="Education 1">
              <a:extLst>
                <a:ext uri="{FF2B5EF4-FFF2-40B4-BE49-F238E27FC236}">
                  <a16:creationId xmlns:a16="http://schemas.microsoft.com/office/drawing/2014/main" id="{84C48AF2-5A5A-4C31-AD6F-9AFAE9886058}"/>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2739678" y="2124601"/>
              <a:ext cx="1336736" cy="859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310911</xdr:colOff>
      <xdr:row>16</xdr:row>
      <xdr:rowOff>130057</xdr:rowOff>
    </xdr:from>
    <xdr:to>
      <xdr:col>6</xdr:col>
      <xdr:colOff>443817</xdr:colOff>
      <xdr:row>22</xdr:row>
      <xdr:rowOff>148131</xdr:rowOff>
    </xdr:to>
    <mc:AlternateContent xmlns:mc="http://schemas.openxmlformats.org/markup-compatibility/2006" xmlns:a14="http://schemas.microsoft.com/office/drawing/2010/main">
      <mc:Choice Requires="a14">
        <xdr:graphicFrame macro="">
          <xdr:nvGraphicFramePr>
            <xdr:cNvPr id="33" name="Gender 1">
              <a:extLst>
                <a:ext uri="{FF2B5EF4-FFF2-40B4-BE49-F238E27FC236}">
                  <a16:creationId xmlns:a16="http://schemas.microsoft.com/office/drawing/2014/main" id="{B50121B1-A835-484A-8462-1E7D85794EF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735456" y="3039512"/>
              <a:ext cx="1345179" cy="1109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324202</xdr:colOff>
      <xdr:row>6</xdr:row>
      <xdr:rowOff>114711</xdr:rowOff>
    </xdr:from>
    <xdr:to>
      <xdr:col>6</xdr:col>
      <xdr:colOff>430527</xdr:colOff>
      <xdr:row>11</xdr:row>
      <xdr:rowOff>49638</xdr:rowOff>
    </xdr:to>
    <mc:AlternateContent xmlns:mc="http://schemas.openxmlformats.org/markup-compatibility/2006" xmlns:a14="http://schemas.microsoft.com/office/drawing/2010/main">
      <mc:Choice Requires="a14">
        <xdr:graphicFrame macro="">
          <xdr:nvGraphicFramePr>
            <xdr:cNvPr id="34" name="RiskCategory 1">
              <a:extLst>
                <a:ext uri="{FF2B5EF4-FFF2-40B4-BE49-F238E27FC236}">
                  <a16:creationId xmlns:a16="http://schemas.microsoft.com/office/drawing/2014/main" id="{41C4F85D-C271-4B01-81FD-C765FD46AEF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iskCategory 1"/>
            </a:graphicData>
          </a:graphic>
        </xdr:graphicFrame>
      </mc:Choice>
      <mc:Fallback xmlns="">
        <xdr:sp macro="" textlink="">
          <xdr:nvSpPr>
            <xdr:cNvPr id="0" name=""/>
            <xdr:cNvSpPr>
              <a:spLocks noTextEdit="1"/>
            </xdr:cNvSpPr>
          </xdr:nvSpPr>
          <xdr:spPr>
            <a:xfrm>
              <a:off x="2748747" y="1205756"/>
              <a:ext cx="1318598" cy="844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417870</xdr:colOff>
      <xdr:row>2</xdr:row>
      <xdr:rowOff>124499</xdr:rowOff>
    </xdr:from>
    <xdr:to>
      <xdr:col>8</xdr:col>
      <xdr:colOff>481163</xdr:colOff>
      <xdr:row>6</xdr:row>
      <xdr:rowOff>29000</xdr:rowOff>
    </xdr:to>
    <xdr:pic>
      <xdr:nvPicPr>
        <xdr:cNvPr id="36" name="Graphic 35" descr="Bank">
          <a:extLst>
            <a:ext uri="{FF2B5EF4-FFF2-40B4-BE49-F238E27FC236}">
              <a16:creationId xmlns:a16="http://schemas.microsoft.com/office/drawing/2014/main" id="{CBF6AD37-4BE4-A779-AF17-2BBA68230E3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60825" y="488181"/>
          <a:ext cx="669429" cy="631864"/>
        </a:xfrm>
        <a:prstGeom prst="rect">
          <a:avLst/>
        </a:prstGeom>
        <a:ln>
          <a:noFill/>
        </a:ln>
        <a:effectLst/>
        <a:scene3d>
          <a:camera prst="orthographicFront">
            <a:rot lat="0" lon="0" rev="0"/>
          </a:camera>
          <a:lightRig rig="contrasting" dir="t">
            <a:rot lat="0" lon="0" rev="1500000"/>
          </a:lightRig>
        </a:scene3d>
        <a:sp3d prstMaterial="metal"/>
      </xdr:spPr>
    </xdr:pic>
    <xdr:clientData/>
  </xdr:twoCellAnchor>
  <xdr:twoCellAnchor>
    <xdr:from>
      <xdr:col>8</xdr:col>
      <xdr:colOff>516194</xdr:colOff>
      <xdr:row>2</xdr:row>
      <xdr:rowOff>103420</xdr:rowOff>
    </xdr:from>
    <xdr:to>
      <xdr:col>16</xdr:col>
      <xdr:colOff>405581</xdr:colOff>
      <xdr:row>6</xdr:row>
      <xdr:rowOff>50080</xdr:rowOff>
    </xdr:to>
    <xdr:sp macro="" textlink="">
      <xdr:nvSpPr>
        <xdr:cNvPr id="38" name="TextBox 37">
          <a:extLst>
            <a:ext uri="{FF2B5EF4-FFF2-40B4-BE49-F238E27FC236}">
              <a16:creationId xmlns:a16="http://schemas.microsoft.com/office/drawing/2014/main" id="{BF10851A-885A-4808-A9CC-6A33E893A2C4}"/>
            </a:ext>
          </a:extLst>
        </xdr:cNvPr>
        <xdr:cNvSpPr txBox="1"/>
      </xdr:nvSpPr>
      <xdr:spPr>
        <a:xfrm>
          <a:off x="5365285" y="467102"/>
          <a:ext cx="4738478" cy="674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rPr>
            <a:t>Loan Report</a:t>
          </a:r>
          <a:r>
            <a:rPr lang="en-IN" sz="3200" b="1"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rPr>
            <a:t> </a:t>
          </a:r>
          <a:r>
            <a:rPr lang="en-IN" sz="3200" b="1" baseline="0">
              <a:solidFill>
                <a:schemeClr val="bg1">
                  <a:lumMod val="65000"/>
                </a:schemeClr>
              </a:solidFill>
              <a:latin typeface="Nirmala UI Semilight" panose="020B0402040204020203" pitchFamily="34" charset="0"/>
              <a:ea typeface="Nirmala UI Semilight" panose="020B0402040204020203" pitchFamily="34" charset="0"/>
              <a:cs typeface="Nirmala UI Semilight" panose="020B0402040204020203" pitchFamily="34" charset="0"/>
            </a:rPr>
            <a:t>|</a:t>
          </a:r>
          <a:r>
            <a:rPr lang="en-IN" sz="3200" b="1" baseline="0">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rPr>
            <a:t> Summary</a:t>
          </a:r>
          <a:endParaRPr lang="en-IN" sz="3200"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endParaRPr>
        </a:p>
      </xdr:txBody>
    </xdr:sp>
    <xdr:clientData/>
  </xdr:twoCellAnchor>
  <xdr:twoCellAnchor editAs="oneCell">
    <xdr:from>
      <xdr:col>16</xdr:col>
      <xdr:colOff>541613</xdr:colOff>
      <xdr:row>2</xdr:row>
      <xdr:rowOff>123242</xdr:rowOff>
    </xdr:from>
    <xdr:to>
      <xdr:col>17</xdr:col>
      <xdr:colOff>596527</xdr:colOff>
      <xdr:row>6</xdr:row>
      <xdr:rowOff>30258</xdr:rowOff>
    </xdr:to>
    <xdr:pic>
      <xdr:nvPicPr>
        <xdr:cNvPr id="39" name="Graphic 38" descr="Bank">
          <a:extLst>
            <a:ext uri="{FF2B5EF4-FFF2-40B4-BE49-F238E27FC236}">
              <a16:creationId xmlns:a16="http://schemas.microsoft.com/office/drawing/2014/main" id="{01B4E806-FE34-460F-BDD0-DDAA5170BED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8"/>
            </a:ext>
          </a:extLst>
        </a:blip>
        <a:stretch>
          <a:fillRect/>
        </a:stretch>
      </xdr:blipFill>
      <xdr:spPr>
        <a:xfrm>
          <a:off x="10239795" y="486924"/>
          <a:ext cx="661050" cy="634379"/>
        </a:xfrm>
        <a:prstGeom prst="rect">
          <a:avLst/>
        </a:prstGeom>
        <a:ln>
          <a:noFill/>
        </a:ln>
        <a:effectLst/>
        <a:scene3d>
          <a:camera prst="orthographicFront">
            <a:rot lat="0" lon="0" rev="0"/>
          </a:camera>
          <a:lightRig rig="contrasting" dir="t">
            <a:rot lat="0" lon="0" rev="1500000"/>
          </a:lightRig>
        </a:scene3d>
        <a:sp3d prstMaterial="metal"/>
      </xdr:spPr>
    </xdr:pic>
    <xdr:clientData/>
  </xdr:twoCellAnchor>
  <xdr:twoCellAnchor>
    <xdr:from>
      <xdr:col>18</xdr:col>
      <xdr:colOff>601579</xdr:colOff>
      <xdr:row>6</xdr:row>
      <xdr:rowOff>79908</xdr:rowOff>
    </xdr:from>
    <xdr:to>
      <xdr:col>21</xdr:col>
      <xdr:colOff>242999</xdr:colOff>
      <xdr:row>11</xdr:row>
      <xdr:rowOff>175414</xdr:rowOff>
    </xdr:to>
    <xdr:sp macro="" textlink="">
      <xdr:nvSpPr>
        <xdr:cNvPr id="4" name="Rectangle: Rounded Corners 3">
          <a:extLst>
            <a:ext uri="{FF2B5EF4-FFF2-40B4-BE49-F238E27FC236}">
              <a16:creationId xmlns:a16="http://schemas.microsoft.com/office/drawing/2014/main" id="{5D9216F8-B71F-47FE-9CEE-607F553D186C}"/>
            </a:ext>
          </a:extLst>
        </xdr:cNvPr>
        <xdr:cNvSpPr/>
      </xdr:nvSpPr>
      <xdr:spPr>
        <a:xfrm>
          <a:off x="11574379" y="1155673"/>
          <a:ext cx="1470220" cy="991976"/>
        </a:xfrm>
        <a:prstGeom prst="roundRect">
          <a:avLst>
            <a:gd name="adj" fmla="val 8559"/>
          </a:avLst>
        </a:prstGeom>
        <a:gradFill flip="none" rotWithShape="1">
          <a:gsLst>
            <a:gs pos="61000">
              <a:schemeClr val="accent1">
                <a:lumMod val="50000"/>
              </a:schemeClr>
            </a:gs>
            <a:gs pos="19000">
              <a:schemeClr val="accent1">
                <a:lumMod val="75000"/>
              </a:schemeClr>
            </a:gs>
            <a:gs pos="0">
              <a:schemeClr val="accent1">
                <a:lumMod val="75000"/>
              </a:schemeClr>
            </a:gs>
            <a:gs pos="100000">
              <a:schemeClr val="accent1">
                <a:lumMod val="50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12508</xdr:colOff>
      <xdr:row>12</xdr:row>
      <xdr:rowOff>17930</xdr:rowOff>
    </xdr:from>
    <xdr:to>
      <xdr:col>21</xdr:col>
      <xdr:colOff>267369</xdr:colOff>
      <xdr:row>31</xdr:row>
      <xdr:rowOff>77931</xdr:rowOff>
    </xdr:to>
    <xdr:sp macro="" textlink="">
      <xdr:nvSpPr>
        <xdr:cNvPr id="7" name="Rectangle: Rounded Corners 6">
          <a:extLst>
            <a:ext uri="{FF2B5EF4-FFF2-40B4-BE49-F238E27FC236}">
              <a16:creationId xmlns:a16="http://schemas.microsoft.com/office/drawing/2014/main" id="{BF5BA7C1-3865-4701-AF46-B9C426A7E4E8}"/>
            </a:ext>
          </a:extLst>
        </xdr:cNvPr>
        <xdr:cNvSpPr/>
      </xdr:nvSpPr>
      <xdr:spPr>
        <a:xfrm>
          <a:off x="11594908" y="2169459"/>
          <a:ext cx="1474061" cy="3466590"/>
        </a:xfrm>
        <a:prstGeom prst="roundRect">
          <a:avLst>
            <a:gd name="adj" fmla="val 8559"/>
          </a:avLst>
        </a:prstGeom>
        <a:gradFill flip="none" rotWithShape="1">
          <a:gsLst>
            <a:gs pos="61000">
              <a:schemeClr val="accent1">
                <a:lumMod val="50000"/>
              </a:schemeClr>
            </a:gs>
            <a:gs pos="19000">
              <a:schemeClr val="accent1">
                <a:lumMod val="75000"/>
              </a:schemeClr>
            </a:gs>
            <a:gs pos="0">
              <a:schemeClr val="accent1">
                <a:lumMod val="75000"/>
              </a:schemeClr>
            </a:gs>
            <a:gs pos="100000">
              <a:schemeClr val="accent1">
                <a:lumMod val="50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45903</xdr:colOff>
      <xdr:row>12</xdr:row>
      <xdr:rowOff>35859</xdr:rowOff>
    </xdr:from>
    <xdr:to>
      <xdr:col>21</xdr:col>
      <xdr:colOff>207211</xdr:colOff>
      <xdr:row>31</xdr:row>
      <xdr:rowOff>3639</xdr:rowOff>
    </xdr:to>
    <xdr:graphicFrame macro="">
      <xdr:nvGraphicFramePr>
        <xdr:cNvPr id="6" name="Chart 5">
          <a:extLst>
            <a:ext uri="{FF2B5EF4-FFF2-40B4-BE49-F238E27FC236}">
              <a16:creationId xmlns:a16="http://schemas.microsoft.com/office/drawing/2014/main" id="{7FD17335-FBFF-41B7-ABFD-E505E8783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71718</xdr:colOff>
      <xdr:row>6</xdr:row>
      <xdr:rowOff>53788</xdr:rowOff>
    </xdr:from>
    <xdr:to>
      <xdr:col>21</xdr:col>
      <xdr:colOff>229070</xdr:colOff>
      <xdr:row>9</xdr:row>
      <xdr:rowOff>61848</xdr:rowOff>
    </xdr:to>
    <xdr:sp macro="" textlink="">
      <xdr:nvSpPr>
        <xdr:cNvPr id="40" name="TextBox 39">
          <a:extLst>
            <a:ext uri="{FF2B5EF4-FFF2-40B4-BE49-F238E27FC236}">
              <a16:creationId xmlns:a16="http://schemas.microsoft.com/office/drawing/2014/main" id="{7ABEC899-FE8D-4634-8689-8F805A8B1CC3}"/>
            </a:ext>
          </a:extLst>
        </xdr:cNvPr>
        <xdr:cNvSpPr txBox="1"/>
      </xdr:nvSpPr>
      <xdr:spPr>
        <a:xfrm>
          <a:off x="11654118" y="1129553"/>
          <a:ext cx="1376552" cy="545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rPr>
            <a:t>Total Income</a:t>
          </a:r>
        </a:p>
      </xdr:txBody>
    </xdr:sp>
    <xdr:clientData/>
  </xdr:twoCellAnchor>
  <xdr:twoCellAnchor>
    <xdr:from>
      <xdr:col>19</xdr:col>
      <xdr:colOff>18477</xdr:colOff>
      <xdr:row>8</xdr:row>
      <xdr:rowOff>135662</xdr:rowOff>
    </xdr:from>
    <xdr:to>
      <xdr:col>21</xdr:col>
      <xdr:colOff>286871</xdr:colOff>
      <xdr:row>11</xdr:row>
      <xdr:rowOff>5278</xdr:rowOff>
    </xdr:to>
    <xdr:sp macro="" textlink="Summarized!G26">
      <xdr:nvSpPr>
        <xdr:cNvPr id="41" name="TextBox 40">
          <a:extLst>
            <a:ext uri="{FF2B5EF4-FFF2-40B4-BE49-F238E27FC236}">
              <a16:creationId xmlns:a16="http://schemas.microsoft.com/office/drawing/2014/main" id="{C97C08E1-3405-492A-A41F-FD5DE034F138}"/>
            </a:ext>
          </a:extLst>
        </xdr:cNvPr>
        <xdr:cNvSpPr txBox="1"/>
      </xdr:nvSpPr>
      <xdr:spPr>
        <a:xfrm>
          <a:off x="11600877" y="1570015"/>
          <a:ext cx="1487594" cy="407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29FBC1-117C-415D-B3AA-35A31F57B6FB}" type="TxLink">
            <a:rPr lang="en-US" sz="2400" b="1" i="0" u="none" strike="noStrike">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rPr>
            <a:pPr algn="ctr"/>
            <a:t>37,29,565</a:t>
          </a:fld>
          <a:endParaRPr lang="en-IN" sz="2400" b="1">
            <a:solidFill>
              <a:schemeClr val="bg1"/>
            </a:solidFill>
            <a:latin typeface="Nirmala UI Semilight" panose="020B0402040204020203" pitchFamily="34" charset="0"/>
            <a:ea typeface="Nirmala UI Semilight" panose="020B0402040204020203" pitchFamily="34" charset="0"/>
            <a:cs typeface="Nirmala UI Semilight" panose="020B04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pare" refreshedDate="45965.508879398149" createdVersion="8" refreshedVersion="8" minRefreshableVersion="3" recordCount="529" xr:uid="{876D5E0D-498E-409B-9546-0A6E694C6B6E}">
  <cacheSource type="worksheet">
    <worksheetSource ref="A1:Q530" sheet="loandata"/>
  </cacheSource>
  <cacheFields count="17">
    <cacheField name="Loan_ID" numFmtId="0">
      <sharedItems/>
    </cacheField>
    <cacheField name="Gender" numFmtId="0">
      <sharedItems count="3">
        <s v="Male"/>
        <s v="Female"/>
        <s v="Not Mentioned"/>
      </sharedItems>
    </cacheField>
    <cacheField name="Married" numFmtId="0">
      <sharedItems count="3">
        <s v="Yes"/>
        <s v="No"/>
        <s v="Not Mentioned"/>
      </sharedItems>
    </cacheField>
    <cacheField name="Dependents" numFmtId="0">
      <sharedItems containsSemiMixedTypes="0" containsString="0" containsNumber="1" containsInteger="1" minValue="0" maxValue="3" count="4">
        <n v="1"/>
        <n v="0"/>
        <n v="2"/>
        <n v="3"/>
      </sharedItems>
    </cacheField>
    <cacheField name="Education" numFmtId="0">
      <sharedItems count="2">
        <s v="Graduate"/>
        <s v="Not Graduate"/>
      </sharedItems>
    </cacheField>
    <cacheField name="Self_Employed" numFmtId="0">
      <sharedItems/>
    </cacheField>
    <cacheField name="Applicant_Income" numFmtId="0">
      <sharedItems containsSemiMixedTypes="0" containsString="0" containsNumber="1" containsInteger="1" minValue="150" maxValue="81000" count="442">
        <n v="4583"/>
        <n v="3000"/>
        <n v="2583"/>
        <n v="6000"/>
        <n v="5417"/>
        <n v="2333"/>
        <n v="3036"/>
        <n v="4006"/>
        <n v="12841"/>
        <n v="3200"/>
        <n v="2500"/>
        <n v="3073"/>
        <n v="1853"/>
        <n v="1299"/>
        <n v="4950"/>
        <n v="3510"/>
        <n v="4887"/>
        <n v="7660"/>
        <n v="5955"/>
        <n v="2600"/>
        <n v="3365"/>
        <n v="9560"/>
        <n v="2799"/>
        <n v="4226"/>
        <n v="1442"/>
        <n v="3750"/>
        <n v="3167"/>
        <n v="4692"/>
        <n v="3500"/>
        <n v="12500"/>
        <n v="3667"/>
        <n v="4166"/>
        <n v="3748"/>
        <n v="3600"/>
        <n v="1800"/>
        <n v="3941"/>
        <n v="5649"/>
        <n v="5821"/>
        <n v="2645"/>
        <n v="4000"/>
        <n v="1928"/>
        <n v="3086"/>
        <n v="4230"/>
        <n v="4616"/>
        <n v="11500"/>
        <n v="2708"/>
        <n v="2132"/>
        <n v="3366"/>
        <n v="8080"/>
        <n v="3357"/>
        <n v="3029"/>
        <n v="2609"/>
        <n v="5726"/>
        <n v="10750"/>
        <n v="7100"/>
        <n v="4300"/>
        <n v="3208"/>
        <n v="1875"/>
        <n v="5266"/>
        <n v="1000"/>
        <n v="3846"/>
        <n v="1378"/>
        <n v="3988"/>
        <n v="2366"/>
        <n v="8566"/>
        <n v="5695"/>
        <n v="2958"/>
        <n v="6250"/>
        <n v="3273"/>
        <n v="4133"/>
        <n v="3620"/>
        <n v="2484"/>
        <n v="1977"/>
        <n v="4188"/>
        <n v="1759"/>
        <n v="4288"/>
        <n v="4843"/>
        <n v="3816"/>
        <n v="3052"/>
        <n v="11417"/>
        <n v="7333"/>
        <n v="3800"/>
        <n v="2071"/>
        <n v="5316"/>
        <n v="2929"/>
        <n v="5050"/>
        <n v="14583"/>
        <n v="5568"/>
        <n v="10408"/>
        <n v="5667"/>
        <n v="2137"/>
        <n v="2957"/>
        <n v="23803"/>
        <n v="10513"/>
        <n v="2014"/>
        <n v="2718"/>
        <n v="3459"/>
        <n v="4895"/>
        <n v="3316"/>
        <n v="14999"/>
        <n v="4200"/>
        <n v="5042"/>
        <n v="6950"/>
        <n v="2698"/>
        <n v="11757"/>
        <n v="2330"/>
        <n v="14866"/>
        <n v="1538"/>
        <n v="10000"/>
        <n v="4860"/>
        <n v="6277"/>
        <n v="2577"/>
        <n v="9166"/>
        <n v="2281"/>
        <n v="3254"/>
        <n v="39999"/>
        <n v="9538"/>
        <n v="2980"/>
        <n v="1863"/>
        <n v="7933"/>
        <n v="3089"/>
        <n v="4167"/>
        <n v="9323"/>
        <n v="2439"/>
        <n v="2237"/>
        <n v="8000"/>
        <n v="1820"/>
        <n v="51763"/>
        <n v="3522"/>
        <n v="5708"/>
        <n v="4344"/>
        <n v="3497"/>
        <n v="2045"/>
        <n v="5516"/>
        <n v="6400"/>
        <n v="4600"/>
        <n v="33846"/>
        <n v="3625"/>
        <n v="39147"/>
        <n v="2178"/>
        <n v="674"/>
        <n v="9328"/>
        <n v="4885"/>
        <n v="12000"/>
        <n v="6033"/>
        <n v="3858"/>
        <n v="4191"/>
        <n v="3125"/>
        <n v="8333"/>
        <n v="11000"/>
        <n v="4923"/>
        <n v="3917"/>
        <n v="4408"/>
        <n v="3244"/>
        <n v="3975"/>
        <n v="2479"/>
        <n v="3418"/>
        <n v="3430"/>
        <n v="7787"/>
        <n v="5703"/>
        <n v="3173"/>
        <n v="3850"/>
        <n v="150"/>
        <n v="3727"/>
        <n v="5000"/>
        <n v="2221"/>
        <n v="4009"/>
        <n v="2971"/>
        <n v="3250"/>
        <n v="4735"/>
        <n v="4758"/>
        <n v="2491"/>
        <n v="3716"/>
        <n v="3155"/>
        <n v="5500"/>
        <n v="3812"/>
        <n v="3315"/>
        <n v="5819"/>
        <n v="2510"/>
        <n v="2965"/>
        <n v="3406"/>
        <n v="6050"/>
        <n v="9703"/>
        <n v="6608"/>
        <n v="2882"/>
        <n v="1809"/>
        <n v="1668"/>
        <n v="3427"/>
        <n v="2661"/>
        <n v="16250"/>
        <n v="3083"/>
        <n v="6045"/>
        <n v="5250"/>
        <n v="14683"/>
        <n v="2060"/>
        <n v="3481"/>
        <n v="7200"/>
        <n v="5166"/>
        <n v="4095"/>
        <n v="4708"/>
        <n v="4333"/>
        <n v="2876"/>
        <n v="3237"/>
        <n v="11146"/>
        <n v="2833"/>
        <n v="2620"/>
        <n v="3900"/>
        <n v="2750"/>
        <n v="3993"/>
        <n v="3103"/>
        <n v="4053"/>
        <n v="3927"/>
        <n v="2301"/>
        <n v="1811"/>
        <n v="3158"/>
        <n v="3704"/>
        <n v="4124"/>
        <n v="9508"/>
        <n v="3075"/>
        <n v="4400"/>
        <n v="3153"/>
        <n v="2383"/>
        <n v="4416"/>
        <n v="6875"/>
        <n v="4666"/>
        <n v="2875"/>
        <n v="1625"/>
        <n v="3762"/>
        <n v="2400"/>
        <n v="20233"/>
        <n v="2917"/>
        <n v="2927"/>
        <n v="2507"/>
        <n v="2473"/>
        <n v="3399"/>
        <n v="3717"/>
        <n v="4342"/>
        <n v="15000"/>
        <n v="8666"/>
        <n v="4917"/>
        <n v="5818"/>
        <n v="4384"/>
        <n v="2935"/>
        <n v="63337"/>
        <n v="9833"/>
        <n v="4160"/>
        <n v="2647"/>
        <n v="2378"/>
        <n v="4554"/>
        <n v="2499"/>
        <n v="3523"/>
        <n v="2625"/>
        <n v="9083"/>
        <n v="8750"/>
        <n v="2666"/>
        <n v="2423"/>
        <n v="3813"/>
        <n v="3875"/>
        <n v="5167"/>
        <n v="4723"/>
        <n v="4750"/>
        <n v="6822"/>
        <n v="6216"/>
        <n v="6325"/>
        <n v="19730"/>
        <n v="15759"/>
        <n v="5185"/>
        <n v="3062"/>
        <n v="2764"/>
        <n v="4817"/>
        <n v="3069"/>
        <n v="5391"/>
        <n v="3333"/>
        <n v="5941"/>
        <n v="7167"/>
        <n v="4566"/>
        <n v="2346"/>
        <n v="5488"/>
        <n v="9167"/>
        <n v="9504"/>
        <n v="1993"/>
        <n v="3100"/>
        <n v="3180"/>
        <n v="3033"/>
        <n v="3902"/>
        <n v="1500"/>
        <n v="2889"/>
        <n v="2755"/>
        <n v="1963"/>
        <n v="7441"/>
        <n v="4547"/>
        <n v="2167"/>
        <n v="2213"/>
        <n v="8300"/>
        <n v="81000"/>
        <n v="3867"/>
        <n v="6096"/>
        <n v="2253"/>
        <n v="2149"/>
        <n v="2995"/>
        <n v="1600"/>
        <n v="1025"/>
        <n v="3246"/>
        <n v="5829"/>
        <n v="14880"/>
        <n v="4606"/>
        <n v="5935"/>
        <n v="2920"/>
        <n v="2717"/>
        <n v="8624"/>
        <n v="6500"/>
        <n v="12876"/>
        <n v="2425"/>
        <n v="1926"/>
        <n v="10416"/>
        <n v="7142"/>
        <n v="3660"/>
        <n v="7901"/>
        <n v="4707"/>
        <n v="37719"/>
        <n v="3466"/>
        <n v="4652"/>
        <n v="3539"/>
        <n v="3340"/>
        <n v="2309"/>
        <n v="3948"/>
        <n v="2483"/>
        <n v="7085"/>
        <n v="3859"/>
        <n v="4301"/>
        <n v="3708"/>
        <n v="4354"/>
        <n v="8334"/>
        <n v="7740"/>
        <n v="3015"/>
        <n v="5191"/>
        <n v="2947"/>
        <n v="16692"/>
        <n v="210"/>
        <n v="3450"/>
        <n v="2653"/>
        <n v="4691"/>
        <n v="5532"/>
        <n v="16525"/>
        <n v="6700"/>
        <n v="2873"/>
        <n v="16667"/>
        <n v="4350"/>
        <n v="3095"/>
        <n v="2083"/>
        <n v="10833"/>
        <n v="1958"/>
        <n v="3547"/>
        <n v="18333"/>
        <n v="2435"/>
        <n v="3691"/>
        <n v="17263"/>
        <n v="3597"/>
        <n v="3326"/>
        <n v="2895"/>
        <n v="6283"/>
        <n v="645"/>
        <n v="3159"/>
        <n v="4865"/>
        <n v="3814"/>
        <n v="3583"/>
        <n v="13262"/>
        <n v="3598"/>
        <n v="6065"/>
        <n v="3283"/>
        <n v="2130"/>
        <n v="5815"/>
        <n v="2031"/>
        <n v="3074"/>
        <n v="4683"/>
        <n v="3400"/>
        <n v="2192"/>
        <n v="5677"/>
        <n v="7948"/>
        <n v="17500"/>
        <n v="3775"/>
        <n v="5285"/>
        <n v="2679"/>
        <n v="6783"/>
        <n v="4281"/>
        <n v="3588"/>
        <n v="18165"/>
        <n v="2550"/>
        <n v="6133"/>
        <n v="3617"/>
        <n v="6417"/>
        <n v="4608"/>
        <n v="2138"/>
        <n v="3652"/>
        <n v="2239"/>
        <n v="2768"/>
        <n v="3358"/>
        <n v="2526"/>
        <n v="2785"/>
        <n v="2454"/>
        <n v="3593"/>
        <n v="5468"/>
        <n v="10139"/>
        <n v="3887"/>
        <n v="4180"/>
        <n v="3675"/>
        <n v="19484"/>
        <n v="5923"/>
        <n v="5800"/>
        <n v="8799"/>
        <n v="3166"/>
        <n v="3417"/>
        <n v="5116"/>
        <n v="16666"/>
        <n v="6125"/>
        <n v="6406"/>
        <n v="3087"/>
        <n v="3229"/>
        <n v="1782"/>
        <n v="3182"/>
        <n v="6540"/>
        <n v="1836"/>
        <n v="2787"/>
        <n v="4283"/>
        <n v="2297"/>
        <n v="2165"/>
        <n v="2726"/>
        <n v="9357"/>
        <n v="16120"/>
        <n v="3833"/>
        <n v="6383"/>
        <n v="2987"/>
        <n v="9963"/>
        <n v="5780"/>
        <n v="2894"/>
        <n v="3676"/>
        <n v="3987"/>
        <n v="3232"/>
        <n v="2900"/>
        <n v="4106"/>
        <n v="8072"/>
        <n v="7583"/>
      </sharedItems>
    </cacheField>
    <cacheField name="Coapplicant_Income" numFmtId="0">
      <sharedItems containsSemiMixedTypes="0" containsString="0" containsNumber="1" containsInteger="1" minValue="0" maxValue="33837" count="245">
        <n v="1508"/>
        <n v="0"/>
        <n v="2358"/>
        <n v="4196"/>
        <n v="1516"/>
        <n v="2504"/>
        <n v="1526"/>
        <n v="10968"/>
        <n v="700"/>
        <n v="1840"/>
        <n v="8106"/>
        <n v="2840"/>
        <n v="1086"/>
        <n v="5625"/>
        <n v="1911"/>
        <n v="1917"/>
        <n v="2253"/>
        <n v="1040"/>
        <n v="2083"/>
        <n v="1667"/>
        <n v="3000"/>
        <n v="1459"/>
        <n v="7210"/>
        <n v="1668"/>
        <n v="1213"/>
        <n v="2336"/>
        <n v="3440"/>
        <n v="2275"/>
        <n v="1644"/>
        <n v="1167"/>
        <n v="1591"/>
        <n v="2200"/>
        <n v="2250"/>
        <n v="2859"/>
        <n v="3796"/>
        <n v="3449"/>
        <n v="4595"/>
        <n v="2254"/>
        <n v="3066"/>
        <n v="1875"/>
        <n v="1774"/>
        <n v="4750"/>
        <n v="3022"/>
        <n v="4000"/>
        <n v="1881"/>
        <n v="2531"/>
        <n v="2118"/>
        <n v="4167"/>
        <n v="2900"/>
        <n v="5654"/>
        <n v="1820"/>
        <n v="2302"/>
        <n v="997"/>
        <n v="3541"/>
        <n v="3263"/>
        <n v="3806"/>
        <n v="754"/>
        <n v="1030"/>
        <n v="1126"/>
        <n v="3600"/>
        <n v="2333"/>
        <n v="2283"/>
        <n v="2142"/>
        <n v="2667"/>
        <n v="8980"/>
        <n v="2014"/>
        <n v="3850"/>
        <n v="1929"/>
        <n v="7750"/>
        <n v="3500"/>
        <n v="1430"/>
        <n v="2034"/>
        <n v="4486"/>
        <n v="1425"/>
        <n v="1666"/>
        <n v="830"/>
        <n v="3750"/>
        <n v="1041"/>
        <n v="1280"/>
        <n v="1447"/>
        <n v="3333"/>
        <n v="1769"/>
        <n v="736"/>
        <n v="1964"/>
        <n v="1619"/>
        <n v="11300"/>
        <n v="1451"/>
        <n v="7250"/>
        <n v="5296"/>
        <n v="2583"/>
        <n v="2500"/>
        <n v="1083"/>
        <n v="1250"/>
        <n v="3021"/>
        <n v="983"/>
        <n v="1800"/>
        <n v="1775"/>
        <n v="1717"/>
        <n v="2791"/>
        <n v="1695"/>
        <n v="2054"/>
        <n v="1779"/>
        <n v="1260"/>
        <n v="5000"/>
        <n v="1983"/>
        <n v="5701"/>
        <n v="1300"/>
        <n v="4417"/>
        <n v="4333"/>
        <n v="1843"/>
        <n v="1868"/>
        <n v="3890"/>
        <n v="2167"/>
        <n v="7101"/>
        <n v="2100"/>
        <n v="2209"/>
        <n v="3447"/>
        <n v="1387"/>
        <n v="1811"/>
        <n v="1560"/>
        <n v="1857"/>
        <n v="2223"/>
        <n v="1842"/>
        <n v="3274"/>
        <n v="2426"/>
        <n v="800"/>
        <n v="986"/>
        <n v="3053"/>
        <n v="2000"/>
        <n v="2416"/>
        <n v="3334"/>
        <n v="2541"/>
        <n v="2925"/>
        <n v="2934"/>
        <n v="1750"/>
        <n v="1803"/>
        <n v="1863"/>
        <n v="2405"/>
        <n v="1640"/>
        <n v="189"/>
        <n v="4983"/>
        <n v="2160"/>
        <n v="2451"/>
        <n v="1793"/>
        <n v="1833"/>
        <n v="688"/>
        <n v="4600"/>
        <n v="1587"/>
        <n v="1229"/>
        <n v="2330"/>
        <n v="2458"/>
        <n v="3230"/>
        <n v="2168"/>
        <n v="6250"/>
        <n v="505"/>
        <n v="3167"/>
        <n v="3667"/>
        <n v="5266"/>
        <n v="7873"/>
        <n v="1987"/>
        <n v="923"/>
        <n v="4996"/>
        <n v="4232"/>
        <n v="1600"/>
        <n v="2417"/>
        <n v="1625"/>
        <n v="1400"/>
        <n v="20000"/>
        <n v="2400"/>
        <n v="2033"/>
        <n v="3237"/>
        <n v="2773"/>
        <n v="1417"/>
        <n v="1719"/>
        <n v="4300"/>
        <n v="16"/>
        <n v="2340"/>
        <n v="1851"/>
        <n v="5064"/>
        <n v="1993"/>
        <n v="1210"/>
        <n v="1376"/>
        <n v="1710"/>
        <n v="1255"/>
        <n v="1733"/>
        <n v="2466"/>
        <n v="2569"/>
        <n v="2188"/>
        <n v="1664"/>
        <n v="2917"/>
        <n v="2079"/>
        <n v="1500"/>
        <n v="4648"/>
        <n v="1014"/>
        <n v="1872"/>
        <n v="3150"/>
        <n v="2436"/>
        <n v="2157"/>
        <n v="913"/>
        <n v="1700"/>
        <n v="4416"/>
        <n v="3683"/>
        <n v="5624"/>
        <n v="1483"/>
        <n v="3013"/>
        <n v="1287"/>
        <n v="2004"/>
        <n v="2035"/>
        <n v="6666"/>
        <n v="3666"/>
        <n v="3428"/>
        <n v="1632"/>
        <n v="1915"/>
        <n v="1742"/>
        <n v="1424"/>
        <n v="7166"/>
        <n v="1302"/>
        <n v="2042"/>
        <n v="3906"/>
        <n v="536"/>
        <n v="2845"/>
        <n v="2524"/>
        <n v="1950"/>
        <n v="1783"/>
        <n v="2016"/>
        <n v="3250"/>
        <n v="4266"/>
        <n v="1032"/>
        <n v="2669"/>
        <n v="2306"/>
        <n v="242"/>
        <n v="2064"/>
        <n v="461"/>
        <n v="2210"/>
        <n v="2739"/>
        <n v="2232"/>
        <n v="33837"/>
        <n v="1522"/>
        <n v="3416"/>
        <n v="3300"/>
        <n v="1000"/>
        <n v="2792"/>
        <n v="4301"/>
        <n v="1411"/>
        <n v="240"/>
      </sharedItems>
    </cacheField>
    <cacheField name="Loan_Amount" numFmtId="0">
      <sharedItems containsSemiMixedTypes="0" containsString="0" containsNumber="1" containsInteger="1" minValue="9" maxValue="700"/>
    </cacheField>
    <cacheField name="Loan_Amount_Term" numFmtId="0">
      <sharedItems containsSemiMixedTypes="0" containsString="0" containsNumber="1" containsInteger="1" minValue="36" maxValue="480" count="9">
        <n v="360"/>
        <n v="120"/>
        <n v="180"/>
        <n v="60"/>
        <n v="300"/>
        <n v="480"/>
        <n v="240"/>
        <n v="36"/>
        <n v="84"/>
      </sharedItems>
    </cacheField>
    <cacheField name="Credit_History" numFmtId="0">
      <sharedItems containsSemiMixedTypes="0" containsString="0" containsNumber="1" containsInteger="1" minValue="0" maxValue="1"/>
    </cacheField>
    <cacheField name="Property_Area" numFmtId="0">
      <sharedItems count="3">
        <s v="Rural"/>
        <s v="Urban"/>
        <s v="Semiurban"/>
      </sharedItems>
    </cacheField>
    <cacheField name="Loan_Status (Approved/Rejected)" numFmtId="0">
      <sharedItems count="2">
        <s v="N"/>
        <s v="Y"/>
      </sharedItems>
    </cacheField>
    <cacheField name="Total Income" numFmtId="0">
      <sharedItems containsSemiMixedTypes="0" containsString="0" containsNumber="1" containsInteger="1" minValue="1442" maxValue="81000"/>
    </cacheField>
    <cacheField name="RiskCategory" numFmtId="0">
      <sharedItems count="2">
        <s v="Low Risk"/>
        <s v="High Risk"/>
      </sharedItems>
    </cacheField>
    <cacheField name="IncomeLoanRatio" numFmtId="9">
      <sharedItems containsSemiMixedTypes="0" containsString="0" containsNumber="1" minValue="0.12" maxValue="3.96"/>
    </cacheField>
    <cacheField name="Loan_to_Income%" numFmtId="0">
      <sharedItems containsSemiMixedTypes="0" containsString="0" containsNumber="1" minValue="0.25229164914641322" maxValue="8.2711644502108346"/>
    </cacheField>
  </cacheFields>
  <extLst>
    <ext xmlns:x14="http://schemas.microsoft.com/office/spreadsheetml/2009/9/main" uri="{725AE2AE-9491-48be-B2B4-4EB974FC3084}">
      <x14:pivotCacheDefinition pivotCacheId="12074567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9">
  <r>
    <s v="LP001003"/>
    <x v="0"/>
    <x v="0"/>
    <x v="0"/>
    <x v="0"/>
    <s v="No"/>
    <x v="0"/>
    <x v="0"/>
    <n v="128"/>
    <x v="0"/>
    <n v="1"/>
    <x v="0"/>
    <x v="0"/>
    <n v="6091"/>
    <x v="0"/>
    <n v="0.48"/>
    <n v="2.1014611722213101"/>
  </r>
  <r>
    <s v="LP001005"/>
    <x v="0"/>
    <x v="0"/>
    <x v="1"/>
    <x v="0"/>
    <s v="Yes"/>
    <x v="1"/>
    <x v="1"/>
    <n v="66"/>
    <x v="0"/>
    <n v="1"/>
    <x v="1"/>
    <x v="1"/>
    <n v="3000"/>
    <x v="0"/>
    <n v="0.45"/>
    <n v="2.1999999999999997"/>
  </r>
  <r>
    <s v="LP001006"/>
    <x v="0"/>
    <x v="0"/>
    <x v="1"/>
    <x v="1"/>
    <s v="No"/>
    <x v="2"/>
    <x v="2"/>
    <n v="120"/>
    <x v="0"/>
    <n v="1"/>
    <x v="1"/>
    <x v="1"/>
    <n v="4941"/>
    <x v="0"/>
    <n v="0.41"/>
    <n v="2.4286581663630842"/>
  </r>
  <r>
    <s v="LP001008"/>
    <x v="0"/>
    <x v="1"/>
    <x v="1"/>
    <x v="0"/>
    <s v="No"/>
    <x v="3"/>
    <x v="1"/>
    <n v="141"/>
    <x v="0"/>
    <n v="1"/>
    <x v="1"/>
    <x v="1"/>
    <n v="6000"/>
    <x v="0"/>
    <n v="0.43"/>
    <n v="2.35"/>
  </r>
  <r>
    <s v="LP001011"/>
    <x v="0"/>
    <x v="0"/>
    <x v="2"/>
    <x v="0"/>
    <s v="Yes"/>
    <x v="4"/>
    <x v="3"/>
    <n v="267"/>
    <x v="0"/>
    <n v="1"/>
    <x v="1"/>
    <x v="1"/>
    <n v="9613"/>
    <x v="0"/>
    <n v="0.36"/>
    <n v="2.7774888172266721"/>
  </r>
  <r>
    <s v="LP001013"/>
    <x v="0"/>
    <x v="0"/>
    <x v="1"/>
    <x v="1"/>
    <s v="No"/>
    <x v="5"/>
    <x v="4"/>
    <n v="95"/>
    <x v="0"/>
    <n v="1"/>
    <x v="1"/>
    <x v="1"/>
    <n v="3849"/>
    <x v="0"/>
    <n v="0.41"/>
    <n v="2.4681735515718368"/>
  </r>
  <r>
    <s v="LP001014"/>
    <x v="0"/>
    <x v="0"/>
    <x v="3"/>
    <x v="0"/>
    <s v="No"/>
    <x v="6"/>
    <x v="5"/>
    <n v="158"/>
    <x v="0"/>
    <n v="0"/>
    <x v="2"/>
    <x v="0"/>
    <n v="5540"/>
    <x v="1"/>
    <n v="0.35"/>
    <n v="2.8519855595667871"/>
  </r>
  <r>
    <s v="LP001018"/>
    <x v="0"/>
    <x v="0"/>
    <x v="2"/>
    <x v="0"/>
    <s v="No"/>
    <x v="7"/>
    <x v="6"/>
    <n v="168"/>
    <x v="0"/>
    <n v="1"/>
    <x v="1"/>
    <x v="1"/>
    <n v="5532"/>
    <x v="0"/>
    <n v="0.33"/>
    <n v="3.0368763557483729"/>
  </r>
  <r>
    <s v="LP001020"/>
    <x v="0"/>
    <x v="0"/>
    <x v="0"/>
    <x v="0"/>
    <s v="No"/>
    <x v="8"/>
    <x v="7"/>
    <n v="349"/>
    <x v="0"/>
    <n v="1"/>
    <x v="2"/>
    <x v="0"/>
    <n v="23809"/>
    <x v="0"/>
    <n v="0.68"/>
    <n v="1.4658322483094628"/>
  </r>
  <r>
    <s v="LP001024"/>
    <x v="0"/>
    <x v="0"/>
    <x v="2"/>
    <x v="0"/>
    <s v="No"/>
    <x v="9"/>
    <x v="8"/>
    <n v="70"/>
    <x v="0"/>
    <n v="1"/>
    <x v="1"/>
    <x v="1"/>
    <n v="3900"/>
    <x v="0"/>
    <n v="0.56000000000000005"/>
    <n v="1.7948717948717947"/>
  </r>
  <r>
    <s v="LP001027"/>
    <x v="0"/>
    <x v="0"/>
    <x v="2"/>
    <x v="0"/>
    <s v="Not Mentioned"/>
    <x v="10"/>
    <x v="9"/>
    <n v="109"/>
    <x v="0"/>
    <n v="1"/>
    <x v="1"/>
    <x v="1"/>
    <n v="4340"/>
    <x v="0"/>
    <n v="0.4"/>
    <n v="2.5115207373271891"/>
  </r>
  <r>
    <s v="LP001028"/>
    <x v="0"/>
    <x v="0"/>
    <x v="2"/>
    <x v="0"/>
    <s v="No"/>
    <x v="11"/>
    <x v="10"/>
    <n v="200"/>
    <x v="0"/>
    <n v="1"/>
    <x v="1"/>
    <x v="1"/>
    <n v="11179"/>
    <x v="0"/>
    <n v="0.56000000000000005"/>
    <n v="1.7890687896949637"/>
  </r>
  <r>
    <s v="LP001029"/>
    <x v="0"/>
    <x v="1"/>
    <x v="1"/>
    <x v="0"/>
    <s v="No"/>
    <x v="12"/>
    <x v="11"/>
    <n v="114"/>
    <x v="0"/>
    <n v="1"/>
    <x v="0"/>
    <x v="0"/>
    <n v="4693"/>
    <x v="0"/>
    <n v="0.41"/>
    <n v="2.42914979757085"/>
  </r>
  <r>
    <s v="LP001030"/>
    <x v="0"/>
    <x v="0"/>
    <x v="2"/>
    <x v="0"/>
    <s v="No"/>
    <x v="13"/>
    <x v="12"/>
    <n v="17"/>
    <x v="1"/>
    <n v="1"/>
    <x v="1"/>
    <x v="1"/>
    <n v="2385"/>
    <x v="0"/>
    <n v="1.4"/>
    <n v="0.71278825995807127"/>
  </r>
  <r>
    <s v="LP001032"/>
    <x v="0"/>
    <x v="1"/>
    <x v="1"/>
    <x v="0"/>
    <s v="No"/>
    <x v="14"/>
    <x v="1"/>
    <n v="125"/>
    <x v="0"/>
    <n v="1"/>
    <x v="1"/>
    <x v="1"/>
    <n v="4950"/>
    <x v="0"/>
    <n v="0.4"/>
    <n v="2.5252525252525251"/>
  </r>
  <r>
    <s v="LP001036"/>
    <x v="1"/>
    <x v="1"/>
    <x v="1"/>
    <x v="0"/>
    <s v="No"/>
    <x v="15"/>
    <x v="1"/>
    <n v="76"/>
    <x v="0"/>
    <n v="0"/>
    <x v="1"/>
    <x v="0"/>
    <n v="3510"/>
    <x v="1"/>
    <n v="0.46"/>
    <n v="2.1652421652421654"/>
  </r>
  <r>
    <s v="LP001038"/>
    <x v="0"/>
    <x v="0"/>
    <x v="1"/>
    <x v="1"/>
    <s v="No"/>
    <x v="16"/>
    <x v="1"/>
    <n v="133"/>
    <x v="0"/>
    <n v="1"/>
    <x v="0"/>
    <x v="0"/>
    <n v="4887"/>
    <x v="0"/>
    <n v="0.37"/>
    <n v="2.7215060364231634"/>
  </r>
  <r>
    <s v="LP001043"/>
    <x v="0"/>
    <x v="0"/>
    <x v="1"/>
    <x v="1"/>
    <s v="No"/>
    <x v="17"/>
    <x v="1"/>
    <n v="104"/>
    <x v="0"/>
    <n v="0"/>
    <x v="1"/>
    <x v="0"/>
    <n v="7660"/>
    <x v="1"/>
    <n v="0.74"/>
    <n v="1.3577023498694516"/>
  </r>
  <r>
    <s v="LP001046"/>
    <x v="0"/>
    <x v="0"/>
    <x v="0"/>
    <x v="0"/>
    <s v="No"/>
    <x v="18"/>
    <x v="13"/>
    <n v="315"/>
    <x v="0"/>
    <n v="1"/>
    <x v="1"/>
    <x v="1"/>
    <n v="11580"/>
    <x v="0"/>
    <n v="0.37"/>
    <n v="2.7202072538860103"/>
  </r>
  <r>
    <s v="LP001047"/>
    <x v="0"/>
    <x v="0"/>
    <x v="1"/>
    <x v="1"/>
    <s v="No"/>
    <x v="19"/>
    <x v="14"/>
    <n v="116"/>
    <x v="0"/>
    <n v="0"/>
    <x v="2"/>
    <x v="0"/>
    <n v="4511"/>
    <x v="1"/>
    <n v="0.39"/>
    <n v="2.5714919086677011"/>
  </r>
  <r>
    <s v="LP001050"/>
    <x v="2"/>
    <x v="0"/>
    <x v="2"/>
    <x v="1"/>
    <s v="No"/>
    <x v="20"/>
    <x v="15"/>
    <n v="112"/>
    <x v="0"/>
    <n v="0"/>
    <x v="0"/>
    <x v="0"/>
    <n v="5282"/>
    <x v="1"/>
    <n v="0.47"/>
    <n v="2.1204089360090874"/>
  </r>
  <r>
    <s v="LP001066"/>
    <x v="0"/>
    <x v="0"/>
    <x v="1"/>
    <x v="0"/>
    <s v="Yes"/>
    <x v="21"/>
    <x v="1"/>
    <n v="191"/>
    <x v="0"/>
    <n v="1"/>
    <x v="2"/>
    <x v="1"/>
    <n v="9560"/>
    <x v="0"/>
    <n v="0.5"/>
    <n v="1.9979079497907952"/>
  </r>
  <r>
    <s v="LP001068"/>
    <x v="0"/>
    <x v="0"/>
    <x v="1"/>
    <x v="0"/>
    <s v="No"/>
    <x v="22"/>
    <x v="16"/>
    <n v="122"/>
    <x v="0"/>
    <n v="1"/>
    <x v="2"/>
    <x v="1"/>
    <n v="5052"/>
    <x v="0"/>
    <n v="0.41"/>
    <n v="2.4148851939825811"/>
  </r>
  <r>
    <s v="LP001073"/>
    <x v="0"/>
    <x v="0"/>
    <x v="2"/>
    <x v="1"/>
    <s v="No"/>
    <x v="23"/>
    <x v="17"/>
    <n v="110"/>
    <x v="0"/>
    <n v="1"/>
    <x v="1"/>
    <x v="1"/>
    <n v="5266"/>
    <x v="0"/>
    <n v="0.48"/>
    <n v="2.0888720091150779"/>
  </r>
  <r>
    <s v="LP001086"/>
    <x v="0"/>
    <x v="1"/>
    <x v="1"/>
    <x v="1"/>
    <s v="No"/>
    <x v="24"/>
    <x v="1"/>
    <n v="35"/>
    <x v="0"/>
    <n v="1"/>
    <x v="1"/>
    <x v="0"/>
    <n v="1442"/>
    <x v="0"/>
    <n v="0.41"/>
    <n v="2.4271844660194173"/>
  </r>
  <r>
    <s v="LP001087"/>
    <x v="1"/>
    <x v="1"/>
    <x v="2"/>
    <x v="0"/>
    <s v="Not Mentioned"/>
    <x v="25"/>
    <x v="18"/>
    <n v="120"/>
    <x v="0"/>
    <n v="1"/>
    <x v="2"/>
    <x v="1"/>
    <n v="5833"/>
    <x v="0"/>
    <n v="0.49"/>
    <n v="2.0572604148808504"/>
  </r>
  <r>
    <s v="LP001095"/>
    <x v="0"/>
    <x v="1"/>
    <x v="1"/>
    <x v="0"/>
    <s v="No"/>
    <x v="26"/>
    <x v="1"/>
    <n v="74"/>
    <x v="0"/>
    <n v="1"/>
    <x v="1"/>
    <x v="0"/>
    <n v="3167"/>
    <x v="0"/>
    <n v="0.43"/>
    <n v="2.3365961477739186"/>
  </r>
  <r>
    <s v="LP001097"/>
    <x v="0"/>
    <x v="1"/>
    <x v="0"/>
    <x v="0"/>
    <s v="Yes"/>
    <x v="27"/>
    <x v="1"/>
    <n v="106"/>
    <x v="0"/>
    <n v="1"/>
    <x v="0"/>
    <x v="0"/>
    <n v="4692"/>
    <x v="0"/>
    <n v="0.44"/>
    <n v="2.2591645353793695"/>
  </r>
  <r>
    <s v="LP001098"/>
    <x v="0"/>
    <x v="0"/>
    <x v="1"/>
    <x v="0"/>
    <s v="No"/>
    <x v="28"/>
    <x v="19"/>
    <n v="114"/>
    <x v="0"/>
    <n v="1"/>
    <x v="2"/>
    <x v="1"/>
    <n v="5167"/>
    <x v="0"/>
    <n v="0.45"/>
    <n v="2.2063092703696534"/>
  </r>
  <r>
    <s v="LP001100"/>
    <x v="0"/>
    <x v="1"/>
    <x v="3"/>
    <x v="0"/>
    <s v="No"/>
    <x v="29"/>
    <x v="20"/>
    <n v="320"/>
    <x v="0"/>
    <n v="1"/>
    <x v="0"/>
    <x v="0"/>
    <n v="15500"/>
    <x v="0"/>
    <n v="0.48"/>
    <n v="2.064516129032258"/>
  </r>
  <r>
    <s v="LP001112"/>
    <x v="1"/>
    <x v="0"/>
    <x v="1"/>
    <x v="0"/>
    <s v="No"/>
    <x v="30"/>
    <x v="21"/>
    <n v="144"/>
    <x v="0"/>
    <n v="1"/>
    <x v="2"/>
    <x v="1"/>
    <n v="5126"/>
    <x v="0"/>
    <n v="0.36"/>
    <n v="2.8092079594225519"/>
  </r>
  <r>
    <s v="LP001114"/>
    <x v="0"/>
    <x v="1"/>
    <x v="1"/>
    <x v="0"/>
    <s v="No"/>
    <x v="31"/>
    <x v="22"/>
    <n v="184"/>
    <x v="0"/>
    <n v="1"/>
    <x v="1"/>
    <x v="1"/>
    <n v="11376"/>
    <x v="0"/>
    <n v="0.62"/>
    <n v="1.6174402250351618"/>
  </r>
  <r>
    <s v="LP001116"/>
    <x v="0"/>
    <x v="1"/>
    <x v="1"/>
    <x v="1"/>
    <s v="No"/>
    <x v="32"/>
    <x v="23"/>
    <n v="110"/>
    <x v="0"/>
    <n v="1"/>
    <x v="2"/>
    <x v="1"/>
    <n v="5416"/>
    <x v="0"/>
    <n v="0.49"/>
    <n v="2.031019202363368"/>
  </r>
  <r>
    <s v="LP001119"/>
    <x v="0"/>
    <x v="1"/>
    <x v="1"/>
    <x v="0"/>
    <s v="No"/>
    <x v="33"/>
    <x v="1"/>
    <n v="80"/>
    <x v="0"/>
    <n v="1"/>
    <x v="1"/>
    <x v="0"/>
    <n v="3600"/>
    <x v="0"/>
    <n v="0.45"/>
    <n v="2.2222222222222223"/>
  </r>
  <r>
    <s v="LP001120"/>
    <x v="0"/>
    <x v="1"/>
    <x v="1"/>
    <x v="0"/>
    <s v="No"/>
    <x v="34"/>
    <x v="24"/>
    <n v="47"/>
    <x v="0"/>
    <n v="1"/>
    <x v="1"/>
    <x v="1"/>
    <n v="3013"/>
    <x v="0"/>
    <n v="0.64"/>
    <n v="1.5599070693660804"/>
  </r>
  <r>
    <s v="LP001131"/>
    <x v="0"/>
    <x v="0"/>
    <x v="1"/>
    <x v="0"/>
    <s v="No"/>
    <x v="35"/>
    <x v="25"/>
    <n v="134"/>
    <x v="0"/>
    <n v="1"/>
    <x v="2"/>
    <x v="1"/>
    <n v="6277"/>
    <x v="0"/>
    <n v="0.47"/>
    <n v="2.1347777600764695"/>
  </r>
  <r>
    <s v="LP001138"/>
    <x v="0"/>
    <x v="0"/>
    <x v="0"/>
    <x v="0"/>
    <s v="No"/>
    <x v="36"/>
    <x v="1"/>
    <n v="44"/>
    <x v="0"/>
    <n v="1"/>
    <x v="1"/>
    <x v="1"/>
    <n v="5649"/>
    <x v="0"/>
    <n v="1.28"/>
    <n v="0.77889892016286066"/>
  </r>
  <r>
    <s v="LP001144"/>
    <x v="0"/>
    <x v="0"/>
    <x v="1"/>
    <x v="0"/>
    <s v="No"/>
    <x v="37"/>
    <x v="1"/>
    <n v="144"/>
    <x v="0"/>
    <n v="1"/>
    <x v="1"/>
    <x v="1"/>
    <n v="5821"/>
    <x v="0"/>
    <n v="0.4"/>
    <n v="2.4738017522762412"/>
  </r>
  <r>
    <s v="LP001146"/>
    <x v="1"/>
    <x v="0"/>
    <x v="1"/>
    <x v="0"/>
    <s v="No"/>
    <x v="38"/>
    <x v="26"/>
    <n v="120"/>
    <x v="0"/>
    <n v="0"/>
    <x v="1"/>
    <x v="0"/>
    <n v="6085"/>
    <x v="1"/>
    <n v="0.51"/>
    <n v="1.9720624486442069"/>
  </r>
  <r>
    <s v="LP001151"/>
    <x v="1"/>
    <x v="1"/>
    <x v="1"/>
    <x v="0"/>
    <s v="No"/>
    <x v="39"/>
    <x v="27"/>
    <n v="144"/>
    <x v="0"/>
    <n v="1"/>
    <x v="2"/>
    <x v="1"/>
    <n v="6275"/>
    <x v="0"/>
    <n v="0.44"/>
    <n v="2.2948207171314743"/>
  </r>
  <r>
    <s v="LP001155"/>
    <x v="1"/>
    <x v="0"/>
    <x v="1"/>
    <x v="1"/>
    <s v="No"/>
    <x v="40"/>
    <x v="28"/>
    <n v="100"/>
    <x v="0"/>
    <n v="1"/>
    <x v="2"/>
    <x v="1"/>
    <n v="3572"/>
    <x v="0"/>
    <n v="0.36"/>
    <n v="2.7995520716685331"/>
  </r>
  <r>
    <s v="LP001157"/>
    <x v="1"/>
    <x v="1"/>
    <x v="1"/>
    <x v="0"/>
    <s v="No"/>
    <x v="41"/>
    <x v="1"/>
    <n v="120"/>
    <x v="0"/>
    <n v="1"/>
    <x v="2"/>
    <x v="1"/>
    <n v="3086"/>
    <x v="0"/>
    <n v="0.26"/>
    <n v="3.8885288399222291"/>
  </r>
  <r>
    <s v="LP001164"/>
    <x v="1"/>
    <x v="1"/>
    <x v="1"/>
    <x v="0"/>
    <s v="No"/>
    <x v="42"/>
    <x v="1"/>
    <n v="112"/>
    <x v="0"/>
    <n v="1"/>
    <x v="2"/>
    <x v="0"/>
    <n v="4230"/>
    <x v="0"/>
    <n v="0.38"/>
    <n v="2.6477541371158391"/>
  </r>
  <r>
    <s v="LP001179"/>
    <x v="0"/>
    <x v="0"/>
    <x v="2"/>
    <x v="0"/>
    <s v="No"/>
    <x v="43"/>
    <x v="1"/>
    <n v="134"/>
    <x v="0"/>
    <n v="1"/>
    <x v="1"/>
    <x v="0"/>
    <n v="4616"/>
    <x v="0"/>
    <n v="0.34"/>
    <n v="2.9029462738301559"/>
  </r>
  <r>
    <s v="LP001186"/>
    <x v="1"/>
    <x v="0"/>
    <x v="0"/>
    <x v="0"/>
    <s v="Yes"/>
    <x v="44"/>
    <x v="1"/>
    <n v="286"/>
    <x v="0"/>
    <n v="0"/>
    <x v="1"/>
    <x v="0"/>
    <n v="11500"/>
    <x v="1"/>
    <n v="0.4"/>
    <n v="2.4869565217391307"/>
  </r>
  <r>
    <s v="LP001194"/>
    <x v="0"/>
    <x v="0"/>
    <x v="2"/>
    <x v="0"/>
    <s v="No"/>
    <x v="45"/>
    <x v="29"/>
    <n v="97"/>
    <x v="0"/>
    <n v="1"/>
    <x v="2"/>
    <x v="1"/>
    <n v="3875"/>
    <x v="0"/>
    <n v="0.4"/>
    <n v="2.5032258064516131"/>
  </r>
  <r>
    <s v="LP001195"/>
    <x v="0"/>
    <x v="0"/>
    <x v="1"/>
    <x v="0"/>
    <s v="No"/>
    <x v="46"/>
    <x v="30"/>
    <n v="96"/>
    <x v="0"/>
    <n v="1"/>
    <x v="2"/>
    <x v="1"/>
    <n v="3723"/>
    <x v="0"/>
    <n v="0.39"/>
    <n v="2.5785656728444803"/>
  </r>
  <r>
    <s v="LP001197"/>
    <x v="0"/>
    <x v="0"/>
    <x v="1"/>
    <x v="0"/>
    <s v="No"/>
    <x v="47"/>
    <x v="31"/>
    <n v="135"/>
    <x v="0"/>
    <n v="1"/>
    <x v="0"/>
    <x v="0"/>
    <n v="5566"/>
    <x v="0"/>
    <n v="0.41"/>
    <n v="2.4254401724757457"/>
  </r>
  <r>
    <s v="LP001198"/>
    <x v="0"/>
    <x v="0"/>
    <x v="0"/>
    <x v="0"/>
    <s v="No"/>
    <x v="48"/>
    <x v="32"/>
    <n v="180"/>
    <x v="0"/>
    <n v="1"/>
    <x v="1"/>
    <x v="1"/>
    <n v="10330"/>
    <x v="0"/>
    <n v="0.56999999999999995"/>
    <n v="1.7424975798644726"/>
  </r>
  <r>
    <s v="LP001199"/>
    <x v="0"/>
    <x v="0"/>
    <x v="2"/>
    <x v="1"/>
    <s v="No"/>
    <x v="49"/>
    <x v="33"/>
    <n v="144"/>
    <x v="0"/>
    <n v="1"/>
    <x v="1"/>
    <x v="1"/>
    <n v="6216"/>
    <x v="0"/>
    <n v="0.43"/>
    <n v="2.3166023166023164"/>
  </r>
  <r>
    <s v="LP001205"/>
    <x v="0"/>
    <x v="0"/>
    <x v="1"/>
    <x v="0"/>
    <s v="No"/>
    <x v="10"/>
    <x v="34"/>
    <n v="120"/>
    <x v="0"/>
    <n v="1"/>
    <x v="1"/>
    <x v="1"/>
    <n v="6296"/>
    <x v="0"/>
    <n v="0.52"/>
    <n v="1.9059720457433291"/>
  </r>
  <r>
    <s v="LP001206"/>
    <x v="0"/>
    <x v="0"/>
    <x v="3"/>
    <x v="0"/>
    <s v="No"/>
    <x v="50"/>
    <x v="1"/>
    <n v="99"/>
    <x v="0"/>
    <n v="1"/>
    <x v="1"/>
    <x v="1"/>
    <n v="3029"/>
    <x v="0"/>
    <n v="0.31"/>
    <n v="3.2684054143281611"/>
  </r>
  <r>
    <s v="LP001207"/>
    <x v="0"/>
    <x v="0"/>
    <x v="1"/>
    <x v="1"/>
    <s v="Yes"/>
    <x v="51"/>
    <x v="35"/>
    <n v="165"/>
    <x v="2"/>
    <n v="0"/>
    <x v="0"/>
    <x v="0"/>
    <n v="6058"/>
    <x v="1"/>
    <n v="0.37"/>
    <n v="2.7236711786068009"/>
  </r>
  <r>
    <s v="LP001222"/>
    <x v="1"/>
    <x v="1"/>
    <x v="1"/>
    <x v="0"/>
    <s v="No"/>
    <x v="31"/>
    <x v="1"/>
    <n v="116"/>
    <x v="0"/>
    <n v="0"/>
    <x v="2"/>
    <x v="0"/>
    <n v="4166"/>
    <x v="1"/>
    <n v="0.36"/>
    <n v="2.7844455112818052"/>
  </r>
  <r>
    <s v="LP001225"/>
    <x v="0"/>
    <x v="0"/>
    <x v="1"/>
    <x v="0"/>
    <s v="No"/>
    <x v="52"/>
    <x v="36"/>
    <n v="258"/>
    <x v="0"/>
    <n v="1"/>
    <x v="2"/>
    <x v="0"/>
    <n v="10321"/>
    <x v="0"/>
    <n v="0.4"/>
    <n v="2.4997577754093596"/>
  </r>
  <r>
    <s v="LP001228"/>
    <x v="0"/>
    <x v="1"/>
    <x v="1"/>
    <x v="1"/>
    <s v="No"/>
    <x v="9"/>
    <x v="37"/>
    <n v="126"/>
    <x v="2"/>
    <n v="0"/>
    <x v="1"/>
    <x v="0"/>
    <n v="5454"/>
    <x v="1"/>
    <n v="0.43"/>
    <n v="2.3102310231023102"/>
  </r>
  <r>
    <s v="LP001233"/>
    <x v="0"/>
    <x v="0"/>
    <x v="0"/>
    <x v="0"/>
    <s v="No"/>
    <x v="53"/>
    <x v="1"/>
    <n v="312"/>
    <x v="0"/>
    <n v="1"/>
    <x v="1"/>
    <x v="1"/>
    <n v="10750"/>
    <x v="0"/>
    <n v="0.34"/>
    <n v="2.902325581395349"/>
  </r>
  <r>
    <s v="LP001238"/>
    <x v="0"/>
    <x v="0"/>
    <x v="3"/>
    <x v="1"/>
    <s v="Yes"/>
    <x v="54"/>
    <x v="1"/>
    <n v="125"/>
    <x v="3"/>
    <n v="1"/>
    <x v="1"/>
    <x v="1"/>
    <n v="7100"/>
    <x v="0"/>
    <n v="0.56999999999999995"/>
    <n v="1.7605633802816902"/>
  </r>
  <r>
    <s v="LP001241"/>
    <x v="1"/>
    <x v="1"/>
    <x v="1"/>
    <x v="0"/>
    <s v="No"/>
    <x v="55"/>
    <x v="1"/>
    <n v="136"/>
    <x v="0"/>
    <n v="0"/>
    <x v="2"/>
    <x v="0"/>
    <n v="4300"/>
    <x v="1"/>
    <n v="0.32"/>
    <n v="3.1627906976744184"/>
  </r>
  <r>
    <s v="LP001243"/>
    <x v="0"/>
    <x v="0"/>
    <x v="1"/>
    <x v="0"/>
    <s v="No"/>
    <x v="56"/>
    <x v="38"/>
    <n v="172"/>
    <x v="0"/>
    <n v="1"/>
    <x v="1"/>
    <x v="1"/>
    <n v="6274"/>
    <x v="0"/>
    <n v="0.36"/>
    <n v="2.7414727446605038"/>
  </r>
  <r>
    <s v="LP001245"/>
    <x v="0"/>
    <x v="0"/>
    <x v="2"/>
    <x v="1"/>
    <s v="Yes"/>
    <x v="57"/>
    <x v="39"/>
    <n v="97"/>
    <x v="0"/>
    <n v="1"/>
    <x v="2"/>
    <x v="1"/>
    <n v="3750"/>
    <x v="0"/>
    <n v="0.39"/>
    <n v="2.5866666666666664"/>
  </r>
  <r>
    <s v="LP001248"/>
    <x v="0"/>
    <x v="1"/>
    <x v="1"/>
    <x v="0"/>
    <s v="No"/>
    <x v="28"/>
    <x v="1"/>
    <n v="81"/>
    <x v="4"/>
    <n v="1"/>
    <x v="2"/>
    <x v="1"/>
    <n v="3500"/>
    <x v="0"/>
    <n v="0.43"/>
    <n v="2.3142857142857141"/>
  </r>
  <r>
    <s v="LP001253"/>
    <x v="0"/>
    <x v="0"/>
    <x v="3"/>
    <x v="0"/>
    <s v="Yes"/>
    <x v="58"/>
    <x v="40"/>
    <n v="187"/>
    <x v="0"/>
    <n v="1"/>
    <x v="2"/>
    <x v="1"/>
    <n v="7040"/>
    <x v="0"/>
    <n v="0.38"/>
    <n v="2.65625"/>
  </r>
  <r>
    <s v="LP001255"/>
    <x v="0"/>
    <x v="1"/>
    <x v="1"/>
    <x v="0"/>
    <s v="No"/>
    <x v="25"/>
    <x v="1"/>
    <n v="113"/>
    <x v="5"/>
    <n v="1"/>
    <x v="1"/>
    <x v="0"/>
    <n v="3750"/>
    <x v="0"/>
    <n v="0.33"/>
    <n v="3.0133333333333336"/>
  </r>
  <r>
    <s v="LP001256"/>
    <x v="0"/>
    <x v="1"/>
    <x v="1"/>
    <x v="0"/>
    <s v="No"/>
    <x v="25"/>
    <x v="41"/>
    <n v="176"/>
    <x v="0"/>
    <n v="1"/>
    <x v="1"/>
    <x v="0"/>
    <n v="8500"/>
    <x v="0"/>
    <n v="0.48"/>
    <n v="2.0705882352941178"/>
  </r>
  <r>
    <s v="LP001259"/>
    <x v="0"/>
    <x v="0"/>
    <x v="0"/>
    <x v="0"/>
    <s v="Yes"/>
    <x v="59"/>
    <x v="42"/>
    <n v="110"/>
    <x v="0"/>
    <n v="1"/>
    <x v="1"/>
    <x v="0"/>
    <n v="4022"/>
    <x v="0"/>
    <n v="0.37"/>
    <n v="2.7349577324714072"/>
  </r>
  <r>
    <s v="LP001263"/>
    <x v="0"/>
    <x v="0"/>
    <x v="3"/>
    <x v="0"/>
    <s v="No"/>
    <x v="26"/>
    <x v="43"/>
    <n v="180"/>
    <x v="4"/>
    <n v="0"/>
    <x v="2"/>
    <x v="0"/>
    <n v="7167"/>
    <x v="1"/>
    <n v="0.4"/>
    <n v="2.5115110925073254"/>
  </r>
  <r>
    <s v="LP001265"/>
    <x v="1"/>
    <x v="1"/>
    <x v="1"/>
    <x v="0"/>
    <s v="No"/>
    <x v="60"/>
    <x v="1"/>
    <n v="111"/>
    <x v="0"/>
    <n v="1"/>
    <x v="2"/>
    <x v="1"/>
    <n v="3846"/>
    <x v="0"/>
    <n v="0.35"/>
    <n v="2.886115444617785"/>
  </r>
  <r>
    <s v="LP001267"/>
    <x v="1"/>
    <x v="0"/>
    <x v="2"/>
    <x v="0"/>
    <s v="No"/>
    <x v="61"/>
    <x v="44"/>
    <n v="167"/>
    <x v="0"/>
    <n v="1"/>
    <x v="1"/>
    <x v="0"/>
    <n v="3259"/>
    <x v="0"/>
    <n v="0.2"/>
    <n v="5.1242712488493405"/>
  </r>
  <r>
    <s v="LP001275"/>
    <x v="0"/>
    <x v="0"/>
    <x v="0"/>
    <x v="0"/>
    <s v="No"/>
    <x v="62"/>
    <x v="1"/>
    <n v="50"/>
    <x v="6"/>
    <n v="1"/>
    <x v="1"/>
    <x v="1"/>
    <n v="3988"/>
    <x v="0"/>
    <n v="0.8"/>
    <n v="1.2537612838515546"/>
  </r>
  <r>
    <s v="LP001279"/>
    <x v="0"/>
    <x v="1"/>
    <x v="1"/>
    <x v="0"/>
    <s v="No"/>
    <x v="63"/>
    <x v="45"/>
    <n v="136"/>
    <x v="0"/>
    <n v="1"/>
    <x v="2"/>
    <x v="1"/>
    <n v="4897"/>
    <x v="0"/>
    <n v="0.36"/>
    <n v="2.7772105370635085"/>
  </r>
  <r>
    <s v="LP001282"/>
    <x v="0"/>
    <x v="0"/>
    <x v="1"/>
    <x v="0"/>
    <s v="No"/>
    <x v="10"/>
    <x v="46"/>
    <n v="104"/>
    <x v="0"/>
    <n v="1"/>
    <x v="2"/>
    <x v="1"/>
    <n v="4618"/>
    <x v="0"/>
    <n v="0.44"/>
    <n v="2.2520571676050238"/>
  </r>
  <r>
    <s v="LP001289"/>
    <x v="0"/>
    <x v="1"/>
    <x v="1"/>
    <x v="0"/>
    <s v="No"/>
    <x v="64"/>
    <x v="1"/>
    <n v="210"/>
    <x v="0"/>
    <n v="1"/>
    <x v="1"/>
    <x v="1"/>
    <n v="8566"/>
    <x v="0"/>
    <n v="0.41"/>
    <n v="2.4515526500116738"/>
  </r>
  <r>
    <s v="LP001310"/>
    <x v="0"/>
    <x v="0"/>
    <x v="1"/>
    <x v="0"/>
    <s v="No"/>
    <x v="65"/>
    <x v="47"/>
    <n v="175"/>
    <x v="0"/>
    <n v="1"/>
    <x v="2"/>
    <x v="1"/>
    <n v="9862"/>
    <x v="0"/>
    <n v="0.56000000000000005"/>
    <n v="1.7744879334820522"/>
  </r>
  <r>
    <s v="LP001316"/>
    <x v="0"/>
    <x v="0"/>
    <x v="1"/>
    <x v="0"/>
    <s v="No"/>
    <x v="66"/>
    <x v="48"/>
    <n v="131"/>
    <x v="0"/>
    <n v="1"/>
    <x v="2"/>
    <x v="1"/>
    <n v="5858"/>
    <x v="0"/>
    <n v="0.45"/>
    <n v="2.2362581085694777"/>
  </r>
  <r>
    <s v="LP001318"/>
    <x v="0"/>
    <x v="0"/>
    <x v="2"/>
    <x v="0"/>
    <s v="No"/>
    <x v="67"/>
    <x v="49"/>
    <n v="188"/>
    <x v="2"/>
    <n v="1"/>
    <x v="2"/>
    <x v="1"/>
    <n v="11904"/>
    <x v="0"/>
    <n v="0.63"/>
    <n v="1.5793010752688172"/>
  </r>
  <r>
    <s v="LP001319"/>
    <x v="0"/>
    <x v="0"/>
    <x v="2"/>
    <x v="1"/>
    <s v="No"/>
    <x v="68"/>
    <x v="50"/>
    <n v="81"/>
    <x v="0"/>
    <n v="1"/>
    <x v="1"/>
    <x v="1"/>
    <n v="5093"/>
    <x v="0"/>
    <n v="0.63"/>
    <n v="1.5904182210877675"/>
  </r>
  <r>
    <s v="LP001322"/>
    <x v="0"/>
    <x v="1"/>
    <x v="1"/>
    <x v="0"/>
    <s v="No"/>
    <x v="69"/>
    <x v="1"/>
    <n v="122"/>
    <x v="0"/>
    <n v="1"/>
    <x v="2"/>
    <x v="1"/>
    <n v="4133"/>
    <x v="0"/>
    <n v="0.34"/>
    <n v="2.9518509557222359"/>
  </r>
  <r>
    <s v="LP001325"/>
    <x v="0"/>
    <x v="1"/>
    <x v="1"/>
    <x v="1"/>
    <s v="No"/>
    <x v="70"/>
    <x v="1"/>
    <n v="25"/>
    <x v="1"/>
    <n v="1"/>
    <x v="2"/>
    <x v="1"/>
    <n v="3620"/>
    <x v="0"/>
    <n v="1.45"/>
    <n v="0.69060773480662985"/>
  </r>
  <r>
    <s v="LP001327"/>
    <x v="1"/>
    <x v="0"/>
    <x v="1"/>
    <x v="0"/>
    <s v="No"/>
    <x v="71"/>
    <x v="51"/>
    <n v="137"/>
    <x v="0"/>
    <n v="1"/>
    <x v="2"/>
    <x v="1"/>
    <n v="4786"/>
    <x v="0"/>
    <n v="0.35"/>
    <n v="2.8625156707062267"/>
  </r>
  <r>
    <s v="LP001333"/>
    <x v="0"/>
    <x v="0"/>
    <x v="1"/>
    <x v="0"/>
    <s v="No"/>
    <x v="72"/>
    <x v="52"/>
    <n v="50"/>
    <x v="0"/>
    <n v="1"/>
    <x v="2"/>
    <x v="1"/>
    <n v="2974"/>
    <x v="0"/>
    <n v="0.59"/>
    <n v="1.6812373907195695"/>
  </r>
  <r>
    <s v="LP001334"/>
    <x v="0"/>
    <x v="0"/>
    <x v="1"/>
    <x v="1"/>
    <s v="No"/>
    <x v="73"/>
    <x v="1"/>
    <n v="115"/>
    <x v="2"/>
    <n v="1"/>
    <x v="2"/>
    <x v="1"/>
    <n v="4188"/>
    <x v="0"/>
    <n v="0.36"/>
    <n v="2.7459407831900666"/>
  </r>
  <r>
    <s v="LP001343"/>
    <x v="0"/>
    <x v="0"/>
    <x v="1"/>
    <x v="0"/>
    <s v="No"/>
    <x v="74"/>
    <x v="53"/>
    <n v="131"/>
    <x v="0"/>
    <n v="1"/>
    <x v="2"/>
    <x v="1"/>
    <n v="5300"/>
    <x v="0"/>
    <n v="0.4"/>
    <n v="2.4716981132075473"/>
  </r>
  <r>
    <s v="LP001345"/>
    <x v="0"/>
    <x v="0"/>
    <x v="2"/>
    <x v="1"/>
    <s v="No"/>
    <x v="75"/>
    <x v="54"/>
    <n v="133"/>
    <x v="2"/>
    <n v="1"/>
    <x v="1"/>
    <x v="1"/>
    <n v="7551"/>
    <x v="0"/>
    <n v="0.56999999999999995"/>
    <n v="1.761356111773275"/>
  </r>
  <r>
    <s v="LP001349"/>
    <x v="0"/>
    <x v="1"/>
    <x v="1"/>
    <x v="0"/>
    <s v="No"/>
    <x v="76"/>
    <x v="55"/>
    <n v="151"/>
    <x v="0"/>
    <n v="1"/>
    <x v="2"/>
    <x v="1"/>
    <n v="8649"/>
    <x v="0"/>
    <n v="0.56999999999999995"/>
    <n v="1.7458665741704245"/>
  </r>
  <r>
    <s v="LP001357"/>
    <x v="0"/>
    <x v="2"/>
    <x v="1"/>
    <x v="0"/>
    <s v="No"/>
    <x v="77"/>
    <x v="56"/>
    <n v="160"/>
    <x v="0"/>
    <n v="1"/>
    <x v="1"/>
    <x v="1"/>
    <n v="4570"/>
    <x v="0"/>
    <n v="0.28999999999999998"/>
    <n v="3.5010940919037199"/>
  </r>
  <r>
    <s v="LP001367"/>
    <x v="0"/>
    <x v="0"/>
    <x v="0"/>
    <x v="0"/>
    <s v="No"/>
    <x v="78"/>
    <x v="57"/>
    <n v="100"/>
    <x v="0"/>
    <n v="1"/>
    <x v="1"/>
    <x v="1"/>
    <n v="4082"/>
    <x v="0"/>
    <n v="0.41"/>
    <n v="2.4497795198432142"/>
  </r>
  <r>
    <s v="LP001369"/>
    <x v="0"/>
    <x v="0"/>
    <x v="2"/>
    <x v="0"/>
    <s v="No"/>
    <x v="79"/>
    <x v="58"/>
    <n v="225"/>
    <x v="0"/>
    <n v="1"/>
    <x v="1"/>
    <x v="1"/>
    <n v="12543"/>
    <x v="0"/>
    <n v="0.56000000000000005"/>
    <n v="1.793829227457546"/>
  </r>
  <r>
    <s v="LP001370"/>
    <x v="0"/>
    <x v="1"/>
    <x v="1"/>
    <x v="1"/>
    <s v="Not Mentioned"/>
    <x v="80"/>
    <x v="1"/>
    <n v="120"/>
    <x v="0"/>
    <n v="1"/>
    <x v="0"/>
    <x v="0"/>
    <n v="7333"/>
    <x v="0"/>
    <n v="0.61"/>
    <n v="1.6364380199099959"/>
  </r>
  <r>
    <s v="LP001379"/>
    <x v="0"/>
    <x v="0"/>
    <x v="2"/>
    <x v="0"/>
    <s v="No"/>
    <x v="81"/>
    <x v="59"/>
    <n v="216"/>
    <x v="0"/>
    <n v="0"/>
    <x v="1"/>
    <x v="0"/>
    <n v="7400"/>
    <x v="1"/>
    <n v="0.34"/>
    <n v="2.9189189189189189"/>
  </r>
  <r>
    <s v="LP001384"/>
    <x v="0"/>
    <x v="0"/>
    <x v="3"/>
    <x v="1"/>
    <s v="No"/>
    <x v="82"/>
    <x v="56"/>
    <n v="94"/>
    <x v="5"/>
    <n v="1"/>
    <x v="2"/>
    <x v="1"/>
    <n v="2825"/>
    <x v="0"/>
    <n v="0.3"/>
    <n v="3.3274336283185839"/>
  </r>
  <r>
    <s v="LP001385"/>
    <x v="0"/>
    <x v="1"/>
    <x v="1"/>
    <x v="0"/>
    <s v="No"/>
    <x v="83"/>
    <x v="1"/>
    <n v="136"/>
    <x v="0"/>
    <n v="1"/>
    <x v="1"/>
    <x v="1"/>
    <n v="5316"/>
    <x v="0"/>
    <n v="0.39"/>
    <n v="2.5583145221971408"/>
  </r>
  <r>
    <s v="LP001387"/>
    <x v="1"/>
    <x v="0"/>
    <x v="1"/>
    <x v="0"/>
    <s v="Not Mentioned"/>
    <x v="84"/>
    <x v="60"/>
    <n v="139"/>
    <x v="0"/>
    <n v="1"/>
    <x v="2"/>
    <x v="1"/>
    <n v="5262"/>
    <x v="0"/>
    <n v="0.38"/>
    <n v="2.6415811478525275"/>
  </r>
  <r>
    <s v="LP001398"/>
    <x v="0"/>
    <x v="1"/>
    <x v="1"/>
    <x v="0"/>
    <s v="Not Mentioned"/>
    <x v="85"/>
    <x v="1"/>
    <n v="118"/>
    <x v="0"/>
    <n v="1"/>
    <x v="2"/>
    <x v="1"/>
    <n v="5050"/>
    <x v="0"/>
    <n v="0.43"/>
    <n v="2.3366336633663365"/>
  </r>
  <r>
    <s v="LP001401"/>
    <x v="0"/>
    <x v="0"/>
    <x v="0"/>
    <x v="0"/>
    <s v="No"/>
    <x v="86"/>
    <x v="1"/>
    <n v="185"/>
    <x v="2"/>
    <n v="1"/>
    <x v="0"/>
    <x v="1"/>
    <n v="14583"/>
    <x v="0"/>
    <n v="0.79"/>
    <n v="1.2686004251525749"/>
  </r>
  <r>
    <s v="LP001404"/>
    <x v="1"/>
    <x v="0"/>
    <x v="1"/>
    <x v="0"/>
    <s v="No"/>
    <x v="26"/>
    <x v="61"/>
    <n v="154"/>
    <x v="0"/>
    <n v="1"/>
    <x v="2"/>
    <x v="1"/>
    <n v="5450"/>
    <x v="0"/>
    <n v="0.35"/>
    <n v="2.8256880733944953"/>
  </r>
  <r>
    <s v="LP001421"/>
    <x v="0"/>
    <x v="0"/>
    <x v="1"/>
    <x v="0"/>
    <s v="No"/>
    <x v="87"/>
    <x v="62"/>
    <n v="175"/>
    <x v="0"/>
    <n v="1"/>
    <x v="0"/>
    <x v="0"/>
    <n v="7710"/>
    <x v="0"/>
    <n v="0.44"/>
    <n v="2.2697795071335927"/>
  </r>
  <r>
    <s v="LP001422"/>
    <x v="1"/>
    <x v="1"/>
    <x v="1"/>
    <x v="0"/>
    <s v="No"/>
    <x v="88"/>
    <x v="1"/>
    <n v="259"/>
    <x v="0"/>
    <n v="1"/>
    <x v="1"/>
    <x v="1"/>
    <n v="10408"/>
    <x v="0"/>
    <n v="0.4"/>
    <n v="2.488470407378939"/>
  </r>
  <r>
    <s v="LP001426"/>
    <x v="0"/>
    <x v="0"/>
    <x v="1"/>
    <x v="0"/>
    <s v="No"/>
    <x v="89"/>
    <x v="63"/>
    <n v="180"/>
    <x v="0"/>
    <n v="1"/>
    <x v="0"/>
    <x v="1"/>
    <n v="8334"/>
    <x v="0"/>
    <n v="0.46"/>
    <n v="2.159827213822894"/>
  </r>
  <r>
    <s v="LP001430"/>
    <x v="1"/>
    <x v="1"/>
    <x v="1"/>
    <x v="0"/>
    <s v="No"/>
    <x v="31"/>
    <x v="1"/>
    <n v="44"/>
    <x v="0"/>
    <n v="1"/>
    <x v="2"/>
    <x v="1"/>
    <n v="4166"/>
    <x v="0"/>
    <n v="0.95"/>
    <n v="1.0561689870379261"/>
  </r>
  <r>
    <s v="LP001431"/>
    <x v="1"/>
    <x v="1"/>
    <x v="1"/>
    <x v="0"/>
    <s v="No"/>
    <x v="90"/>
    <x v="64"/>
    <n v="137"/>
    <x v="0"/>
    <n v="0"/>
    <x v="2"/>
    <x v="1"/>
    <n v="11117"/>
    <x v="1"/>
    <n v="0.81"/>
    <n v="1.2323468561662321"/>
  </r>
  <r>
    <s v="LP001432"/>
    <x v="0"/>
    <x v="0"/>
    <x v="2"/>
    <x v="0"/>
    <s v="No"/>
    <x v="91"/>
    <x v="1"/>
    <n v="81"/>
    <x v="0"/>
    <n v="1"/>
    <x v="2"/>
    <x v="1"/>
    <n v="2957"/>
    <x v="0"/>
    <n v="0.37"/>
    <n v="2.7392627663172133"/>
  </r>
  <r>
    <s v="LP001439"/>
    <x v="0"/>
    <x v="0"/>
    <x v="1"/>
    <x v="1"/>
    <s v="No"/>
    <x v="55"/>
    <x v="65"/>
    <n v="194"/>
    <x v="0"/>
    <n v="1"/>
    <x v="0"/>
    <x v="1"/>
    <n v="6314"/>
    <x v="0"/>
    <n v="0.33"/>
    <n v="3.0725372188786824"/>
  </r>
  <r>
    <s v="LP001448"/>
    <x v="2"/>
    <x v="0"/>
    <x v="3"/>
    <x v="0"/>
    <s v="No"/>
    <x v="92"/>
    <x v="1"/>
    <n v="370"/>
    <x v="0"/>
    <n v="1"/>
    <x v="0"/>
    <x v="1"/>
    <n v="23803"/>
    <x v="0"/>
    <n v="0.64"/>
    <n v="1.5544259127000799"/>
  </r>
  <r>
    <s v="LP001451"/>
    <x v="0"/>
    <x v="0"/>
    <x v="0"/>
    <x v="0"/>
    <s v="Yes"/>
    <x v="93"/>
    <x v="66"/>
    <n v="160"/>
    <x v="2"/>
    <n v="0"/>
    <x v="1"/>
    <x v="0"/>
    <n v="14363"/>
    <x v="1"/>
    <n v="0.9"/>
    <n v="1.1139734038849822"/>
  </r>
  <r>
    <s v="LP001473"/>
    <x v="0"/>
    <x v="1"/>
    <x v="1"/>
    <x v="0"/>
    <s v="No"/>
    <x v="94"/>
    <x v="67"/>
    <n v="74"/>
    <x v="0"/>
    <n v="1"/>
    <x v="1"/>
    <x v="1"/>
    <n v="3943"/>
    <x v="0"/>
    <n v="0.53"/>
    <n v="1.8767435962465127"/>
  </r>
  <r>
    <s v="LP001478"/>
    <x v="0"/>
    <x v="1"/>
    <x v="1"/>
    <x v="0"/>
    <s v="No"/>
    <x v="95"/>
    <x v="1"/>
    <n v="70"/>
    <x v="0"/>
    <n v="1"/>
    <x v="2"/>
    <x v="1"/>
    <n v="2718"/>
    <x v="0"/>
    <n v="0.39"/>
    <n v="2.5754231052244299"/>
  </r>
  <r>
    <s v="LP001482"/>
    <x v="0"/>
    <x v="0"/>
    <x v="1"/>
    <x v="0"/>
    <s v="Yes"/>
    <x v="96"/>
    <x v="1"/>
    <n v="25"/>
    <x v="1"/>
    <n v="1"/>
    <x v="2"/>
    <x v="1"/>
    <n v="3459"/>
    <x v="0"/>
    <n v="1.38"/>
    <n v="0.72275224053194564"/>
  </r>
  <r>
    <s v="LP001487"/>
    <x v="0"/>
    <x v="1"/>
    <x v="1"/>
    <x v="0"/>
    <s v="No"/>
    <x v="97"/>
    <x v="1"/>
    <n v="102"/>
    <x v="0"/>
    <n v="1"/>
    <x v="2"/>
    <x v="1"/>
    <n v="4895"/>
    <x v="0"/>
    <n v="0.48"/>
    <n v="2.0837589376915218"/>
  </r>
  <r>
    <s v="LP001488"/>
    <x v="0"/>
    <x v="0"/>
    <x v="3"/>
    <x v="0"/>
    <s v="No"/>
    <x v="39"/>
    <x v="68"/>
    <n v="290"/>
    <x v="0"/>
    <n v="1"/>
    <x v="2"/>
    <x v="0"/>
    <n v="11750"/>
    <x v="0"/>
    <n v="0.41"/>
    <n v="2.4680851063829787"/>
  </r>
  <r>
    <s v="LP001489"/>
    <x v="1"/>
    <x v="0"/>
    <x v="1"/>
    <x v="0"/>
    <s v="No"/>
    <x v="0"/>
    <x v="1"/>
    <n v="84"/>
    <x v="0"/>
    <n v="1"/>
    <x v="0"/>
    <x v="0"/>
    <n v="4583"/>
    <x v="0"/>
    <n v="0.55000000000000004"/>
    <n v="1.83286057167794"/>
  </r>
  <r>
    <s v="LP001491"/>
    <x v="0"/>
    <x v="0"/>
    <x v="2"/>
    <x v="0"/>
    <s v="Yes"/>
    <x v="98"/>
    <x v="69"/>
    <n v="88"/>
    <x v="0"/>
    <n v="1"/>
    <x v="1"/>
    <x v="1"/>
    <n v="6816"/>
    <x v="0"/>
    <n v="0.77"/>
    <n v="1.2910798122065728"/>
  </r>
  <r>
    <s v="LP001492"/>
    <x v="0"/>
    <x v="1"/>
    <x v="1"/>
    <x v="0"/>
    <s v="No"/>
    <x v="99"/>
    <x v="1"/>
    <n v="242"/>
    <x v="0"/>
    <n v="0"/>
    <x v="2"/>
    <x v="0"/>
    <n v="14999"/>
    <x v="1"/>
    <n v="0.62"/>
    <n v="1.6134408960597373"/>
  </r>
  <r>
    <s v="LP001493"/>
    <x v="0"/>
    <x v="0"/>
    <x v="2"/>
    <x v="1"/>
    <s v="No"/>
    <x v="100"/>
    <x v="70"/>
    <n v="129"/>
    <x v="0"/>
    <n v="1"/>
    <x v="0"/>
    <x v="0"/>
    <n v="5630"/>
    <x v="0"/>
    <n v="0.44"/>
    <n v="2.2912966252220248"/>
  </r>
  <r>
    <s v="LP001497"/>
    <x v="0"/>
    <x v="0"/>
    <x v="2"/>
    <x v="0"/>
    <s v="No"/>
    <x v="101"/>
    <x v="18"/>
    <n v="185"/>
    <x v="0"/>
    <n v="1"/>
    <x v="0"/>
    <x v="0"/>
    <n v="7125"/>
    <x v="0"/>
    <n v="0.39"/>
    <n v="2.5964912280701755"/>
  </r>
  <r>
    <s v="LP001498"/>
    <x v="0"/>
    <x v="1"/>
    <x v="1"/>
    <x v="0"/>
    <s v="No"/>
    <x v="4"/>
    <x v="1"/>
    <n v="168"/>
    <x v="0"/>
    <n v="1"/>
    <x v="1"/>
    <x v="1"/>
    <n v="5417"/>
    <x v="0"/>
    <n v="0.32"/>
    <n v="3.1013476093778842"/>
  </r>
  <r>
    <s v="LP001504"/>
    <x v="0"/>
    <x v="1"/>
    <x v="1"/>
    <x v="0"/>
    <s v="Yes"/>
    <x v="102"/>
    <x v="1"/>
    <n v="175"/>
    <x v="2"/>
    <n v="1"/>
    <x v="2"/>
    <x v="1"/>
    <n v="6950"/>
    <x v="0"/>
    <n v="0.4"/>
    <n v="2.5179856115107913"/>
  </r>
  <r>
    <s v="LP001507"/>
    <x v="0"/>
    <x v="0"/>
    <x v="1"/>
    <x v="0"/>
    <s v="No"/>
    <x v="103"/>
    <x v="71"/>
    <n v="122"/>
    <x v="0"/>
    <n v="1"/>
    <x v="2"/>
    <x v="1"/>
    <n v="4732"/>
    <x v="0"/>
    <n v="0.39"/>
    <n v="2.5781910397295009"/>
  </r>
  <r>
    <s v="LP001508"/>
    <x v="0"/>
    <x v="0"/>
    <x v="2"/>
    <x v="0"/>
    <s v="No"/>
    <x v="104"/>
    <x v="1"/>
    <n v="187"/>
    <x v="2"/>
    <n v="1"/>
    <x v="1"/>
    <x v="1"/>
    <n v="11757"/>
    <x v="0"/>
    <n v="0.63"/>
    <n v="1.5905418048821978"/>
  </r>
  <r>
    <s v="LP001514"/>
    <x v="1"/>
    <x v="0"/>
    <x v="1"/>
    <x v="0"/>
    <s v="No"/>
    <x v="105"/>
    <x v="72"/>
    <n v="100"/>
    <x v="0"/>
    <n v="1"/>
    <x v="2"/>
    <x v="1"/>
    <n v="6816"/>
    <x v="0"/>
    <n v="0.68"/>
    <n v="1.4671361502347418"/>
  </r>
  <r>
    <s v="LP001516"/>
    <x v="1"/>
    <x v="0"/>
    <x v="2"/>
    <x v="0"/>
    <s v="No"/>
    <x v="106"/>
    <x v="1"/>
    <n v="70"/>
    <x v="0"/>
    <n v="1"/>
    <x v="1"/>
    <x v="1"/>
    <n v="14866"/>
    <x v="0"/>
    <n v="2.12"/>
    <n v="0.47087313332436437"/>
  </r>
  <r>
    <s v="LP001518"/>
    <x v="0"/>
    <x v="0"/>
    <x v="0"/>
    <x v="0"/>
    <s v="No"/>
    <x v="107"/>
    <x v="73"/>
    <n v="30"/>
    <x v="0"/>
    <n v="1"/>
    <x v="1"/>
    <x v="1"/>
    <n v="2963"/>
    <x v="0"/>
    <n v="0.99"/>
    <n v="1.0124873439082012"/>
  </r>
  <r>
    <s v="LP001519"/>
    <x v="1"/>
    <x v="1"/>
    <x v="1"/>
    <x v="0"/>
    <s v="No"/>
    <x v="108"/>
    <x v="74"/>
    <n v="225"/>
    <x v="0"/>
    <n v="1"/>
    <x v="0"/>
    <x v="0"/>
    <n v="11666"/>
    <x v="0"/>
    <n v="0.52"/>
    <n v="1.9286816389507973"/>
  </r>
  <r>
    <s v="LP001520"/>
    <x v="0"/>
    <x v="0"/>
    <x v="1"/>
    <x v="0"/>
    <s v="No"/>
    <x v="109"/>
    <x v="75"/>
    <n v="125"/>
    <x v="0"/>
    <n v="1"/>
    <x v="2"/>
    <x v="1"/>
    <n v="5690"/>
    <x v="0"/>
    <n v="0.46"/>
    <n v="2.1968365553602811"/>
  </r>
  <r>
    <s v="LP001528"/>
    <x v="0"/>
    <x v="1"/>
    <x v="1"/>
    <x v="0"/>
    <s v="No"/>
    <x v="110"/>
    <x v="1"/>
    <n v="118"/>
    <x v="0"/>
    <n v="0"/>
    <x v="0"/>
    <x v="0"/>
    <n v="6277"/>
    <x v="1"/>
    <n v="0.53"/>
    <n v="1.8798789230524133"/>
  </r>
  <r>
    <s v="LP001529"/>
    <x v="0"/>
    <x v="0"/>
    <x v="1"/>
    <x v="0"/>
    <s v="Yes"/>
    <x v="111"/>
    <x v="76"/>
    <n v="152"/>
    <x v="0"/>
    <n v="1"/>
    <x v="0"/>
    <x v="1"/>
    <n v="6327"/>
    <x v="0"/>
    <n v="0.42"/>
    <n v="2.4024024024024024"/>
  </r>
  <r>
    <s v="LP001531"/>
    <x v="0"/>
    <x v="1"/>
    <x v="1"/>
    <x v="0"/>
    <s v="No"/>
    <x v="112"/>
    <x v="1"/>
    <n v="244"/>
    <x v="0"/>
    <n v="1"/>
    <x v="1"/>
    <x v="0"/>
    <n v="9166"/>
    <x v="0"/>
    <n v="0.38"/>
    <n v="2.662011782675104"/>
  </r>
  <r>
    <s v="LP001532"/>
    <x v="0"/>
    <x v="0"/>
    <x v="2"/>
    <x v="1"/>
    <s v="No"/>
    <x v="113"/>
    <x v="1"/>
    <n v="113"/>
    <x v="0"/>
    <n v="1"/>
    <x v="0"/>
    <x v="0"/>
    <n v="2281"/>
    <x v="0"/>
    <n v="0.2"/>
    <n v="4.9539675580885572"/>
  </r>
  <r>
    <s v="LP001535"/>
    <x v="0"/>
    <x v="1"/>
    <x v="1"/>
    <x v="0"/>
    <s v="No"/>
    <x v="114"/>
    <x v="1"/>
    <n v="50"/>
    <x v="0"/>
    <n v="1"/>
    <x v="1"/>
    <x v="1"/>
    <n v="3254"/>
    <x v="0"/>
    <n v="0.65"/>
    <n v="1.5365703749231714"/>
  </r>
  <r>
    <s v="LP001536"/>
    <x v="0"/>
    <x v="0"/>
    <x v="3"/>
    <x v="0"/>
    <s v="No"/>
    <x v="115"/>
    <x v="1"/>
    <n v="600"/>
    <x v="2"/>
    <n v="0"/>
    <x v="2"/>
    <x v="1"/>
    <n v="39999"/>
    <x v="1"/>
    <n v="0.67"/>
    <n v="1.5000375009375235"/>
  </r>
  <r>
    <s v="LP001543"/>
    <x v="0"/>
    <x v="0"/>
    <x v="0"/>
    <x v="0"/>
    <s v="No"/>
    <x v="116"/>
    <x v="1"/>
    <n v="187"/>
    <x v="0"/>
    <n v="1"/>
    <x v="1"/>
    <x v="1"/>
    <n v="9538"/>
    <x v="0"/>
    <n v="0.51"/>
    <n v="1.9605787376808557"/>
  </r>
  <r>
    <s v="LP001546"/>
    <x v="0"/>
    <x v="1"/>
    <x v="1"/>
    <x v="0"/>
    <s v="Not Mentioned"/>
    <x v="117"/>
    <x v="18"/>
    <n v="120"/>
    <x v="0"/>
    <n v="1"/>
    <x v="0"/>
    <x v="1"/>
    <n v="5063"/>
    <x v="0"/>
    <n v="0.42"/>
    <n v="2.3701362828362633"/>
  </r>
  <r>
    <s v="LP001552"/>
    <x v="0"/>
    <x v="0"/>
    <x v="1"/>
    <x v="0"/>
    <s v="No"/>
    <x v="0"/>
    <x v="13"/>
    <n v="255"/>
    <x v="0"/>
    <n v="1"/>
    <x v="2"/>
    <x v="1"/>
    <n v="10208"/>
    <x v="0"/>
    <n v="0.4"/>
    <n v="2.498040752351097"/>
  </r>
  <r>
    <s v="LP001560"/>
    <x v="0"/>
    <x v="0"/>
    <x v="1"/>
    <x v="1"/>
    <s v="No"/>
    <x v="118"/>
    <x v="77"/>
    <n v="98"/>
    <x v="0"/>
    <n v="1"/>
    <x v="2"/>
    <x v="1"/>
    <n v="2904"/>
    <x v="0"/>
    <n v="0.3"/>
    <n v="3.3746556473829203"/>
  </r>
  <r>
    <s v="LP001562"/>
    <x v="0"/>
    <x v="0"/>
    <x v="1"/>
    <x v="0"/>
    <s v="No"/>
    <x v="119"/>
    <x v="1"/>
    <n v="275"/>
    <x v="0"/>
    <n v="1"/>
    <x v="1"/>
    <x v="0"/>
    <n v="7933"/>
    <x v="0"/>
    <n v="0.28999999999999998"/>
    <n v="3.466532207235598"/>
  </r>
  <r>
    <s v="LP001565"/>
    <x v="0"/>
    <x v="0"/>
    <x v="0"/>
    <x v="0"/>
    <s v="No"/>
    <x v="120"/>
    <x v="78"/>
    <n v="121"/>
    <x v="0"/>
    <n v="0"/>
    <x v="2"/>
    <x v="0"/>
    <n v="4369"/>
    <x v="1"/>
    <n v="0.36"/>
    <n v="2.7695124742504005"/>
  </r>
  <r>
    <s v="LP001570"/>
    <x v="0"/>
    <x v="0"/>
    <x v="2"/>
    <x v="0"/>
    <s v="No"/>
    <x v="121"/>
    <x v="79"/>
    <n v="158"/>
    <x v="0"/>
    <n v="1"/>
    <x v="0"/>
    <x v="1"/>
    <n v="5614"/>
    <x v="0"/>
    <n v="0.36"/>
    <n v="2.814392589953687"/>
  </r>
  <r>
    <s v="LP001572"/>
    <x v="0"/>
    <x v="0"/>
    <x v="1"/>
    <x v="0"/>
    <s v="No"/>
    <x v="122"/>
    <x v="1"/>
    <n v="75"/>
    <x v="2"/>
    <n v="1"/>
    <x v="1"/>
    <x v="1"/>
    <n v="9323"/>
    <x v="0"/>
    <n v="1.24"/>
    <n v="0.80446208302048694"/>
  </r>
  <r>
    <s v="LP001577"/>
    <x v="1"/>
    <x v="0"/>
    <x v="1"/>
    <x v="0"/>
    <s v="No"/>
    <x v="0"/>
    <x v="1"/>
    <n v="112"/>
    <x v="0"/>
    <n v="1"/>
    <x v="0"/>
    <x v="0"/>
    <n v="4583"/>
    <x v="0"/>
    <n v="0.41"/>
    <n v="2.4438140955705867"/>
  </r>
  <r>
    <s v="LP001578"/>
    <x v="0"/>
    <x v="0"/>
    <x v="1"/>
    <x v="0"/>
    <s v="No"/>
    <x v="123"/>
    <x v="80"/>
    <n v="129"/>
    <x v="0"/>
    <n v="1"/>
    <x v="0"/>
    <x v="1"/>
    <n v="5772"/>
    <x v="0"/>
    <n v="0.45"/>
    <n v="2.2349272349272349"/>
  </r>
  <r>
    <s v="LP001579"/>
    <x v="0"/>
    <x v="1"/>
    <x v="1"/>
    <x v="0"/>
    <s v="No"/>
    <x v="124"/>
    <x v="1"/>
    <n v="63"/>
    <x v="5"/>
    <n v="0"/>
    <x v="2"/>
    <x v="0"/>
    <n v="2237"/>
    <x v="1"/>
    <n v="0.36"/>
    <n v="2.8162717925793475"/>
  </r>
  <r>
    <s v="LP001580"/>
    <x v="0"/>
    <x v="0"/>
    <x v="2"/>
    <x v="0"/>
    <s v="No"/>
    <x v="125"/>
    <x v="1"/>
    <n v="200"/>
    <x v="0"/>
    <n v="1"/>
    <x v="2"/>
    <x v="1"/>
    <n v="8000"/>
    <x v="0"/>
    <n v="0.4"/>
    <n v="2.5"/>
  </r>
  <r>
    <s v="LP001581"/>
    <x v="0"/>
    <x v="0"/>
    <x v="1"/>
    <x v="1"/>
    <s v="Not Mentioned"/>
    <x v="126"/>
    <x v="81"/>
    <n v="95"/>
    <x v="0"/>
    <n v="1"/>
    <x v="0"/>
    <x v="1"/>
    <n v="3589"/>
    <x v="0"/>
    <n v="0.38"/>
    <n v="2.6469768737809973"/>
  </r>
  <r>
    <s v="LP001585"/>
    <x v="2"/>
    <x v="0"/>
    <x v="3"/>
    <x v="0"/>
    <s v="No"/>
    <x v="127"/>
    <x v="1"/>
    <n v="700"/>
    <x v="4"/>
    <n v="1"/>
    <x v="1"/>
    <x v="1"/>
    <n v="51763"/>
    <x v="0"/>
    <n v="0.74"/>
    <n v="1.3523172922744044"/>
  </r>
  <r>
    <s v="LP001586"/>
    <x v="0"/>
    <x v="0"/>
    <x v="3"/>
    <x v="1"/>
    <s v="No"/>
    <x v="128"/>
    <x v="1"/>
    <n v="81"/>
    <x v="2"/>
    <n v="1"/>
    <x v="0"/>
    <x v="0"/>
    <n v="3522"/>
    <x v="0"/>
    <n v="0.43"/>
    <n v="2.2998296422487225"/>
  </r>
  <r>
    <s v="LP001594"/>
    <x v="0"/>
    <x v="0"/>
    <x v="1"/>
    <x v="0"/>
    <s v="No"/>
    <x v="129"/>
    <x v="13"/>
    <n v="187"/>
    <x v="0"/>
    <n v="1"/>
    <x v="2"/>
    <x v="1"/>
    <n v="11333"/>
    <x v="0"/>
    <n v="0.61"/>
    <n v="1.6500485308391422"/>
  </r>
  <r>
    <s v="LP001603"/>
    <x v="0"/>
    <x v="0"/>
    <x v="1"/>
    <x v="1"/>
    <s v="Yes"/>
    <x v="130"/>
    <x v="82"/>
    <n v="87"/>
    <x v="0"/>
    <n v="1"/>
    <x v="2"/>
    <x v="0"/>
    <n v="5080"/>
    <x v="0"/>
    <n v="0.57999999999999996"/>
    <n v="1.7125984251968505"/>
  </r>
  <r>
    <s v="LP001606"/>
    <x v="0"/>
    <x v="0"/>
    <x v="1"/>
    <x v="0"/>
    <s v="No"/>
    <x v="131"/>
    <x v="83"/>
    <n v="116"/>
    <x v="0"/>
    <n v="1"/>
    <x v="0"/>
    <x v="1"/>
    <n v="5461"/>
    <x v="0"/>
    <n v="0.47"/>
    <n v="2.1241530855154735"/>
  </r>
  <r>
    <s v="LP001608"/>
    <x v="0"/>
    <x v="0"/>
    <x v="2"/>
    <x v="0"/>
    <s v="No"/>
    <x v="132"/>
    <x v="84"/>
    <n v="101"/>
    <x v="0"/>
    <n v="1"/>
    <x v="0"/>
    <x v="1"/>
    <n v="3664"/>
    <x v="0"/>
    <n v="0.36"/>
    <n v="2.7565502183406112"/>
  </r>
  <r>
    <s v="LP001610"/>
    <x v="0"/>
    <x v="0"/>
    <x v="3"/>
    <x v="0"/>
    <s v="No"/>
    <x v="133"/>
    <x v="85"/>
    <n v="495"/>
    <x v="0"/>
    <n v="0"/>
    <x v="2"/>
    <x v="0"/>
    <n v="16816"/>
    <x v="1"/>
    <n v="0.34"/>
    <n v="2.9436251189343481"/>
  </r>
  <r>
    <s v="LP001616"/>
    <x v="0"/>
    <x v="0"/>
    <x v="0"/>
    <x v="0"/>
    <s v="No"/>
    <x v="25"/>
    <x v="1"/>
    <n v="116"/>
    <x v="0"/>
    <n v="1"/>
    <x v="2"/>
    <x v="1"/>
    <n v="3750"/>
    <x v="0"/>
    <n v="0.32"/>
    <n v="3.0933333333333333"/>
  </r>
  <r>
    <s v="LP001630"/>
    <x v="0"/>
    <x v="1"/>
    <x v="1"/>
    <x v="1"/>
    <s v="No"/>
    <x v="5"/>
    <x v="86"/>
    <n v="102"/>
    <x v="5"/>
    <n v="0"/>
    <x v="1"/>
    <x v="0"/>
    <n v="3784"/>
    <x v="1"/>
    <n v="0.37"/>
    <n v="2.6955602536997887"/>
  </r>
  <r>
    <s v="LP001633"/>
    <x v="0"/>
    <x v="0"/>
    <x v="0"/>
    <x v="0"/>
    <s v="No"/>
    <x v="134"/>
    <x v="87"/>
    <n v="180"/>
    <x v="0"/>
    <n v="0"/>
    <x v="1"/>
    <x v="0"/>
    <n v="13650"/>
    <x v="1"/>
    <n v="0.76"/>
    <n v="1.3186813186813187"/>
  </r>
  <r>
    <s v="LP001636"/>
    <x v="0"/>
    <x v="0"/>
    <x v="1"/>
    <x v="0"/>
    <s v="No"/>
    <x v="135"/>
    <x v="1"/>
    <n v="73"/>
    <x v="2"/>
    <n v="1"/>
    <x v="2"/>
    <x v="1"/>
    <n v="4600"/>
    <x v="0"/>
    <n v="0.63"/>
    <n v="1.5869565217391306"/>
  </r>
  <r>
    <s v="LP001637"/>
    <x v="0"/>
    <x v="0"/>
    <x v="0"/>
    <x v="0"/>
    <s v="No"/>
    <x v="136"/>
    <x v="1"/>
    <n v="260"/>
    <x v="0"/>
    <n v="1"/>
    <x v="2"/>
    <x v="0"/>
    <n v="33846"/>
    <x v="0"/>
    <n v="1.3"/>
    <n v="0.76818530993322698"/>
  </r>
  <r>
    <s v="LP001639"/>
    <x v="1"/>
    <x v="0"/>
    <x v="1"/>
    <x v="0"/>
    <s v="No"/>
    <x v="137"/>
    <x v="1"/>
    <n v="108"/>
    <x v="0"/>
    <n v="1"/>
    <x v="2"/>
    <x v="1"/>
    <n v="3625"/>
    <x v="0"/>
    <n v="0.34"/>
    <n v="2.9793103448275864"/>
  </r>
  <r>
    <s v="LP001640"/>
    <x v="0"/>
    <x v="0"/>
    <x v="1"/>
    <x v="0"/>
    <s v="Yes"/>
    <x v="138"/>
    <x v="41"/>
    <n v="120"/>
    <x v="0"/>
    <n v="1"/>
    <x v="2"/>
    <x v="1"/>
    <n v="43897"/>
    <x v="0"/>
    <n v="3.66"/>
    <n v="0.27336720049206092"/>
  </r>
  <r>
    <s v="LP001641"/>
    <x v="0"/>
    <x v="0"/>
    <x v="0"/>
    <x v="0"/>
    <s v="Yes"/>
    <x v="139"/>
    <x v="1"/>
    <n v="66"/>
    <x v="4"/>
    <n v="0"/>
    <x v="0"/>
    <x v="0"/>
    <n v="2178"/>
    <x v="1"/>
    <n v="0.33"/>
    <n v="3.0303030303030303"/>
  </r>
  <r>
    <s v="LP001644"/>
    <x v="2"/>
    <x v="0"/>
    <x v="1"/>
    <x v="0"/>
    <s v="Yes"/>
    <x v="140"/>
    <x v="88"/>
    <n v="168"/>
    <x v="0"/>
    <n v="1"/>
    <x v="0"/>
    <x v="1"/>
    <n v="5970"/>
    <x v="0"/>
    <n v="0.36"/>
    <n v="2.8140703517587942"/>
  </r>
  <r>
    <s v="LP001647"/>
    <x v="0"/>
    <x v="0"/>
    <x v="1"/>
    <x v="0"/>
    <s v="No"/>
    <x v="141"/>
    <x v="1"/>
    <n v="188"/>
    <x v="2"/>
    <n v="1"/>
    <x v="0"/>
    <x v="1"/>
    <n v="9328"/>
    <x v="0"/>
    <n v="0.5"/>
    <n v="2.0154373927958833"/>
  </r>
  <r>
    <s v="LP001653"/>
    <x v="0"/>
    <x v="1"/>
    <x v="1"/>
    <x v="1"/>
    <s v="No"/>
    <x v="142"/>
    <x v="1"/>
    <n v="48"/>
    <x v="0"/>
    <n v="1"/>
    <x v="0"/>
    <x v="1"/>
    <n v="4885"/>
    <x v="0"/>
    <n v="1.02"/>
    <n v="0.98259979529170938"/>
  </r>
  <r>
    <s v="LP001656"/>
    <x v="0"/>
    <x v="1"/>
    <x v="1"/>
    <x v="0"/>
    <s v="No"/>
    <x v="143"/>
    <x v="1"/>
    <n v="164"/>
    <x v="0"/>
    <n v="1"/>
    <x v="2"/>
    <x v="0"/>
    <n v="12000"/>
    <x v="0"/>
    <n v="0.73"/>
    <n v="1.3666666666666667"/>
  </r>
  <r>
    <s v="LP001657"/>
    <x v="0"/>
    <x v="0"/>
    <x v="1"/>
    <x v="1"/>
    <s v="No"/>
    <x v="144"/>
    <x v="1"/>
    <n v="160"/>
    <x v="0"/>
    <n v="1"/>
    <x v="1"/>
    <x v="0"/>
    <n v="6033"/>
    <x v="0"/>
    <n v="0.38"/>
    <n v="2.6520802254268192"/>
  </r>
  <r>
    <s v="LP001658"/>
    <x v="0"/>
    <x v="1"/>
    <x v="1"/>
    <x v="0"/>
    <s v="No"/>
    <x v="145"/>
    <x v="1"/>
    <n v="76"/>
    <x v="0"/>
    <n v="1"/>
    <x v="2"/>
    <x v="1"/>
    <n v="3858"/>
    <x v="0"/>
    <n v="0.51"/>
    <n v="1.9699326075686883"/>
  </r>
  <r>
    <s v="LP001664"/>
    <x v="0"/>
    <x v="1"/>
    <x v="1"/>
    <x v="0"/>
    <s v="No"/>
    <x v="146"/>
    <x v="1"/>
    <n v="120"/>
    <x v="0"/>
    <n v="1"/>
    <x v="0"/>
    <x v="1"/>
    <n v="4191"/>
    <x v="0"/>
    <n v="0.35"/>
    <n v="2.863278453829635"/>
  </r>
  <r>
    <s v="LP001665"/>
    <x v="0"/>
    <x v="0"/>
    <x v="0"/>
    <x v="0"/>
    <s v="No"/>
    <x v="147"/>
    <x v="89"/>
    <n v="170"/>
    <x v="0"/>
    <n v="1"/>
    <x v="2"/>
    <x v="0"/>
    <n v="5708"/>
    <x v="0"/>
    <n v="0.34"/>
    <n v="2.9782761037140855"/>
  </r>
  <r>
    <s v="LP001666"/>
    <x v="0"/>
    <x v="1"/>
    <x v="1"/>
    <x v="0"/>
    <s v="No"/>
    <x v="148"/>
    <x v="76"/>
    <n v="187"/>
    <x v="0"/>
    <n v="1"/>
    <x v="0"/>
    <x v="1"/>
    <n v="12083"/>
    <x v="0"/>
    <n v="0.65"/>
    <n v="1.5476289001075891"/>
  </r>
  <r>
    <s v="LP001673"/>
    <x v="0"/>
    <x v="1"/>
    <x v="1"/>
    <x v="0"/>
    <s v="Yes"/>
    <x v="149"/>
    <x v="1"/>
    <n v="83"/>
    <x v="0"/>
    <n v="1"/>
    <x v="1"/>
    <x v="0"/>
    <n v="11000"/>
    <x v="0"/>
    <n v="1.33"/>
    <n v="0.75454545454545452"/>
  </r>
  <r>
    <s v="LP001674"/>
    <x v="0"/>
    <x v="0"/>
    <x v="0"/>
    <x v="1"/>
    <s v="No"/>
    <x v="19"/>
    <x v="90"/>
    <n v="90"/>
    <x v="0"/>
    <n v="1"/>
    <x v="2"/>
    <x v="1"/>
    <n v="5100"/>
    <x v="0"/>
    <n v="0.56999999999999995"/>
    <n v="1.7647058823529411"/>
  </r>
  <r>
    <s v="LP001677"/>
    <x v="0"/>
    <x v="1"/>
    <x v="2"/>
    <x v="0"/>
    <s v="No"/>
    <x v="150"/>
    <x v="1"/>
    <n v="166"/>
    <x v="0"/>
    <n v="0"/>
    <x v="2"/>
    <x v="1"/>
    <n v="4923"/>
    <x v="1"/>
    <n v="0.3"/>
    <n v="3.3719276863700993"/>
  </r>
  <r>
    <s v="LP001688"/>
    <x v="0"/>
    <x v="0"/>
    <x v="0"/>
    <x v="1"/>
    <s v="No"/>
    <x v="28"/>
    <x v="91"/>
    <n v="135"/>
    <x v="0"/>
    <n v="1"/>
    <x v="1"/>
    <x v="1"/>
    <n v="4583"/>
    <x v="0"/>
    <n v="0.34"/>
    <n v="2.9456687759109754"/>
  </r>
  <r>
    <s v="LP001691"/>
    <x v="0"/>
    <x v="0"/>
    <x v="2"/>
    <x v="1"/>
    <s v="No"/>
    <x v="151"/>
    <x v="1"/>
    <n v="124"/>
    <x v="0"/>
    <n v="1"/>
    <x v="2"/>
    <x v="1"/>
    <n v="3917"/>
    <x v="0"/>
    <n v="0.32"/>
    <n v="3.165688026550932"/>
  </r>
  <r>
    <s v="LP001692"/>
    <x v="1"/>
    <x v="1"/>
    <x v="1"/>
    <x v="1"/>
    <s v="No"/>
    <x v="152"/>
    <x v="1"/>
    <n v="120"/>
    <x v="0"/>
    <n v="1"/>
    <x v="2"/>
    <x v="1"/>
    <n v="4408"/>
    <x v="0"/>
    <n v="0.37"/>
    <n v="2.7223230490018149"/>
  </r>
  <r>
    <s v="LP001693"/>
    <x v="1"/>
    <x v="1"/>
    <x v="1"/>
    <x v="0"/>
    <s v="No"/>
    <x v="153"/>
    <x v="1"/>
    <n v="80"/>
    <x v="0"/>
    <n v="1"/>
    <x v="1"/>
    <x v="1"/>
    <n v="3244"/>
    <x v="0"/>
    <n v="0.41"/>
    <n v="2.466091245376079"/>
  </r>
  <r>
    <s v="LP001698"/>
    <x v="0"/>
    <x v="1"/>
    <x v="1"/>
    <x v="1"/>
    <s v="No"/>
    <x v="154"/>
    <x v="45"/>
    <n v="55"/>
    <x v="0"/>
    <n v="1"/>
    <x v="0"/>
    <x v="1"/>
    <n v="6506"/>
    <x v="0"/>
    <n v="1.18"/>
    <n v="0.84537350138333844"/>
  </r>
  <r>
    <s v="LP001699"/>
    <x v="0"/>
    <x v="1"/>
    <x v="1"/>
    <x v="0"/>
    <s v="No"/>
    <x v="155"/>
    <x v="1"/>
    <n v="59"/>
    <x v="0"/>
    <n v="1"/>
    <x v="1"/>
    <x v="1"/>
    <n v="2479"/>
    <x v="0"/>
    <n v="0.42"/>
    <n v="2.3799919322307383"/>
  </r>
  <r>
    <s v="LP001702"/>
    <x v="0"/>
    <x v="1"/>
    <x v="1"/>
    <x v="0"/>
    <s v="No"/>
    <x v="156"/>
    <x v="1"/>
    <n v="127"/>
    <x v="0"/>
    <n v="1"/>
    <x v="2"/>
    <x v="0"/>
    <n v="3418"/>
    <x v="0"/>
    <n v="0.27"/>
    <n v="3.7156231714452899"/>
  </r>
  <r>
    <s v="LP001708"/>
    <x v="1"/>
    <x v="1"/>
    <x v="1"/>
    <x v="0"/>
    <s v="No"/>
    <x v="108"/>
    <x v="1"/>
    <n v="214"/>
    <x v="0"/>
    <n v="1"/>
    <x v="2"/>
    <x v="0"/>
    <n v="10000"/>
    <x v="0"/>
    <n v="0.47"/>
    <n v="2.1399999999999997"/>
  </r>
  <r>
    <s v="LP001711"/>
    <x v="0"/>
    <x v="0"/>
    <x v="3"/>
    <x v="0"/>
    <s v="No"/>
    <x v="157"/>
    <x v="92"/>
    <n v="128"/>
    <x v="0"/>
    <n v="0"/>
    <x v="2"/>
    <x v="0"/>
    <n v="4680"/>
    <x v="1"/>
    <n v="0.37"/>
    <n v="2.7350427350427351"/>
  </r>
  <r>
    <s v="LP001713"/>
    <x v="0"/>
    <x v="0"/>
    <x v="0"/>
    <x v="0"/>
    <s v="Yes"/>
    <x v="158"/>
    <x v="1"/>
    <n v="240"/>
    <x v="0"/>
    <n v="1"/>
    <x v="1"/>
    <x v="1"/>
    <n v="7787"/>
    <x v="0"/>
    <n v="0.32"/>
    <n v="3.0820598433286244"/>
  </r>
  <r>
    <s v="LP001715"/>
    <x v="0"/>
    <x v="0"/>
    <x v="3"/>
    <x v="1"/>
    <s v="Yes"/>
    <x v="159"/>
    <x v="1"/>
    <n v="130"/>
    <x v="0"/>
    <n v="1"/>
    <x v="0"/>
    <x v="1"/>
    <n v="5703"/>
    <x v="0"/>
    <n v="0.44"/>
    <n v="2.279502016482553"/>
  </r>
  <r>
    <s v="LP001716"/>
    <x v="0"/>
    <x v="0"/>
    <x v="1"/>
    <x v="0"/>
    <s v="No"/>
    <x v="160"/>
    <x v="93"/>
    <n v="137"/>
    <x v="0"/>
    <n v="1"/>
    <x v="1"/>
    <x v="1"/>
    <n v="6194"/>
    <x v="0"/>
    <n v="0.45"/>
    <n v="2.2118178882789796"/>
  </r>
  <r>
    <s v="LP001720"/>
    <x v="0"/>
    <x v="0"/>
    <x v="3"/>
    <x v="1"/>
    <s v="No"/>
    <x v="161"/>
    <x v="94"/>
    <n v="100"/>
    <x v="0"/>
    <n v="1"/>
    <x v="2"/>
    <x v="1"/>
    <n v="4833"/>
    <x v="0"/>
    <n v="0.48"/>
    <n v="2.0691082143596109"/>
  </r>
  <r>
    <s v="LP001722"/>
    <x v="0"/>
    <x v="0"/>
    <x v="1"/>
    <x v="0"/>
    <s v="No"/>
    <x v="162"/>
    <x v="95"/>
    <n v="135"/>
    <x v="0"/>
    <n v="1"/>
    <x v="0"/>
    <x v="0"/>
    <n v="1950"/>
    <x v="0"/>
    <n v="0.14000000000000001"/>
    <n v="6.9230769230769234"/>
  </r>
  <r>
    <s v="LP001726"/>
    <x v="0"/>
    <x v="0"/>
    <x v="1"/>
    <x v="0"/>
    <s v="No"/>
    <x v="163"/>
    <x v="96"/>
    <n v="131"/>
    <x v="0"/>
    <n v="1"/>
    <x v="2"/>
    <x v="1"/>
    <n v="5502"/>
    <x v="0"/>
    <n v="0.42"/>
    <n v="2.3809523809523809"/>
  </r>
  <r>
    <s v="LP001732"/>
    <x v="0"/>
    <x v="0"/>
    <x v="2"/>
    <x v="0"/>
    <s v="Not Mentioned"/>
    <x v="164"/>
    <x v="1"/>
    <n v="72"/>
    <x v="0"/>
    <n v="0"/>
    <x v="2"/>
    <x v="0"/>
    <n v="5000"/>
    <x v="1"/>
    <n v="0.69"/>
    <n v="1.44"/>
  </r>
  <r>
    <s v="LP001736"/>
    <x v="0"/>
    <x v="0"/>
    <x v="1"/>
    <x v="0"/>
    <s v="No"/>
    <x v="165"/>
    <x v="1"/>
    <n v="60"/>
    <x v="0"/>
    <n v="0"/>
    <x v="1"/>
    <x v="0"/>
    <n v="2221"/>
    <x v="1"/>
    <n v="0.37"/>
    <n v="2.70148581719946"/>
  </r>
  <r>
    <s v="LP001743"/>
    <x v="0"/>
    <x v="0"/>
    <x v="2"/>
    <x v="0"/>
    <s v="No"/>
    <x v="166"/>
    <x v="97"/>
    <n v="116"/>
    <x v="0"/>
    <n v="1"/>
    <x v="2"/>
    <x v="1"/>
    <n v="5726"/>
    <x v="0"/>
    <n v="0.49"/>
    <n v="2.0258470136220748"/>
  </r>
  <r>
    <s v="LP001744"/>
    <x v="0"/>
    <x v="1"/>
    <x v="1"/>
    <x v="0"/>
    <s v="No"/>
    <x v="167"/>
    <x v="98"/>
    <n v="144"/>
    <x v="0"/>
    <n v="1"/>
    <x v="2"/>
    <x v="1"/>
    <n v="5762"/>
    <x v="0"/>
    <n v="0.4"/>
    <n v="2.4991322457480045"/>
  </r>
  <r>
    <s v="LP001750"/>
    <x v="0"/>
    <x v="0"/>
    <x v="1"/>
    <x v="0"/>
    <s v="No"/>
    <x v="67"/>
    <x v="1"/>
    <n v="128"/>
    <x v="0"/>
    <n v="1"/>
    <x v="2"/>
    <x v="1"/>
    <n v="6250"/>
    <x v="0"/>
    <n v="0.49"/>
    <n v="2.048"/>
  </r>
  <r>
    <s v="LP001751"/>
    <x v="0"/>
    <x v="0"/>
    <x v="1"/>
    <x v="0"/>
    <s v="No"/>
    <x v="168"/>
    <x v="1"/>
    <n v="170"/>
    <x v="0"/>
    <n v="1"/>
    <x v="0"/>
    <x v="0"/>
    <n v="3250"/>
    <x v="0"/>
    <n v="0.19"/>
    <n v="5.2307692307692308"/>
  </r>
  <r>
    <s v="LP001754"/>
    <x v="0"/>
    <x v="0"/>
    <x v="1"/>
    <x v="1"/>
    <s v="Yes"/>
    <x v="169"/>
    <x v="1"/>
    <n v="138"/>
    <x v="0"/>
    <n v="1"/>
    <x v="1"/>
    <x v="0"/>
    <n v="4735"/>
    <x v="0"/>
    <n v="0.34"/>
    <n v="2.9144667370644139"/>
  </r>
  <r>
    <s v="LP001758"/>
    <x v="0"/>
    <x v="0"/>
    <x v="2"/>
    <x v="0"/>
    <s v="No"/>
    <x v="67"/>
    <x v="99"/>
    <n v="210"/>
    <x v="0"/>
    <n v="1"/>
    <x v="2"/>
    <x v="1"/>
    <n v="7945"/>
    <x v="0"/>
    <n v="0.38"/>
    <n v="2.643171806167401"/>
  </r>
  <r>
    <s v="LP001760"/>
    <x v="0"/>
    <x v="2"/>
    <x v="1"/>
    <x v="0"/>
    <s v="No"/>
    <x v="170"/>
    <x v="1"/>
    <n v="158"/>
    <x v="5"/>
    <n v="1"/>
    <x v="2"/>
    <x v="1"/>
    <n v="4758"/>
    <x v="0"/>
    <n v="0.3"/>
    <n v="3.3207229928541402"/>
  </r>
  <r>
    <s v="LP001761"/>
    <x v="0"/>
    <x v="1"/>
    <x v="1"/>
    <x v="0"/>
    <s v="Yes"/>
    <x v="134"/>
    <x v="1"/>
    <n v="200"/>
    <x v="0"/>
    <n v="1"/>
    <x v="0"/>
    <x v="1"/>
    <n v="6400"/>
    <x v="0"/>
    <n v="0.32"/>
    <n v="3.125"/>
  </r>
  <r>
    <s v="LP001765"/>
    <x v="0"/>
    <x v="0"/>
    <x v="0"/>
    <x v="0"/>
    <s v="No"/>
    <x v="171"/>
    <x v="100"/>
    <n v="104"/>
    <x v="0"/>
    <n v="1"/>
    <x v="2"/>
    <x v="1"/>
    <n v="4545"/>
    <x v="0"/>
    <n v="0.44"/>
    <n v="2.2882288228822882"/>
  </r>
  <r>
    <s v="LP001768"/>
    <x v="0"/>
    <x v="0"/>
    <x v="1"/>
    <x v="0"/>
    <s v="Not Mentioned"/>
    <x v="172"/>
    <x v="1"/>
    <n v="42"/>
    <x v="2"/>
    <n v="1"/>
    <x v="0"/>
    <x v="1"/>
    <n v="3716"/>
    <x v="0"/>
    <n v="0.88"/>
    <n v="1.1302475780409043"/>
  </r>
  <r>
    <s v="LP001776"/>
    <x v="1"/>
    <x v="1"/>
    <x v="1"/>
    <x v="0"/>
    <s v="No"/>
    <x v="148"/>
    <x v="1"/>
    <n v="280"/>
    <x v="0"/>
    <n v="1"/>
    <x v="2"/>
    <x v="1"/>
    <n v="8333"/>
    <x v="0"/>
    <n v="0.3"/>
    <n v="3.3601344053762152"/>
  </r>
  <r>
    <s v="LP001778"/>
    <x v="0"/>
    <x v="0"/>
    <x v="0"/>
    <x v="0"/>
    <s v="No"/>
    <x v="173"/>
    <x v="101"/>
    <n v="140"/>
    <x v="0"/>
    <n v="1"/>
    <x v="2"/>
    <x v="1"/>
    <n v="4934"/>
    <x v="0"/>
    <n v="0.35"/>
    <n v="2.8374543980543168"/>
  </r>
  <r>
    <s v="LP001784"/>
    <x v="0"/>
    <x v="0"/>
    <x v="0"/>
    <x v="0"/>
    <s v="No"/>
    <x v="174"/>
    <x v="102"/>
    <n v="170"/>
    <x v="0"/>
    <n v="1"/>
    <x v="0"/>
    <x v="1"/>
    <n v="6760"/>
    <x v="0"/>
    <n v="0.4"/>
    <n v="2.5147928994082842"/>
  </r>
  <r>
    <s v="LP001790"/>
    <x v="1"/>
    <x v="1"/>
    <x v="0"/>
    <x v="0"/>
    <s v="No"/>
    <x v="175"/>
    <x v="1"/>
    <n v="112"/>
    <x v="0"/>
    <n v="1"/>
    <x v="0"/>
    <x v="1"/>
    <n v="3812"/>
    <x v="0"/>
    <n v="0.34"/>
    <n v="2.9380902413431267"/>
  </r>
  <r>
    <s v="LP001792"/>
    <x v="0"/>
    <x v="0"/>
    <x v="0"/>
    <x v="0"/>
    <s v="No"/>
    <x v="176"/>
    <x v="1"/>
    <n v="96"/>
    <x v="0"/>
    <n v="1"/>
    <x v="2"/>
    <x v="1"/>
    <n v="3315"/>
    <x v="0"/>
    <n v="0.35"/>
    <n v="2.8959276018099547"/>
  </r>
  <r>
    <s v="LP001798"/>
    <x v="0"/>
    <x v="0"/>
    <x v="2"/>
    <x v="0"/>
    <s v="No"/>
    <x v="177"/>
    <x v="103"/>
    <n v="120"/>
    <x v="0"/>
    <n v="1"/>
    <x v="0"/>
    <x v="1"/>
    <n v="10819"/>
    <x v="0"/>
    <n v="0.9"/>
    <n v="1.109159811442832"/>
  </r>
  <r>
    <s v="LP001800"/>
    <x v="0"/>
    <x v="0"/>
    <x v="0"/>
    <x v="1"/>
    <s v="No"/>
    <x v="178"/>
    <x v="104"/>
    <n v="140"/>
    <x v="2"/>
    <n v="1"/>
    <x v="1"/>
    <x v="0"/>
    <n v="4493"/>
    <x v="0"/>
    <n v="0.32"/>
    <n v="3.1159581571333184"/>
  </r>
  <r>
    <s v="LP001806"/>
    <x v="0"/>
    <x v="1"/>
    <x v="1"/>
    <x v="0"/>
    <s v="No"/>
    <x v="179"/>
    <x v="105"/>
    <n v="155"/>
    <x v="3"/>
    <n v="1"/>
    <x v="1"/>
    <x v="1"/>
    <n v="8666"/>
    <x v="0"/>
    <n v="0.56000000000000005"/>
    <n v="1.7885991230094624"/>
  </r>
  <r>
    <s v="LP001807"/>
    <x v="0"/>
    <x v="0"/>
    <x v="2"/>
    <x v="0"/>
    <s v="Yes"/>
    <x v="67"/>
    <x v="106"/>
    <n v="108"/>
    <x v="0"/>
    <n v="1"/>
    <x v="0"/>
    <x v="1"/>
    <n v="7550"/>
    <x v="0"/>
    <n v="0.7"/>
    <n v="1.4304635761589404"/>
  </r>
  <r>
    <s v="LP001811"/>
    <x v="0"/>
    <x v="0"/>
    <x v="1"/>
    <x v="1"/>
    <s v="No"/>
    <x v="180"/>
    <x v="107"/>
    <n v="123"/>
    <x v="0"/>
    <n v="1"/>
    <x v="2"/>
    <x v="1"/>
    <n v="7823"/>
    <x v="0"/>
    <n v="0.64"/>
    <n v="1.5722868464783331"/>
  </r>
  <r>
    <s v="LP001813"/>
    <x v="0"/>
    <x v="1"/>
    <x v="1"/>
    <x v="0"/>
    <s v="Yes"/>
    <x v="181"/>
    <x v="108"/>
    <n v="120"/>
    <x v="2"/>
    <n v="1"/>
    <x v="1"/>
    <x v="0"/>
    <n v="10383"/>
    <x v="0"/>
    <n v="0.87"/>
    <n v="1.1557353366079168"/>
  </r>
  <r>
    <s v="LP001814"/>
    <x v="0"/>
    <x v="0"/>
    <x v="2"/>
    <x v="0"/>
    <s v="No"/>
    <x v="182"/>
    <x v="1"/>
    <n v="112"/>
    <x v="0"/>
    <n v="1"/>
    <x v="1"/>
    <x v="1"/>
    <n v="9703"/>
    <x v="0"/>
    <n v="0.87"/>
    <n v="1.1542821807688344"/>
  </r>
  <r>
    <s v="LP001819"/>
    <x v="0"/>
    <x v="0"/>
    <x v="0"/>
    <x v="1"/>
    <s v="No"/>
    <x v="183"/>
    <x v="1"/>
    <n v="137"/>
    <x v="2"/>
    <n v="1"/>
    <x v="1"/>
    <x v="1"/>
    <n v="6608"/>
    <x v="0"/>
    <n v="0.48"/>
    <n v="2.0732445520581115"/>
  </r>
  <r>
    <s v="LP001824"/>
    <x v="0"/>
    <x v="0"/>
    <x v="0"/>
    <x v="0"/>
    <s v="No"/>
    <x v="184"/>
    <x v="109"/>
    <n v="123"/>
    <x v="5"/>
    <n v="1"/>
    <x v="2"/>
    <x v="1"/>
    <n v="4725"/>
    <x v="0"/>
    <n v="0.38"/>
    <n v="2.6031746031746033"/>
  </r>
  <r>
    <s v="LP001825"/>
    <x v="0"/>
    <x v="0"/>
    <x v="1"/>
    <x v="0"/>
    <s v="No"/>
    <x v="185"/>
    <x v="110"/>
    <n v="90"/>
    <x v="0"/>
    <n v="1"/>
    <x v="1"/>
    <x v="1"/>
    <n v="3677"/>
    <x v="0"/>
    <n v="0.41"/>
    <n v="2.4476475387544192"/>
  </r>
  <r>
    <s v="LP001835"/>
    <x v="0"/>
    <x v="0"/>
    <x v="1"/>
    <x v="1"/>
    <s v="No"/>
    <x v="186"/>
    <x v="111"/>
    <n v="201"/>
    <x v="0"/>
    <n v="0"/>
    <x v="2"/>
    <x v="0"/>
    <n v="5558"/>
    <x v="1"/>
    <n v="0.28000000000000003"/>
    <n v="3.6164087801367399"/>
  </r>
  <r>
    <s v="LP001836"/>
    <x v="1"/>
    <x v="1"/>
    <x v="2"/>
    <x v="0"/>
    <s v="No"/>
    <x v="187"/>
    <x v="1"/>
    <n v="138"/>
    <x v="0"/>
    <n v="1"/>
    <x v="1"/>
    <x v="0"/>
    <n v="3427"/>
    <x v="0"/>
    <n v="0.25"/>
    <n v="4.0268456375838921"/>
  </r>
  <r>
    <s v="LP001841"/>
    <x v="0"/>
    <x v="1"/>
    <x v="1"/>
    <x v="1"/>
    <s v="Yes"/>
    <x v="2"/>
    <x v="112"/>
    <n v="104"/>
    <x v="0"/>
    <n v="1"/>
    <x v="0"/>
    <x v="1"/>
    <n v="4750"/>
    <x v="0"/>
    <n v="0.46"/>
    <n v="2.189473684210526"/>
  </r>
  <r>
    <s v="LP001843"/>
    <x v="0"/>
    <x v="0"/>
    <x v="0"/>
    <x v="1"/>
    <s v="No"/>
    <x v="188"/>
    <x v="113"/>
    <n v="279"/>
    <x v="2"/>
    <n v="1"/>
    <x v="2"/>
    <x v="1"/>
    <n v="9762"/>
    <x v="0"/>
    <n v="0.35"/>
    <n v="2.8580208973570991"/>
  </r>
  <r>
    <s v="LP001844"/>
    <x v="0"/>
    <x v="1"/>
    <x v="1"/>
    <x v="0"/>
    <s v="Yes"/>
    <x v="189"/>
    <x v="1"/>
    <n v="192"/>
    <x v="0"/>
    <n v="0"/>
    <x v="1"/>
    <x v="0"/>
    <n v="16250"/>
    <x v="1"/>
    <n v="0.85"/>
    <n v="1.1815384615384614"/>
  </r>
  <r>
    <s v="LP001846"/>
    <x v="1"/>
    <x v="1"/>
    <x v="3"/>
    <x v="0"/>
    <s v="No"/>
    <x v="190"/>
    <x v="1"/>
    <n v="255"/>
    <x v="0"/>
    <n v="1"/>
    <x v="0"/>
    <x v="1"/>
    <n v="3083"/>
    <x v="0"/>
    <n v="0.12"/>
    <n v="8.2711644502108346"/>
  </r>
  <r>
    <s v="LP001849"/>
    <x v="0"/>
    <x v="1"/>
    <x v="1"/>
    <x v="1"/>
    <s v="No"/>
    <x v="191"/>
    <x v="1"/>
    <n v="115"/>
    <x v="0"/>
    <n v="0"/>
    <x v="0"/>
    <x v="0"/>
    <n v="6045"/>
    <x v="1"/>
    <n v="0.53"/>
    <n v="1.9023986765922249"/>
  </r>
  <r>
    <s v="LP001854"/>
    <x v="0"/>
    <x v="0"/>
    <x v="3"/>
    <x v="0"/>
    <s v="No"/>
    <x v="192"/>
    <x v="1"/>
    <n v="94"/>
    <x v="0"/>
    <n v="1"/>
    <x v="1"/>
    <x v="0"/>
    <n v="5250"/>
    <x v="0"/>
    <n v="0.56000000000000005"/>
    <n v="1.7904761904761906"/>
  </r>
  <r>
    <s v="LP001859"/>
    <x v="0"/>
    <x v="0"/>
    <x v="1"/>
    <x v="0"/>
    <s v="No"/>
    <x v="193"/>
    <x v="114"/>
    <n v="304"/>
    <x v="0"/>
    <n v="1"/>
    <x v="0"/>
    <x v="0"/>
    <n v="16783"/>
    <x v="0"/>
    <n v="0.55000000000000004"/>
    <n v="1.8113567300244295"/>
  </r>
  <r>
    <s v="LP001868"/>
    <x v="0"/>
    <x v="1"/>
    <x v="1"/>
    <x v="0"/>
    <s v="No"/>
    <x v="194"/>
    <x v="115"/>
    <n v="134"/>
    <x v="0"/>
    <n v="1"/>
    <x v="2"/>
    <x v="1"/>
    <n v="4269"/>
    <x v="0"/>
    <n v="0.32"/>
    <n v="3.1389084094635749"/>
  </r>
  <r>
    <s v="LP001870"/>
    <x v="1"/>
    <x v="1"/>
    <x v="0"/>
    <x v="0"/>
    <s v="No"/>
    <x v="195"/>
    <x v="1"/>
    <n v="155"/>
    <x v="7"/>
    <n v="1"/>
    <x v="2"/>
    <x v="0"/>
    <n v="3481"/>
    <x v="0"/>
    <n v="0.22"/>
    <n v="4.4527434645216895"/>
  </r>
  <r>
    <s v="LP001871"/>
    <x v="1"/>
    <x v="1"/>
    <x v="1"/>
    <x v="0"/>
    <s v="No"/>
    <x v="196"/>
    <x v="1"/>
    <n v="120"/>
    <x v="0"/>
    <n v="1"/>
    <x v="0"/>
    <x v="1"/>
    <n v="7200"/>
    <x v="0"/>
    <n v="0.6"/>
    <n v="1.6666666666666667"/>
  </r>
  <r>
    <s v="LP001872"/>
    <x v="0"/>
    <x v="1"/>
    <x v="1"/>
    <x v="0"/>
    <s v="Yes"/>
    <x v="197"/>
    <x v="1"/>
    <n v="128"/>
    <x v="0"/>
    <n v="1"/>
    <x v="2"/>
    <x v="1"/>
    <n v="5166"/>
    <x v="0"/>
    <n v="0.4"/>
    <n v="2.4777390631049165"/>
  </r>
  <r>
    <s v="LP001875"/>
    <x v="0"/>
    <x v="1"/>
    <x v="1"/>
    <x v="0"/>
    <s v="No"/>
    <x v="198"/>
    <x v="116"/>
    <n v="151"/>
    <x v="0"/>
    <n v="1"/>
    <x v="0"/>
    <x v="1"/>
    <n v="7542"/>
    <x v="0"/>
    <n v="0.5"/>
    <n v="2.0021214531954388"/>
  </r>
  <r>
    <s v="LP001877"/>
    <x v="0"/>
    <x v="0"/>
    <x v="2"/>
    <x v="0"/>
    <s v="No"/>
    <x v="199"/>
    <x v="117"/>
    <n v="150"/>
    <x v="0"/>
    <n v="1"/>
    <x v="2"/>
    <x v="1"/>
    <n v="6095"/>
    <x v="0"/>
    <n v="0.41"/>
    <n v="2.4610336341263328"/>
  </r>
  <r>
    <s v="LP001882"/>
    <x v="0"/>
    <x v="0"/>
    <x v="3"/>
    <x v="0"/>
    <s v="No"/>
    <x v="200"/>
    <x v="118"/>
    <n v="160"/>
    <x v="0"/>
    <n v="0"/>
    <x v="1"/>
    <x v="1"/>
    <n v="6144"/>
    <x v="1"/>
    <n v="0.38"/>
    <n v="2.604166666666667"/>
  </r>
  <r>
    <s v="LP001883"/>
    <x v="1"/>
    <x v="1"/>
    <x v="1"/>
    <x v="0"/>
    <s v="Not Mentioned"/>
    <x v="156"/>
    <x v="1"/>
    <n v="135"/>
    <x v="0"/>
    <n v="1"/>
    <x v="0"/>
    <x v="0"/>
    <n v="3418"/>
    <x v="0"/>
    <n v="0.25"/>
    <n v="3.9496781743709768"/>
  </r>
  <r>
    <s v="LP001884"/>
    <x v="1"/>
    <x v="1"/>
    <x v="0"/>
    <x v="0"/>
    <s v="No"/>
    <x v="201"/>
    <x v="119"/>
    <n v="90"/>
    <x v="0"/>
    <n v="1"/>
    <x v="1"/>
    <x v="1"/>
    <n v="4436"/>
    <x v="0"/>
    <n v="0.49"/>
    <n v="2.028854824165915"/>
  </r>
  <r>
    <s v="LP001888"/>
    <x v="1"/>
    <x v="1"/>
    <x v="1"/>
    <x v="0"/>
    <s v="No"/>
    <x v="202"/>
    <x v="1"/>
    <n v="30"/>
    <x v="0"/>
    <n v="1"/>
    <x v="1"/>
    <x v="1"/>
    <n v="3237"/>
    <x v="0"/>
    <n v="1.08"/>
    <n v="0.92678405931417973"/>
  </r>
  <r>
    <s v="LP001891"/>
    <x v="0"/>
    <x v="0"/>
    <x v="1"/>
    <x v="0"/>
    <s v="No"/>
    <x v="203"/>
    <x v="1"/>
    <n v="136"/>
    <x v="0"/>
    <n v="1"/>
    <x v="1"/>
    <x v="1"/>
    <n v="11146"/>
    <x v="0"/>
    <n v="0.82"/>
    <n v="1.2201686703750225"/>
  </r>
  <r>
    <s v="LP001892"/>
    <x v="0"/>
    <x v="1"/>
    <x v="1"/>
    <x v="0"/>
    <s v="No"/>
    <x v="204"/>
    <x v="120"/>
    <n v="126"/>
    <x v="0"/>
    <n v="1"/>
    <x v="0"/>
    <x v="1"/>
    <n v="4690"/>
    <x v="0"/>
    <n v="0.37"/>
    <n v="2.6865671641791042"/>
  </r>
  <r>
    <s v="LP001894"/>
    <x v="0"/>
    <x v="0"/>
    <x v="1"/>
    <x v="0"/>
    <s v="No"/>
    <x v="205"/>
    <x v="121"/>
    <n v="150"/>
    <x v="0"/>
    <n v="1"/>
    <x v="2"/>
    <x v="1"/>
    <n v="4843"/>
    <x v="0"/>
    <n v="0.32"/>
    <n v="3.0972537683254182"/>
  </r>
  <r>
    <s v="LP001896"/>
    <x v="0"/>
    <x v="0"/>
    <x v="2"/>
    <x v="0"/>
    <s v="No"/>
    <x v="206"/>
    <x v="1"/>
    <n v="90"/>
    <x v="0"/>
    <n v="1"/>
    <x v="2"/>
    <x v="1"/>
    <n v="3900"/>
    <x v="0"/>
    <n v="0.43"/>
    <n v="2.3076923076923079"/>
  </r>
  <r>
    <s v="LP001900"/>
    <x v="0"/>
    <x v="0"/>
    <x v="0"/>
    <x v="0"/>
    <s v="No"/>
    <x v="207"/>
    <x v="122"/>
    <n v="115"/>
    <x v="0"/>
    <n v="1"/>
    <x v="2"/>
    <x v="1"/>
    <n v="4592"/>
    <x v="0"/>
    <n v="0.4"/>
    <n v="2.504355400696864"/>
  </r>
  <r>
    <s v="LP001903"/>
    <x v="0"/>
    <x v="0"/>
    <x v="1"/>
    <x v="0"/>
    <s v="No"/>
    <x v="208"/>
    <x v="123"/>
    <n v="207"/>
    <x v="0"/>
    <n v="1"/>
    <x v="2"/>
    <x v="1"/>
    <n v="7267"/>
    <x v="0"/>
    <n v="0.35"/>
    <n v="2.848493188385854"/>
  </r>
  <r>
    <s v="LP001904"/>
    <x v="0"/>
    <x v="0"/>
    <x v="1"/>
    <x v="0"/>
    <s v="No"/>
    <x v="209"/>
    <x v="106"/>
    <n v="80"/>
    <x v="0"/>
    <n v="1"/>
    <x v="1"/>
    <x v="1"/>
    <n v="4403"/>
    <x v="0"/>
    <n v="0.55000000000000004"/>
    <n v="1.8169429934135819"/>
  </r>
  <r>
    <s v="LP001907"/>
    <x v="0"/>
    <x v="0"/>
    <x v="1"/>
    <x v="0"/>
    <s v="No"/>
    <x v="86"/>
    <x v="1"/>
    <n v="436"/>
    <x v="0"/>
    <n v="1"/>
    <x v="2"/>
    <x v="1"/>
    <n v="14583"/>
    <x v="0"/>
    <n v="0.33"/>
    <n v="2.9897826236028253"/>
  </r>
  <r>
    <s v="LP001910"/>
    <x v="0"/>
    <x v="1"/>
    <x v="0"/>
    <x v="1"/>
    <s v="Yes"/>
    <x v="210"/>
    <x v="124"/>
    <n v="158"/>
    <x v="0"/>
    <n v="0"/>
    <x v="1"/>
    <x v="0"/>
    <n v="6479"/>
    <x v="1"/>
    <n v="0.41"/>
    <n v="2.4386479394968359"/>
  </r>
  <r>
    <s v="LP001914"/>
    <x v="0"/>
    <x v="0"/>
    <x v="1"/>
    <x v="0"/>
    <s v="No"/>
    <x v="211"/>
    <x v="125"/>
    <n v="112"/>
    <x v="0"/>
    <n v="1"/>
    <x v="2"/>
    <x v="1"/>
    <n v="4727"/>
    <x v="0"/>
    <n v="0.42"/>
    <n v="2.3693674635075102"/>
  </r>
  <r>
    <s v="LP001915"/>
    <x v="0"/>
    <x v="0"/>
    <x v="2"/>
    <x v="0"/>
    <s v="No"/>
    <x v="212"/>
    <x v="126"/>
    <n v="78"/>
    <x v="2"/>
    <n v="1"/>
    <x v="1"/>
    <x v="1"/>
    <n v="3287"/>
    <x v="0"/>
    <n v="0.42"/>
    <n v="2.3729844843322181"/>
  </r>
  <r>
    <s v="LP001917"/>
    <x v="1"/>
    <x v="1"/>
    <x v="1"/>
    <x v="0"/>
    <s v="No"/>
    <x v="213"/>
    <x v="74"/>
    <n v="54"/>
    <x v="0"/>
    <n v="1"/>
    <x v="1"/>
    <x v="1"/>
    <n v="3477"/>
    <x v="0"/>
    <n v="0.64"/>
    <n v="1.5530629853321829"/>
  </r>
  <r>
    <s v="LP001924"/>
    <x v="0"/>
    <x v="1"/>
    <x v="1"/>
    <x v="0"/>
    <s v="No"/>
    <x v="214"/>
    <x v="127"/>
    <n v="89"/>
    <x v="0"/>
    <n v="1"/>
    <x v="0"/>
    <x v="1"/>
    <n v="6211"/>
    <x v="0"/>
    <n v="0.7"/>
    <n v="1.4329415553051039"/>
  </r>
  <r>
    <s v="LP001925"/>
    <x v="1"/>
    <x v="1"/>
    <x v="1"/>
    <x v="0"/>
    <s v="Yes"/>
    <x v="19"/>
    <x v="97"/>
    <n v="99"/>
    <x v="4"/>
    <n v="1"/>
    <x v="2"/>
    <x v="0"/>
    <n v="4317"/>
    <x v="0"/>
    <n v="0.44"/>
    <n v="2.2932592077831826"/>
  </r>
  <r>
    <s v="LP001926"/>
    <x v="0"/>
    <x v="0"/>
    <x v="1"/>
    <x v="0"/>
    <s v="No"/>
    <x v="215"/>
    <x v="128"/>
    <n v="120"/>
    <x v="0"/>
    <n v="1"/>
    <x v="0"/>
    <x v="1"/>
    <n v="5704"/>
    <x v="0"/>
    <n v="0.48"/>
    <n v="2.1037868162692845"/>
  </r>
  <r>
    <s v="LP001931"/>
    <x v="1"/>
    <x v="1"/>
    <x v="1"/>
    <x v="0"/>
    <s v="No"/>
    <x v="216"/>
    <x v="1"/>
    <n v="115"/>
    <x v="0"/>
    <n v="1"/>
    <x v="2"/>
    <x v="1"/>
    <n v="4124"/>
    <x v="0"/>
    <n v="0.36"/>
    <n v="2.7885548011639187"/>
  </r>
  <r>
    <s v="LP001935"/>
    <x v="0"/>
    <x v="1"/>
    <x v="1"/>
    <x v="0"/>
    <s v="No"/>
    <x v="217"/>
    <x v="1"/>
    <n v="187"/>
    <x v="0"/>
    <n v="1"/>
    <x v="0"/>
    <x v="1"/>
    <n v="9508"/>
    <x v="0"/>
    <n v="0.51"/>
    <n v="1.9667648296171645"/>
  </r>
  <r>
    <s v="LP001936"/>
    <x v="0"/>
    <x v="0"/>
    <x v="1"/>
    <x v="0"/>
    <s v="No"/>
    <x v="218"/>
    <x v="129"/>
    <n v="139"/>
    <x v="0"/>
    <n v="1"/>
    <x v="0"/>
    <x v="1"/>
    <n v="5491"/>
    <x v="0"/>
    <n v="0.4"/>
    <n v="2.5314150427973048"/>
  </r>
  <r>
    <s v="LP001938"/>
    <x v="0"/>
    <x v="0"/>
    <x v="2"/>
    <x v="0"/>
    <s v="No"/>
    <x v="219"/>
    <x v="1"/>
    <n v="127"/>
    <x v="0"/>
    <n v="0"/>
    <x v="2"/>
    <x v="0"/>
    <n v="4400"/>
    <x v="1"/>
    <n v="0.35"/>
    <n v="2.8863636363636362"/>
  </r>
  <r>
    <s v="LP001940"/>
    <x v="0"/>
    <x v="0"/>
    <x v="2"/>
    <x v="0"/>
    <s v="No"/>
    <x v="220"/>
    <x v="119"/>
    <n v="134"/>
    <x v="0"/>
    <n v="1"/>
    <x v="1"/>
    <x v="1"/>
    <n v="4713"/>
    <x v="0"/>
    <n v="0.35"/>
    <n v="2.8431996605134735"/>
  </r>
  <r>
    <s v="LP001945"/>
    <x v="1"/>
    <x v="1"/>
    <x v="1"/>
    <x v="0"/>
    <s v="No"/>
    <x v="4"/>
    <x v="1"/>
    <n v="143"/>
    <x v="5"/>
    <n v="0"/>
    <x v="1"/>
    <x v="0"/>
    <n v="5417"/>
    <x v="1"/>
    <n v="0.38"/>
    <n v="2.6398375484585563"/>
  </r>
  <r>
    <s v="LP001947"/>
    <x v="0"/>
    <x v="0"/>
    <x v="1"/>
    <x v="0"/>
    <s v="No"/>
    <x v="221"/>
    <x v="130"/>
    <n v="172"/>
    <x v="0"/>
    <n v="1"/>
    <x v="2"/>
    <x v="1"/>
    <n v="5717"/>
    <x v="0"/>
    <n v="0.33"/>
    <n v="3.0085709288088158"/>
  </r>
  <r>
    <s v="LP001949"/>
    <x v="0"/>
    <x v="0"/>
    <x v="3"/>
    <x v="0"/>
    <s v="Not Mentioned"/>
    <x v="222"/>
    <x v="92"/>
    <n v="110"/>
    <x v="0"/>
    <n v="1"/>
    <x v="1"/>
    <x v="1"/>
    <n v="5666"/>
    <x v="0"/>
    <n v="0.52"/>
    <n v="1.941404871161313"/>
  </r>
  <r>
    <s v="LP001953"/>
    <x v="0"/>
    <x v="0"/>
    <x v="0"/>
    <x v="0"/>
    <s v="No"/>
    <x v="223"/>
    <x v="1"/>
    <n v="200"/>
    <x v="0"/>
    <n v="1"/>
    <x v="2"/>
    <x v="1"/>
    <n v="6875"/>
    <x v="0"/>
    <n v="0.34"/>
    <n v="2.9090909090909092"/>
  </r>
  <r>
    <s v="LP001954"/>
    <x v="1"/>
    <x v="0"/>
    <x v="0"/>
    <x v="0"/>
    <s v="No"/>
    <x v="224"/>
    <x v="1"/>
    <n v="135"/>
    <x v="0"/>
    <n v="1"/>
    <x v="1"/>
    <x v="1"/>
    <n v="4666"/>
    <x v="0"/>
    <n v="0.35"/>
    <n v="2.8932704672096015"/>
  </r>
  <r>
    <s v="LP001955"/>
    <x v="1"/>
    <x v="1"/>
    <x v="1"/>
    <x v="0"/>
    <s v="No"/>
    <x v="164"/>
    <x v="131"/>
    <n v="151"/>
    <x v="5"/>
    <n v="1"/>
    <x v="0"/>
    <x v="0"/>
    <n v="7541"/>
    <x v="0"/>
    <n v="0.5"/>
    <n v="2.0023869513327144"/>
  </r>
  <r>
    <s v="LP001963"/>
    <x v="0"/>
    <x v="0"/>
    <x v="0"/>
    <x v="0"/>
    <s v="No"/>
    <x v="94"/>
    <x v="132"/>
    <n v="113"/>
    <x v="0"/>
    <n v="1"/>
    <x v="1"/>
    <x v="0"/>
    <n v="4939"/>
    <x v="0"/>
    <n v="0.44"/>
    <n v="2.2879125329013967"/>
  </r>
  <r>
    <s v="LP001964"/>
    <x v="0"/>
    <x v="0"/>
    <x v="1"/>
    <x v="1"/>
    <s v="No"/>
    <x v="34"/>
    <x v="133"/>
    <n v="93"/>
    <x v="0"/>
    <n v="0"/>
    <x v="1"/>
    <x v="0"/>
    <n v="4734"/>
    <x v="1"/>
    <n v="0.51"/>
    <n v="1.9645120405576679"/>
  </r>
  <r>
    <s v="LP001972"/>
    <x v="0"/>
    <x v="0"/>
    <x v="1"/>
    <x v="1"/>
    <s v="No"/>
    <x v="225"/>
    <x v="134"/>
    <n v="105"/>
    <x v="0"/>
    <n v="1"/>
    <x v="2"/>
    <x v="1"/>
    <n v="4625"/>
    <x v="0"/>
    <n v="0.44"/>
    <n v="2.2702702702702702"/>
  </r>
  <r>
    <s v="LP001974"/>
    <x v="1"/>
    <x v="1"/>
    <x v="1"/>
    <x v="0"/>
    <s v="No"/>
    <x v="164"/>
    <x v="1"/>
    <n v="132"/>
    <x v="0"/>
    <n v="1"/>
    <x v="0"/>
    <x v="1"/>
    <n v="5000"/>
    <x v="0"/>
    <n v="0.38"/>
    <n v="2.64"/>
  </r>
  <r>
    <s v="LP001977"/>
    <x v="0"/>
    <x v="0"/>
    <x v="0"/>
    <x v="0"/>
    <s v="No"/>
    <x v="226"/>
    <x v="135"/>
    <n v="96"/>
    <x v="0"/>
    <n v="1"/>
    <x v="1"/>
    <x v="1"/>
    <n v="3428"/>
    <x v="0"/>
    <n v="0.36"/>
    <n v="2.8004667444574096"/>
  </r>
  <r>
    <s v="LP001978"/>
    <x v="0"/>
    <x v="1"/>
    <x v="1"/>
    <x v="0"/>
    <s v="No"/>
    <x v="39"/>
    <x v="90"/>
    <n v="140"/>
    <x v="0"/>
    <n v="1"/>
    <x v="0"/>
    <x v="1"/>
    <n v="6500"/>
    <x v="0"/>
    <n v="0.46"/>
    <n v="2.1538461538461537"/>
  </r>
  <r>
    <s v="LP001993"/>
    <x v="1"/>
    <x v="1"/>
    <x v="1"/>
    <x v="0"/>
    <s v="No"/>
    <x v="227"/>
    <x v="74"/>
    <n v="135"/>
    <x v="0"/>
    <n v="1"/>
    <x v="0"/>
    <x v="1"/>
    <n v="5428"/>
    <x v="0"/>
    <n v="0.4"/>
    <n v="2.4871039056742816"/>
  </r>
  <r>
    <s v="LP001994"/>
    <x v="1"/>
    <x v="1"/>
    <x v="1"/>
    <x v="0"/>
    <s v="No"/>
    <x v="228"/>
    <x v="136"/>
    <n v="104"/>
    <x v="0"/>
    <n v="0"/>
    <x v="1"/>
    <x v="0"/>
    <n v="4263"/>
    <x v="1"/>
    <n v="0.41"/>
    <n v="2.4395965282664789"/>
  </r>
  <r>
    <s v="LP001996"/>
    <x v="0"/>
    <x v="1"/>
    <x v="1"/>
    <x v="0"/>
    <s v="No"/>
    <x v="229"/>
    <x v="1"/>
    <n v="480"/>
    <x v="0"/>
    <n v="1"/>
    <x v="0"/>
    <x v="0"/>
    <n v="20233"/>
    <x v="0"/>
    <n v="0.42"/>
    <n v="2.372361982899224"/>
  </r>
  <r>
    <s v="LP002002"/>
    <x v="1"/>
    <x v="1"/>
    <x v="1"/>
    <x v="0"/>
    <s v="No"/>
    <x v="230"/>
    <x v="1"/>
    <n v="84"/>
    <x v="0"/>
    <n v="1"/>
    <x v="2"/>
    <x v="1"/>
    <n v="2917"/>
    <x v="0"/>
    <n v="0.35"/>
    <n v="2.8796708947548852"/>
  </r>
  <r>
    <s v="LP002004"/>
    <x v="0"/>
    <x v="1"/>
    <x v="1"/>
    <x v="1"/>
    <s v="No"/>
    <x v="231"/>
    <x v="137"/>
    <n v="111"/>
    <x v="0"/>
    <n v="1"/>
    <x v="2"/>
    <x v="1"/>
    <n v="5332"/>
    <x v="0"/>
    <n v="0.48"/>
    <n v="2.0817704426106527"/>
  </r>
  <r>
    <s v="LP002006"/>
    <x v="1"/>
    <x v="1"/>
    <x v="1"/>
    <x v="0"/>
    <s v="No"/>
    <x v="232"/>
    <x v="1"/>
    <n v="56"/>
    <x v="0"/>
    <n v="1"/>
    <x v="0"/>
    <x v="1"/>
    <n v="2507"/>
    <x v="0"/>
    <n v="0.45"/>
    <n v="2.2337455125648185"/>
  </r>
  <r>
    <s v="LP002024"/>
    <x v="2"/>
    <x v="0"/>
    <x v="1"/>
    <x v="0"/>
    <s v="No"/>
    <x v="233"/>
    <x v="109"/>
    <n v="159"/>
    <x v="0"/>
    <n v="1"/>
    <x v="0"/>
    <x v="0"/>
    <n v="4316"/>
    <x v="0"/>
    <n v="0.27"/>
    <n v="3.6839666357738645"/>
  </r>
  <r>
    <s v="LP002031"/>
    <x v="0"/>
    <x v="0"/>
    <x v="0"/>
    <x v="1"/>
    <s v="No"/>
    <x v="234"/>
    <x v="138"/>
    <n v="111"/>
    <x v="2"/>
    <n v="1"/>
    <x v="1"/>
    <x v="1"/>
    <n v="5039"/>
    <x v="0"/>
    <n v="0.45"/>
    <n v="2.2028180194483031"/>
  </r>
  <r>
    <s v="LP002035"/>
    <x v="0"/>
    <x v="0"/>
    <x v="2"/>
    <x v="0"/>
    <s v="No"/>
    <x v="235"/>
    <x v="1"/>
    <n v="120"/>
    <x v="0"/>
    <n v="1"/>
    <x v="2"/>
    <x v="1"/>
    <n v="3717"/>
    <x v="0"/>
    <n v="0.31"/>
    <n v="3.2284100080710245"/>
  </r>
  <r>
    <s v="LP002050"/>
    <x v="0"/>
    <x v="0"/>
    <x v="0"/>
    <x v="0"/>
    <s v="Yes"/>
    <x v="108"/>
    <x v="1"/>
    <n v="155"/>
    <x v="0"/>
    <n v="1"/>
    <x v="0"/>
    <x v="0"/>
    <n v="10000"/>
    <x v="0"/>
    <n v="0.65"/>
    <n v="1.55"/>
  </r>
  <r>
    <s v="LP002051"/>
    <x v="0"/>
    <x v="0"/>
    <x v="1"/>
    <x v="0"/>
    <s v="No"/>
    <x v="228"/>
    <x v="112"/>
    <n v="115"/>
    <x v="0"/>
    <n v="1"/>
    <x v="2"/>
    <x v="1"/>
    <n v="4567"/>
    <x v="0"/>
    <n v="0.4"/>
    <n v="2.5180643748631484"/>
  </r>
  <r>
    <s v="LP002053"/>
    <x v="0"/>
    <x v="0"/>
    <x v="3"/>
    <x v="0"/>
    <s v="No"/>
    <x v="236"/>
    <x v="139"/>
    <n v="124"/>
    <x v="0"/>
    <n v="1"/>
    <x v="2"/>
    <x v="1"/>
    <n v="4531"/>
    <x v="0"/>
    <n v="0.37"/>
    <n v="2.7367027146325316"/>
  </r>
  <r>
    <s v="LP002065"/>
    <x v="0"/>
    <x v="0"/>
    <x v="3"/>
    <x v="0"/>
    <s v="No"/>
    <x v="237"/>
    <x v="1"/>
    <n v="300"/>
    <x v="0"/>
    <n v="1"/>
    <x v="0"/>
    <x v="1"/>
    <n v="15000"/>
    <x v="0"/>
    <n v="0.5"/>
    <n v="2"/>
  </r>
  <r>
    <s v="LP002067"/>
    <x v="0"/>
    <x v="0"/>
    <x v="0"/>
    <x v="0"/>
    <s v="Yes"/>
    <x v="238"/>
    <x v="140"/>
    <n v="376"/>
    <x v="0"/>
    <n v="0"/>
    <x v="0"/>
    <x v="0"/>
    <n v="13649"/>
    <x v="1"/>
    <n v="0.36"/>
    <n v="2.7547805700051287"/>
  </r>
  <r>
    <s v="LP002068"/>
    <x v="0"/>
    <x v="1"/>
    <x v="1"/>
    <x v="0"/>
    <s v="No"/>
    <x v="239"/>
    <x v="1"/>
    <n v="130"/>
    <x v="0"/>
    <n v="0"/>
    <x v="0"/>
    <x v="1"/>
    <n v="4917"/>
    <x v="1"/>
    <n v="0.38"/>
    <n v="2.6438885499288181"/>
  </r>
  <r>
    <s v="LP002082"/>
    <x v="0"/>
    <x v="0"/>
    <x v="1"/>
    <x v="0"/>
    <s v="Yes"/>
    <x v="240"/>
    <x v="141"/>
    <n v="184"/>
    <x v="0"/>
    <n v="1"/>
    <x v="2"/>
    <x v="1"/>
    <n v="7978"/>
    <x v="0"/>
    <n v="0.43"/>
    <n v="2.3063424417147158"/>
  </r>
  <r>
    <s v="LP002086"/>
    <x v="1"/>
    <x v="0"/>
    <x v="1"/>
    <x v="0"/>
    <s v="No"/>
    <x v="200"/>
    <x v="142"/>
    <n v="110"/>
    <x v="0"/>
    <n v="1"/>
    <x v="1"/>
    <x v="0"/>
    <n v="6784"/>
    <x v="0"/>
    <n v="0.62"/>
    <n v="1.6214622641509433"/>
  </r>
  <r>
    <s v="LP002087"/>
    <x v="1"/>
    <x v="1"/>
    <x v="1"/>
    <x v="0"/>
    <s v="No"/>
    <x v="10"/>
    <x v="1"/>
    <n v="67"/>
    <x v="0"/>
    <n v="1"/>
    <x v="1"/>
    <x v="1"/>
    <n v="2500"/>
    <x v="0"/>
    <n v="0.37"/>
    <n v="2.68"/>
  </r>
  <r>
    <s v="LP002097"/>
    <x v="0"/>
    <x v="1"/>
    <x v="0"/>
    <x v="0"/>
    <s v="No"/>
    <x v="241"/>
    <x v="143"/>
    <n v="117"/>
    <x v="0"/>
    <n v="1"/>
    <x v="1"/>
    <x v="1"/>
    <n v="6177"/>
    <x v="0"/>
    <n v="0.53"/>
    <n v="1.8941233608547838"/>
  </r>
  <r>
    <s v="LP002098"/>
    <x v="0"/>
    <x v="1"/>
    <x v="1"/>
    <x v="0"/>
    <s v="No"/>
    <x v="242"/>
    <x v="1"/>
    <n v="98"/>
    <x v="0"/>
    <n v="1"/>
    <x v="2"/>
    <x v="1"/>
    <n v="2935"/>
    <x v="0"/>
    <n v="0.3"/>
    <n v="3.3390119250425889"/>
  </r>
  <r>
    <s v="LP002100"/>
    <x v="0"/>
    <x v="1"/>
    <x v="1"/>
    <x v="0"/>
    <s v="No"/>
    <x v="204"/>
    <x v="1"/>
    <n v="71"/>
    <x v="0"/>
    <n v="1"/>
    <x v="1"/>
    <x v="1"/>
    <n v="2833"/>
    <x v="0"/>
    <n v="0.4"/>
    <n v="2.5061771973173315"/>
  </r>
  <r>
    <s v="LP002101"/>
    <x v="0"/>
    <x v="0"/>
    <x v="1"/>
    <x v="0"/>
    <s v="Not Mentioned"/>
    <x v="243"/>
    <x v="1"/>
    <n v="490"/>
    <x v="2"/>
    <n v="1"/>
    <x v="1"/>
    <x v="1"/>
    <n v="63337"/>
    <x v="0"/>
    <n v="1.29"/>
    <n v="0.77363942087563353"/>
  </r>
  <r>
    <s v="LP002103"/>
    <x v="2"/>
    <x v="0"/>
    <x v="0"/>
    <x v="0"/>
    <s v="Yes"/>
    <x v="244"/>
    <x v="144"/>
    <n v="182"/>
    <x v="2"/>
    <n v="1"/>
    <x v="1"/>
    <x v="1"/>
    <n v="11666"/>
    <x v="0"/>
    <n v="0.64"/>
    <n v="1.5600891479513115"/>
  </r>
  <r>
    <s v="LP002110"/>
    <x v="0"/>
    <x v="0"/>
    <x v="0"/>
    <x v="0"/>
    <s v="Not Mentioned"/>
    <x v="192"/>
    <x v="145"/>
    <n v="160"/>
    <x v="0"/>
    <n v="1"/>
    <x v="0"/>
    <x v="1"/>
    <n v="5938"/>
    <x v="0"/>
    <n v="0.37"/>
    <n v="2.6945099360053888"/>
  </r>
  <r>
    <s v="LP002112"/>
    <x v="0"/>
    <x v="0"/>
    <x v="2"/>
    <x v="0"/>
    <s v="Yes"/>
    <x v="10"/>
    <x v="146"/>
    <n v="176"/>
    <x v="0"/>
    <n v="1"/>
    <x v="0"/>
    <x v="1"/>
    <n v="7100"/>
    <x v="0"/>
    <n v="0.4"/>
    <n v="2.4788732394366195"/>
  </r>
  <r>
    <s v="LP002114"/>
    <x v="1"/>
    <x v="1"/>
    <x v="1"/>
    <x v="0"/>
    <s v="No"/>
    <x v="245"/>
    <x v="1"/>
    <n v="71"/>
    <x v="0"/>
    <n v="1"/>
    <x v="2"/>
    <x v="1"/>
    <n v="4160"/>
    <x v="0"/>
    <n v="0.59"/>
    <n v="1.7067307692307692"/>
  </r>
  <r>
    <s v="LP002115"/>
    <x v="0"/>
    <x v="0"/>
    <x v="3"/>
    <x v="1"/>
    <s v="No"/>
    <x v="246"/>
    <x v="147"/>
    <n v="173"/>
    <x v="0"/>
    <n v="1"/>
    <x v="0"/>
    <x v="0"/>
    <n v="4234"/>
    <x v="0"/>
    <n v="0.24"/>
    <n v="4.0859707132735004"/>
  </r>
  <r>
    <s v="LP002116"/>
    <x v="1"/>
    <x v="1"/>
    <x v="1"/>
    <x v="0"/>
    <s v="No"/>
    <x v="247"/>
    <x v="1"/>
    <n v="46"/>
    <x v="0"/>
    <n v="1"/>
    <x v="0"/>
    <x v="0"/>
    <n v="2378"/>
    <x v="0"/>
    <n v="0.52"/>
    <n v="1.9343986543313711"/>
  </r>
  <r>
    <s v="LP002119"/>
    <x v="0"/>
    <x v="0"/>
    <x v="0"/>
    <x v="1"/>
    <s v="No"/>
    <x v="248"/>
    <x v="148"/>
    <n v="158"/>
    <x v="0"/>
    <n v="1"/>
    <x v="1"/>
    <x v="1"/>
    <n v="5783"/>
    <x v="0"/>
    <n v="0.37"/>
    <n v="2.73214594501124"/>
  </r>
  <r>
    <s v="LP002126"/>
    <x v="0"/>
    <x v="0"/>
    <x v="3"/>
    <x v="1"/>
    <s v="No"/>
    <x v="160"/>
    <x v="1"/>
    <n v="74"/>
    <x v="0"/>
    <n v="1"/>
    <x v="2"/>
    <x v="1"/>
    <n v="3173"/>
    <x v="0"/>
    <n v="0.43"/>
    <n v="2.3321777497636305"/>
  </r>
  <r>
    <s v="LP002128"/>
    <x v="0"/>
    <x v="0"/>
    <x v="2"/>
    <x v="0"/>
    <s v="Not Mentioned"/>
    <x v="2"/>
    <x v="149"/>
    <n v="125"/>
    <x v="0"/>
    <n v="1"/>
    <x v="0"/>
    <x v="1"/>
    <n v="4913"/>
    <x v="0"/>
    <n v="0.39"/>
    <n v="2.54427030327702"/>
  </r>
  <r>
    <s v="LP002129"/>
    <x v="0"/>
    <x v="0"/>
    <x v="1"/>
    <x v="0"/>
    <s v="No"/>
    <x v="249"/>
    <x v="150"/>
    <n v="160"/>
    <x v="0"/>
    <n v="1"/>
    <x v="2"/>
    <x v="1"/>
    <n v="4957"/>
    <x v="0"/>
    <n v="0.31"/>
    <n v="3.2277587250353035"/>
  </r>
  <r>
    <s v="LP002130"/>
    <x v="0"/>
    <x v="0"/>
    <x v="1"/>
    <x v="1"/>
    <s v="No"/>
    <x v="250"/>
    <x v="151"/>
    <n v="152"/>
    <x v="0"/>
    <n v="0"/>
    <x v="0"/>
    <x v="0"/>
    <n v="6753"/>
    <x v="1"/>
    <n v="0.44"/>
    <n v="2.2508514734192211"/>
  </r>
  <r>
    <s v="LP002131"/>
    <x v="0"/>
    <x v="0"/>
    <x v="2"/>
    <x v="1"/>
    <s v="No"/>
    <x v="190"/>
    <x v="152"/>
    <n v="126"/>
    <x v="0"/>
    <n v="1"/>
    <x v="1"/>
    <x v="1"/>
    <n v="5251"/>
    <x v="0"/>
    <n v="0.42"/>
    <n v="2.3995429442011043"/>
  </r>
  <r>
    <s v="LP002138"/>
    <x v="0"/>
    <x v="0"/>
    <x v="1"/>
    <x v="0"/>
    <s v="No"/>
    <x v="251"/>
    <x v="153"/>
    <n v="187"/>
    <x v="0"/>
    <n v="1"/>
    <x v="0"/>
    <x v="1"/>
    <n v="8875"/>
    <x v="0"/>
    <n v="0.47"/>
    <n v="2.1070422535211266"/>
  </r>
  <r>
    <s v="LP002139"/>
    <x v="0"/>
    <x v="0"/>
    <x v="1"/>
    <x v="0"/>
    <s v="No"/>
    <x v="252"/>
    <x v="1"/>
    <n v="228"/>
    <x v="0"/>
    <n v="1"/>
    <x v="2"/>
    <x v="1"/>
    <n v="9083"/>
    <x v="0"/>
    <n v="0.4"/>
    <n v="2.5101838599581634"/>
  </r>
  <r>
    <s v="LP002140"/>
    <x v="0"/>
    <x v="1"/>
    <x v="1"/>
    <x v="0"/>
    <s v="No"/>
    <x v="253"/>
    <x v="47"/>
    <n v="308"/>
    <x v="0"/>
    <n v="1"/>
    <x v="0"/>
    <x v="0"/>
    <n v="12917"/>
    <x v="0"/>
    <n v="0.42"/>
    <n v="2.3844545947201365"/>
  </r>
  <r>
    <s v="LP002141"/>
    <x v="0"/>
    <x v="0"/>
    <x v="3"/>
    <x v="0"/>
    <s v="No"/>
    <x v="254"/>
    <x v="18"/>
    <n v="95"/>
    <x v="0"/>
    <n v="1"/>
    <x v="0"/>
    <x v="1"/>
    <n v="4749"/>
    <x v="0"/>
    <n v="0.5"/>
    <n v="2.0004211412929038"/>
  </r>
  <r>
    <s v="LP002142"/>
    <x v="1"/>
    <x v="0"/>
    <x v="1"/>
    <x v="0"/>
    <s v="Yes"/>
    <x v="174"/>
    <x v="1"/>
    <n v="105"/>
    <x v="0"/>
    <n v="0"/>
    <x v="0"/>
    <x v="0"/>
    <n v="5500"/>
    <x v="1"/>
    <n v="0.52"/>
    <n v="1.9090909090909092"/>
  </r>
  <r>
    <s v="LP002143"/>
    <x v="1"/>
    <x v="0"/>
    <x v="1"/>
    <x v="0"/>
    <s v="No"/>
    <x v="255"/>
    <x v="154"/>
    <n v="130"/>
    <x v="0"/>
    <n v="1"/>
    <x v="2"/>
    <x v="1"/>
    <n v="2928"/>
    <x v="0"/>
    <n v="0.23"/>
    <n v="4.4398907103825138"/>
  </r>
  <r>
    <s v="LP002144"/>
    <x v="1"/>
    <x v="1"/>
    <x v="1"/>
    <x v="0"/>
    <s v="No"/>
    <x v="256"/>
    <x v="1"/>
    <n v="116"/>
    <x v="2"/>
    <n v="1"/>
    <x v="1"/>
    <x v="1"/>
    <n v="3813"/>
    <x v="0"/>
    <n v="0.33"/>
    <n v="3.0422239706268028"/>
  </r>
  <r>
    <s v="LP002149"/>
    <x v="0"/>
    <x v="0"/>
    <x v="2"/>
    <x v="0"/>
    <s v="No"/>
    <x v="148"/>
    <x v="155"/>
    <n v="165"/>
    <x v="0"/>
    <n v="1"/>
    <x v="0"/>
    <x v="1"/>
    <n v="11500"/>
    <x v="0"/>
    <n v="0.7"/>
    <n v="1.4347826086956521"/>
  </r>
  <r>
    <s v="LP002151"/>
    <x v="0"/>
    <x v="0"/>
    <x v="0"/>
    <x v="0"/>
    <s v="No"/>
    <x v="257"/>
    <x v="1"/>
    <n v="67"/>
    <x v="0"/>
    <n v="1"/>
    <x v="1"/>
    <x v="0"/>
    <n v="3875"/>
    <x v="0"/>
    <n v="0.57999999999999996"/>
    <n v="1.7290322580645161"/>
  </r>
  <r>
    <s v="LP002158"/>
    <x v="0"/>
    <x v="0"/>
    <x v="1"/>
    <x v="1"/>
    <s v="No"/>
    <x v="1"/>
    <x v="74"/>
    <n v="100"/>
    <x v="5"/>
    <n v="0"/>
    <x v="1"/>
    <x v="0"/>
    <n v="4666"/>
    <x v="1"/>
    <n v="0.47"/>
    <n v="2.1431633090441493"/>
  </r>
  <r>
    <s v="LP002160"/>
    <x v="0"/>
    <x v="0"/>
    <x v="3"/>
    <x v="0"/>
    <s v="No"/>
    <x v="258"/>
    <x v="155"/>
    <n v="200"/>
    <x v="0"/>
    <n v="1"/>
    <x v="2"/>
    <x v="1"/>
    <n v="8334"/>
    <x v="0"/>
    <n v="0.42"/>
    <n v="2.3998080153587713"/>
  </r>
  <r>
    <s v="LP002161"/>
    <x v="1"/>
    <x v="1"/>
    <x v="0"/>
    <x v="0"/>
    <s v="No"/>
    <x v="259"/>
    <x v="1"/>
    <n v="81"/>
    <x v="0"/>
    <n v="1"/>
    <x v="2"/>
    <x v="0"/>
    <n v="4723"/>
    <x v="0"/>
    <n v="0.57999999999999996"/>
    <n v="1.7150116451408004"/>
  </r>
  <r>
    <s v="LP002170"/>
    <x v="0"/>
    <x v="0"/>
    <x v="2"/>
    <x v="0"/>
    <s v="No"/>
    <x v="164"/>
    <x v="156"/>
    <n v="236"/>
    <x v="0"/>
    <n v="1"/>
    <x v="2"/>
    <x v="1"/>
    <n v="8667"/>
    <x v="0"/>
    <n v="0.37"/>
    <n v="2.7229721933771778"/>
  </r>
  <r>
    <s v="LP002175"/>
    <x v="0"/>
    <x v="0"/>
    <x v="1"/>
    <x v="0"/>
    <s v="No"/>
    <x v="260"/>
    <x v="60"/>
    <n v="130"/>
    <x v="0"/>
    <n v="1"/>
    <x v="1"/>
    <x v="1"/>
    <n v="7083"/>
    <x v="0"/>
    <n v="0.54"/>
    <n v="1.835380488493576"/>
  </r>
  <r>
    <s v="LP002180"/>
    <x v="0"/>
    <x v="1"/>
    <x v="1"/>
    <x v="0"/>
    <s v="Yes"/>
    <x v="261"/>
    <x v="1"/>
    <n v="141"/>
    <x v="0"/>
    <n v="1"/>
    <x v="0"/>
    <x v="1"/>
    <n v="6822"/>
    <x v="0"/>
    <n v="0.48"/>
    <n v="2.0668425681618294"/>
  </r>
  <r>
    <s v="LP002181"/>
    <x v="0"/>
    <x v="1"/>
    <x v="1"/>
    <x v="1"/>
    <s v="No"/>
    <x v="262"/>
    <x v="1"/>
    <n v="133"/>
    <x v="0"/>
    <n v="1"/>
    <x v="0"/>
    <x v="0"/>
    <n v="6216"/>
    <x v="0"/>
    <n v="0.47"/>
    <n v="2.1396396396396398"/>
  </r>
  <r>
    <s v="LP002187"/>
    <x v="0"/>
    <x v="1"/>
    <x v="1"/>
    <x v="0"/>
    <s v="No"/>
    <x v="10"/>
    <x v="1"/>
    <n v="96"/>
    <x v="5"/>
    <n v="1"/>
    <x v="2"/>
    <x v="0"/>
    <n v="2500"/>
    <x v="0"/>
    <n v="0.26"/>
    <n v="3.84"/>
  </r>
  <r>
    <s v="LP002190"/>
    <x v="0"/>
    <x v="0"/>
    <x v="0"/>
    <x v="0"/>
    <s v="No"/>
    <x v="263"/>
    <x v="1"/>
    <n v="175"/>
    <x v="0"/>
    <n v="1"/>
    <x v="2"/>
    <x v="1"/>
    <n v="6325"/>
    <x v="0"/>
    <n v="0.36"/>
    <n v="2.766798418972332"/>
  </r>
  <r>
    <s v="LP002191"/>
    <x v="0"/>
    <x v="0"/>
    <x v="1"/>
    <x v="0"/>
    <s v="No"/>
    <x v="264"/>
    <x v="157"/>
    <n v="570"/>
    <x v="0"/>
    <n v="1"/>
    <x v="0"/>
    <x v="0"/>
    <n v="24996"/>
    <x v="0"/>
    <n v="0.44"/>
    <n v="2.2803648583773404"/>
  </r>
  <r>
    <s v="LP002194"/>
    <x v="1"/>
    <x v="1"/>
    <x v="1"/>
    <x v="0"/>
    <s v="Yes"/>
    <x v="265"/>
    <x v="1"/>
    <n v="55"/>
    <x v="0"/>
    <n v="1"/>
    <x v="2"/>
    <x v="1"/>
    <n v="15759"/>
    <x v="0"/>
    <n v="2.87"/>
    <n v="0.34900691668253064"/>
  </r>
  <r>
    <s v="LP002197"/>
    <x v="0"/>
    <x v="0"/>
    <x v="2"/>
    <x v="0"/>
    <s v="No"/>
    <x v="266"/>
    <x v="1"/>
    <n v="155"/>
    <x v="0"/>
    <n v="1"/>
    <x v="2"/>
    <x v="1"/>
    <n v="5185"/>
    <x v="0"/>
    <n v="0.33"/>
    <n v="2.9893924783027965"/>
  </r>
  <r>
    <s v="LP002201"/>
    <x v="0"/>
    <x v="0"/>
    <x v="2"/>
    <x v="0"/>
    <s v="Yes"/>
    <x v="122"/>
    <x v="158"/>
    <n v="380"/>
    <x v="4"/>
    <n v="1"/>
    <x v="0"/>
    <x v="1"/>
    <n v="17196"/>
    <x v="0"/>
    <n v="0.45"/>
    <n v="2.209816236334031"/>
  </r>
  <r>
    <s v="LP002205"/>
    <x v="0"/>
    <x v="1"/>
    <x v="0"/>
    <x v="0"/>
    <s v="No"/>
    <x v="267"/>
    <x v="159"/>
    <n v="111"/>
    <x v="2"/>
    <n v="0"/>
    <x v="1"/>
    <x v="0"/>
    <n v="5049"/>
    <x v="1"/>
    <n v="0.45"/>
    <n v="2.1984551396316103"/>
  </r>
  <r>
    <s v="LP002209"/>
    <x v="1"/>
    <x v="1"/>
    <x v="1"/>
    <x v="0"/>
    <s v="Not Mentioned"/>
    <x v="268"/>
    <x v="21"/>
    <n v="110"/>
    <x v="0"/>
    <n v="1"/>
    <x v="1"/>
    <x v="1"/>
    <n v="4223"/>
    <x v="0"/>
    <n v="0.38"/>
    <n v="2.604783329386692"/>
  </r>
  <r>
    <s v="LP002211"/>
    <x v="0"/>
    <x v="0"/>
    <x v="1"/>
    <x v="0"/>
    <s v="No"/>
    <x v="269"/>
    <x v="160"/>
    <n v="120"/>
    <x v="2"/>
    <n v="1"/>
    <x v="1"/>
    <x v="1"/>
    <n v="5740"/>
    <x v="0"/>
    <n v="0.48"/>
    <n v="2.0905923344947737"/>
  </r>
  <r>
    <s v="LP002219"/>
    <x v="0"/>
    <x v="0"/>
    <x v="3"/>
    <x v="0"/>
    <s v="No"/>
    <x v="253"/>
    <x v="161"/>
    <n v="130"/>
    <x v="0"/>
    <n v="1"/>
    <x v="0"/>
    <x v="1"/>
    <n v="13746"/>
    <x v="0"/>
    <n v="1.06"/>
    <n v="0.94572966681216353"/>
  </r>
  <r>
    <s v="LP002224"/>
    <x v="0"/>
    <x v="1"/>
    <x v="1"/>
    <x v="0"/>
    <s v="No"/>
    <x v="270"/>
    <x v="1"/>
    <n v="71"/>
    <x v="5"/>
    <n v="1"/>
    <x v="1"/>
    <x v="0"/>
    <n v="3069"/>
    <x v="0"/>
    <n v="0.43"/>
    <n v="2.3134571521668295"/>
  </r>
  <r>
    <s v="LP002225"/>
    <x v="0"/>
    <x v="0"/>
    <x v="2"/>
    <x v="0"/>
    <s v="No"/>
    <x v="271"/>
    <x v="1"/>
    <n v="130"/>
    <x v="0"/>
    <n v="1"/>
    <x v="1"/>
    <x v="1"/>
    <n v="5391"/>
    <x v="0"/>
    <n v="0.41"/>
    <n v="2.4114264514932295"/>
  </r>
  <r>
    <s v="LP002226"/>
    <x v="0"/>
    <x v="0"/>
    <x v="1"/>
    <x v="0"/>
    <s v="Not Mentioned"/>
    <x v="272"/>
    <x v="90"/>
    <n v="128"/>
    <x v="0"/>
    <n v="1"/>
    <x v="2"/>
    <x v="1"/>
    <n v="5833"/>
    <x v="0"/>
    <n v="0.46"/>
    <n v="2.1944111092062406"/>
  </r>
  <r>
    <s v="LP002229"/>
    <x v="0"/>
    <x v="1"/>
    <x v="1"/>
    <x v="0"/>
    <s v="No"/>
    <x v="273"/>
    <x v="162"/>
    <n v="296"/>
    <x v="0"/>
    <n v="1"/>
    <x v="2"/>
    <x v="1"/>
    <n v="10173"/>
    <x v="0"/>
    <n v="0.34"/>
    <n v="2.9096628329892851"/>
  </r>
  <r>
    <s v="LP002231"/>
    <x v="1"/>
    <x v="1"/>
    <x v="1"/>
    <x v="0"/>
    <s v="No"/>
    <x v="3"/>
    <x v="1"/>
    <n v="156"/>
    <x v="0"/>
    <n v="1"/>
    <x v="1"/>
    <x v="1"/>
    <n v="6000"/>
    <x v="0"/>
    <n v="0.38"/>
    <n v="2.6"/>
  </r>
  <r>
    <s v="LP002234"/>
    <x v="0"/>
    <x v="1"/>
    <x v="1"/>
    <x v="0"/>
    <s v="Yes"/>
    <x v="274"/>
    <x v="1"/>
    <n v="128"/>
    <x v="0"/>
    <n v="1"/>
    <x v="1"/>
    <x v="1"/>
    <n v="7167"/>
    <x v="0"/>
    <n v="0.56000000000000005"/>
    <n v="1.7859634435607648"/>
  </r>
  <r>
    <s v="LP002236"/>
    <x v="0"/>
    <x v="0"/>
    <x v="2"/>
    <x v="0"/>
    <s v="No"/>
    <x v="275"/>
    <x v="1"/>
    <n v="100"/>
    <x v="0"/>
    <n v="1"/>
    <x v="1"/>
    <x v="0"/>
    <n v="4566"/>
    <x v="0"/>
    <n v="0.46"/>
    <n v="2.1901007446342531"/>
  </r>
  <r>
    <s v="LP002237"/>
    <x v="0"/>
    <x v="1"/>
    <x v="0"/>
    <x v="0"/>
    <s v="Not Mentioned"/>
    <x v="30"/>
    <x v="1"/>
    <n v="113"/>
    <x v="2"/>
    <n v="1"/>
    <x v="1"/>
    <x v="1"/>
    <n v="3667"/>
    <x v="0"/>
    <n v="0.32"/>
    <n v="3.0815380419961822"/>
  </r>
  <r>
    <s v="LP002239"/>
    <x v="0"/>
    <x v="1"/>
    <x v="1"/>
    <x v="1"/>
    <s v="No"/>
    <x v="276"/>
    <x v="163"/>
    <n v="132"/>
    <x v="0"/>
    <n v="1"/>
    <x v="2"/>
    <x v="1"/>
    <n v="3946"/>
    <x v="0"/>
    <n v="0.3"/>
    <n v="3.3451596553471874"/>
  </r>
  <r>
    <s v="LP002244"/>
    <x v="0"/>
    <x v="0"/>
    <x v="1"/>
    <x v="0"/>
    <s v="No"/>
    <x v="5"/>
    <x v="164"/>
    <n v="136"/>
    <x v="0"/>
    <n v="1"/>
    <x v="1"/>
    <x v="1"/>
    <n v="4750"/>
    <x v="0"/>
    <n v="0.35"/>
    <n v="2.8631578947368421"/>
  </r>
  <r>
    <s v="LP002250"/>
    <x v="0"/>
    <x v="0"/>
    <x v="1"/>
    <x v="0"/>
    <s v="No"/>
    <x v="277"/>
    <x v="1"/>
    <n v="125"/>
    <x v="0"/>
    <n v="1"/>
    <x v="0"/>
    <x v="1"/>
    <n v="5488"/>
    <x v="0"/>
    <n v="0.44"/>
    <n v="2.2776967930029155"/>
  </r>
  <r>
    <s v="LP002255"/>
    <x v="0"/>
    <x v="1"/>
    <x v="3"/>
    <x v="0"/>
    <s v="No"/>
    <x v="278"/>
    <x v="1"/>
    <n v="185"/>
    <x v="0"/>
    <n v="1"/>
    <x v="0"/>
    <x v="1"/>
    <n v="9167"/>
    <x v="0"/>
    <n v="0.5"/>
    <n v="2.0181084324206391"/>
  </r>
  <r>
    <s v="LP002262"/>
    <x v="0"/>
    <x v="0"/>
    <x v="3"/>
    <x v="0"/>
    <s v="No"/>
    <x v="279"/>
    <x v="1"/>
    <n v="275"/>
    <x v="0"/>
    <n v="1"/>
    <x v="0"/>
    <x v="1"/>
    <n v="9504"/>
    <x v="0"/>
    <n v="0.35"/>
    <n v="2.8935185185185186"/>
  </r>
  <r>
    <s v="LP002265"/>
    <x v="0"/>
    <x v="0"/>
    <x v="2"/>
    <x v="1"/>
    <s v="No"/>
    <x v="280"/>
    <x v="165"/>
    <n v="113"/>
    <x v="2"/>
    <n v="1"/>
    <x v="2"/>
    <x v="1"/>
    <n v="3618"/>
    <x v="0"/>
    <n v="0.32"/>
    <n v="3.1232725262576011"/>
  </r>
  <r>
    <s v="LP002266"/>
    <x v="0"/>
    <x v="0"/>
    <x v="2"/>
    <x v="0"/>
    <s v="No"/>
    <x v="281"/>
    <x v="166"/>
    <n v="113"/>
    <x v="0"/>
    <n v="1"/>
    <x v="1"/>
    <x v="1"/>
    <n v="4500"/>
    <x v="0"/>
    <n v="0.4"/>
    <n v="2.5111111111111111"/>
  </r>
  <r>
    <s v="LP002277"/>
    <x v="1"/>
    <x v="1"/>
    <x v="1"/>
    <x v="0"/>
    <s v="No"/>
    <x v="282"/>
    <x v="1"/>
    <n v="71"/>
    <x v="0"/>
    <n v="0"/>
    <x v="1"/>
    <x v="0"/>
    <n v="3180"/>
    <x v="1"/>
    <n v="0.45"/>
    <n v="2.232704402515723"/>
  </r>
  <r>
    <s v="LP002281"/>
    <x v="0"/>
    <x v="0"/>
    <x v="1"/>
    <x v="0"/>
    <s v="No"/>
    <x v="283"/>
    <x v="21"/>
    <n v="95"/>
    <x v="0"/>
    <n v="1"/>
    <x v="1"/>
    <x v="1"/>
    <n v="4492"/>
    <x v="0"/>
    <n v="0.47"/>
    <n v="2.1148708815672306"/>
  </r>
  <r>
    <s v="LP002284"/>
    <x v="0"/>
    <x v="1"/>
    <x v="1"/>
    <x v="1"/>
    <s v="No"/>
    <x v="284"/>
    <x v="74"/>
    <n v="109"/>
    <x v="0"/>
    <n v="1"/>
    <x v="0"/>
    <x v="1"/>
    <n v="5568"/>
    <x v="0"/>
    <n v="0.51"/>
    <n v="1.9576149425287355"/>
  </r>
  <r>
    <s v="LP002287"/>
    <x v="1"/>
    <x v="1"/>
    <x v="1"/>
    <x v="0"/>
    <s v="No"/>
    <x v="285"/>
    <x v="95"/>
    <n v="103"/>
    <x v="0"/>
    <n v="0"/>
    <x v="2"/>
    <x v="0"/>
    <n v="3300"/>
    <x v="1"/>
    <n v="0.32"/>
    <n v="3.1212121212121211"/>
  </r>
  <r>
    <s v="LP002288"/>
    <x v="0"/>
    <x v="0"/>
    <x v="2"/>
    <x v="1"/>
    <s v="No"/>
    <x v="286"/>
    <x v="1"/>
    <n v="45"/>
    <x v="2"/>
    <n v="0"/>
    <x v="1"/>
    <x v="0"/>
    <n v="2889"/>
    <x v="1"/>
    <n v="0.64"/>
    <n v="1.557632398753894"/>
  </r>
  <r>
    <s v="LP002296"/>
    <x v="0"/>
    <x v="1"/>
    <x v="1"/>
    <x v="1"/>
    <s v="No"/>
    <x v="287"/>
    <x v="1"/>
    <n v="65"/>
    <x v="4"/>
    <n v="1"/>
    <x v="0"/>
    <x v="0"/>
    <n v="2755"/>
    <x v="0"/>
    <n v="0.42"/>
    <n v="2.3593466424682399"/>
  </r>
  <r>
    <s v="LP002297"/>
    <x v="0"/>
    <x v="1"/>
    <x v="1"/>
    <x v="0"/>
    <s v="No"/>
    <x v="10"/>
    <x v="167"/>
    <n v="103"/>
    <x v="0"/>
    <n v="1"/>
    <x v="2"/>
    <x v="1"/>
    <n v="22500"/>
    <x v="0"/>
    <n v="2.1800000000000002"/>
    <n v="0.45777777777777778"/>
  </r>
  <r>
    <s v="LP002300"/>
    <x v="1"/>
    <x v="1"/>
    <x v="1"/>
    <x v="1"/>
    <s v="No"/>
    <x v="288"/>
    <x v="1"/>
    <n v="53"/>
    <x v="0"/>
    <n v="1"/>
    <x v="2"/>
    <x v="1"/>
    <n v="1963"/>
    <x v="0"/>
    <n v="0.37"/>
    <n v="2.6999490575649516"/>
  </r>
  <r>
    <s v="LP002301"/>
    <x v="1"/>
    <x v="1"/>
    <x v="1"/>
    <x v="0"/>
    <s v="Yes"/>
    <x v="289"/>
    <x v="1"/>
    <n v="194"/>
    <x v="0"/>
    <n v="1"/>
    <x v="0"/>
    <x v="0"/>
    <n v="7441"/>
    <x v="0"/>
    <n v="0.38"/>
    <n v="2.6071764547775835"/>
  </r>
  <r>
    <s v="LP002305"/>
    <x v="1"/>
    <x v="1"/>
    <x v="1"/>
    <x v="0"/>
    <s v="No"/>
    <x v="290"/>
    <x v="1"/>
    <n v="115"/>
    <x v="0"/>
    <n v="1"/>
    <x v="2"/>
    <x v="1"/>
    <n v="4547"/>
    <x v="0"/>
    <n v="0.4"/>
    <n v="2.5291400923685945"/>
  </r>
  <r>
    <s v="LP002308"/>
    <x v="0"/>
    <x v="0"/>
    <x v="1"/>
    <x v="1"/>
    <s v="No"/>
    <x v="291"/>
    <x v="168"/>
    <n v="115"/>
    <x v="0"/>
    <n v="1"/>
    <x v="1"/>
    <x v="1"/>
    <n v="4567"/>
    <x v="0"/>
    <n v="0.4"/>
    <n v="2.5180643748631484"/>
  </r>
  <r>
    <s v="LP002314"/>
    <x v="1"/>
    <x v="1"/>
    <x v="1"/>
    <x v="1"/>
    <s v="No"/>
    <x v="292"/>
    <x v="1"/>
    <n v="66"/>
    <x v="0"/>
    <n v="1"/>
    <x v="0"/>
    <x v="1"/>
    <n v="2213"/>
    <x v="0"/>
    <n v="0.34"/>
    <n v="2.9823768639855399"/>
  </r>
  <r>
    <s v="LP002315"/>
    <x v="0"/>
    <x v="0"/>
    <x v="0"/>
    <x v="0"/>
    <s v="No"/>
    <x v="293"/>
    <x v="1"/>
    <n v="152"/>
    <x v="4"/>
    <n v="0"/>
    <x v="2"/>
    <x v="0"/>
    <n v="8300"/>
    <x v="1"/>
    <n v="0.55000000000000004"/>
    <n v="1.8313253012048194"/>
  </r>
  <r>
    <s v="LP002317"/>
    <x v="0"/>
    <x v="0"/>
    <x v="3"/>
    <x v="0"/>
    <s v="No"/>
    <x v="294"/>
    <x v="1"/>
    <n v="360"/>
    <x v="0"/>
    <n v="0"/>
    <x v="0"/>
    <x v="0"/>
    <n v="81000"/>
    <x v="1"/>
    <n v="2.25"/>
    <n v="0.44444444444444442"/>
  </r>
  <r>
    <s v="LP002318"/>
    <x v="1"/>
    <x v="1"/>
    <x v="0"/>
    <x v="1"/>
    <s v="Yes"/>
    <x v="295"/>
    <x v="1"/>
    <n v="62"/>
    <x v="0"/>
    <n v="1"/>
    <x v="2"/>
    <x v="0"/>
    <n v="3867"/>
    <x v="0"/>
    <n v="0.62"/>
    <n v="1.6033100594776313"/>
  </r>
  <r>
    <s v="LP002328"/>
    <x v="0"/>
    <x v="0"/>
    <x v="1"/>
    <x v="1"/>
    <s v="No"/>
    <x v="296"/>
    <x v="1"/>
    <n v="218"/>
    <x v="0"/>
    <n v="0"/>
    <x v="0"/>
    <x v="0"/>
    <n v="6096"/>
    <x v="1"/>
    <n v="0.28000000000000003"/>
    <n v="3.5761154855643045"/>
  </r>
  <r>
    <s v="LP002332"/>
    <x v="0"/>
    <x v="0"/>
    <x v="1"/>
    <x v="1"/>
    <s v="No"/>
    <x v="297"/>
    <x v="169"/>
    <n v="110"/>
    <x v="0"/>
    <n v="1"/>
    <x v="0"/>
    <x v="1"/>
    <n v="4286"/>
    <x v="0"/>
    <n v="0.39"/>
    <n v="2.5664955669622023"/>
  </r>
  <r>
    <s v="LP002335"/>
    <x v="1"/>
    <x v="0"/>
    <x v="1"/>
    <x v="1"/>
    <s v="No"/>
    <x v="298"/>
    <x v="170"/>
    <n v="178"/>
    <x v="0"/>
    <n v="0"/>
    <x v="2"/>
    <x v="0"/>
    <n v="5386"/>
    <x v="1"/>
    <n v="0.3"/>
    <n v="3.3048644634236908"/>
  </r>
  <r>
    <s v="LP002337"/>
    <x v="1"/>
    <x v="1"/>
    <x v="1"/>
    <x v="0"/>
    <s v="No"/>
    <x v="299"/>
    <x v="1"/>
    <n v="60"/>
    <x v="0"/>
    <n v="1"/>
    <x v="1"/>
    <x v="1"/>
    <n v="2995"/>
    <x v="0"/>
    <n v="0.5"/>
    <n v="2.003338898163606"/>
  </r>
  <r>
    <s v="LP002341"/>
    <x v="1"/>
    <x v="1"/>
    <x v="0"/>
    <x v="0"/>
    <s v="No"/>
    <x v="19"/>
    <x v="1"/>
    <n v="160"/>
    <x v="0"/>
    <n v="1"/>
    <x v="1"/>
    <x v="0"/>
    <n v="2600"/>
    <x v="0"/>
    <n v="0.16"/>
    <n v="6.1538461538461542"/>
  </r>
  <r>
    <s v="LP002342"/>
    <x v="0"/>
    <x v="0"/>
    <x v="2"/>
    <x v="0"/>
    <s v="Yes"/>
    <x v="300"/>
    <x v="167"/>
    <n v="239"/>
    <x v="0"/>
    <n v="1"/>
    <x v="1"/>
    <x v="0"/>
    <n v="21600"/>
    <x v="0"/>
    <n v="0.9"/>
    <n v="1.1064814814814816"/>
  </r>
  <r>
    <s v="LP002345"/>
    <x v="0"/>
    <x v="0"/>
    <x v="1"/>
    <x v="0"/>
    <s v="No"/>
    <x v="301"/>
    <x v="171"/>
    <n v="112"/>
    <x v="0"/>
    <n v="1"/>
    <x v="0"/>
    <x v="1"/>
    <n v="3798"/>
    <x v="0"/>
    <n v="0.34"/>
    <n v="2.9489204844655079"/>
  </r>
  <r>
    <s v="LP002347"/>
    <x v="0"/>
    <x v="0"/>
    <x v="1"/>
    <x v="0"/>
    <s v="No"/>
    <x v="302"/>
    <x v="172"/>
    <n v="138"/>
    <x v="0"/>
    <n v="1"/>
    <x v="2"/>
    <x v="1"/>
    <n v="4663"/>
    <x v="0"/>
    <n v="0.34"/>
    <n v="2.9594681535492171"/>
  </r>
  <r>
    <s v="LP002348"/>
    <x v="0"/>
    <x v="0"/>
    <x v="1"/>
    <x v="0"/>
    <s v="No"/>
    <x v="303"/>
    <x v="1"/>
    <n v="138"/>
    <x v="0"/>
    <n v="1"/>
    <x v="0"/>
    <x v="1"/>
    <n v="5829"/>
    <x v="0"/>
    <n v="0.42"/>
    <n v="2.3674729799279466"/>
  </r>
  <r>
    <s v="LP002361"/>
    <x v="0"/>
    <x v="0"/>
    <x v="1"/>
    <x v="0"/>
    <s v="No"/>
    <x v="126"/>
    <x v="173"/>
    <n v="100"/>
    <x v="0"/>
    <n v="1"/>
    <x v="1"/>
    <x v="1"/>
    <n v="3539"/>
    <x v="0"/>
    <n v="0.35"/>
    <n v="2.8256569652444194"/>
  </r>
  <r>
    <s v="LP002364"/>
    <x v="0"/>
    <x v="0"/>
    <x v="1"/>
    <x v="0"/>
    <s v="No"/>
    <x v="304"/>
    <x v="1"/>
    <n v="96"/>
    <x v="0"/>
    <n v="1"/>
    <x v="2"/>
    <x v="1"/>
    <n v="14880"/>
    <x v="0"/>
    <n v="1.55"/>
    <n v="0.64516129032258063"/>
  </r>
  <r>
    <s v="LP002366"/>
    <x v="0"/>
    <x v="0"/>
    <x v="1"/>
    <x v="0"/>
    <s v="No"/>
    <x v="254"/>
    <x v="174"/>
    <n v="121"/>
    <x v="0"/>
    <n v="1"/>
    <x v="0"/>
    <x v="1"/>
    <n v="6966"/>
    <x v="0"/>
    <n v="0.57999999999999996"/>
    <n v="1.7370083261556128"/>
  </r>
  <r>
    <s v="LP002367"/>
    <x v="1"/>
    <x v="1"/>
    <x v="0"/>
    <x v="1"/>
    <s v="No"/>
    <x v="305"/>
    <x v="1"/>
    <n v="81"/>
    <x v="0"/>
    <n v="1"/>
    <x v="0"/>
    <x v="0"/>
    <n v="4606"/>
    <x v="0"/>
    <n v="0.56999999999999995"/>
    <n v="1.7585757707338254"/>
  </r>
  <r>
    <s v="LP002368"/>
    <x v="0"/>
    <x v="0"/>
    <x v="2"/>
    <x v="0"/>
    <s v="No"/>
    <x v="306"/>
    <x v="1"/>
    <n v="133"/>
    <x v="0"/>
    <n v="1"/>
    <x v="2"/>
    <x v="1"/>
    <n v="5935"/>
    <x v="0"/>
    <n v="0.45"/>
    <n v="2.2409435551811288"/>
  </r>
  <r>
    <s v="LP002369"/>
    <x v="0"/>
    <x v="0"/>
    <x v="1"/>
    <x v="0"/>
    <s v="No"/>
    <x v="307"/>
    <x v="175"/>
    <n v="87"/>
    <x v="0"/>
    <n v="1"/>
    <x v="0"/>
    <x v="1"/>
    <n v="2936"/>
    <x v="0"/>
    <n v="0.34"/>
    <n v="2.9632152588555858"/>
  </r>
  <r>
    <s v="LP002370"/>
    <x v="0"/>
    <x v="1"/>
    <x v="1"/>
    <x v="1"/>
    <s v="No"/>
    <x v="308"/>
    <x v="1"/>
    <n v="60"/>
    <x v="2"/>
    <n v="1"/>
    <x v="1"/>
    <x v="1"/>
    <n v="2717"/>
    <x v="0"/>
    <n v="0.45"/>
    <n v="2.2083179977916818"/>
  </r>
  <r>
    <s v="LP002377"/>
    <x v="1"/>
    <x v="1"/>
    <x v="0"/>
    <x v="0"/>
    <s v="Yes"/>
    <x v="309"/>
    <x v="1"/>
    <n v="150"/>
    <x v="0"/>
    <n v="1"/>
    <x v="2"/>
    <x v="1"/>
    <n v="8624"/>
    <x v="0"/>
    <n v="0.56999999999999995"/>
    <n v="1.7393320964749537"/>
  </r>
  <r>
    <s v="LP002379"/>
    <x v="0"/>
    <x v="1"/>
    <x v="1"/>
    <x v="0"/>
    <s v="No"/>
    <x v="310"/>
    <x v="1"/>
    <n v="105"/>
    <x v="0"/>
    <n v="0"/>
    <x v="0"/>
    <x v="0"/>
    <n v="6500"/>
    <x v="1"/>
    <n v="0.62"/>
    <n v="1.6153846153846154"/>
  </r>
  <r>
    <s v="LP002386"/>
    <x v="0"/>
    <x v="1"/>
    <x v="1"/>
    <x v="0"/>
    <s v="Not Mentioned"/>
    <x v="311"/>
    <x v="1"/>
    <n v="405"/>
    <x v="0"/>
    <n v="1"/>
    <x v="2"/>
    <x v="1"/>
    <n v="12876"/>
    <x v="0"/>
    <n v="0.32"/>
    <n v="3.1453867660764212"/>
  </r>
  <r>
    <s v="LP002387"/>
    <x v="0"/>
    <x v="0"/>
    <x v="1"/>
    <x v="0"/>
    <s v="No"/>
    <x v="312"/>
    <x v="176"/>
    <n v="143"/>
    <x v="0"/>
    <n v="1"/>
    <x v="2"/>
    <x v="1"/>
    <n v="4765"/>
    <x v="0"/>
    <n v="0.33"/>
    <n v="3.0010493179433366"/>
  </r>
  <r>
    <s v="LP002390"/>
    <x v="0"/>
    <x v="1"/>
    <x v="1"/>
    <x v="0"/>
    <s v="No"/>
    <x v="25"/>
    <x v="1"/>
    <n v="100"/>
    <x v="0"/>
    <n v="1"/>
    <x v="1"/>
    <x v="1"/>
    <n v="3750"/>
    <x v="0"/>
    <n v="0.38"/>
    <n v="2.666666666666667"/>
  </r>
  <r>
    <s v="LP002398"/>
    <x v="0"/>
    <x v="1"/>
    <x v="1"/>
    <x v="0"/>
    <s v="No"/>
    <x v="313"/>
    <x v="177"/>
    <n v="50"/>
    <x v="0"/>
    <n v="1"/>
    <x v="2"/>
    <x v="1"/>
    <n v="3777"/>
    <x v="0"/>
    <n v="0.76"/>
    <n v="1.3238019592268997"/>
  </r>
  <r>
    <s v="LP002403"/>
    <x v="0"/>
    <x v="1"/>
    <x v="1"/>
    <x v="0"/>
    <s v="Yes"/>
    <x v="314"/>
    <x v="1"/>
    <n v="187"/>
    <x v="0"/>
    <n v="0"/>
    <x v="1"/>
    <x v="0"/>
    <n v="10416"/>
    <x v="1"/>
    <n v="0.56000000000000005"/>
    <n v="1.7953149001536099"/>
  </r>
  <r>
    <s v="LP002407"/>
    <x v="1"/>
    <x v="0"/>
    <x v="1"/>
    <x v="1"/>
    <s v="Yes"/>
    <x v="315"/>
    <x v="1"/>
    <n v="138"/>
    <x v="0"/>
    <n v="1"/>
    <x v="0"/>
    <x v="1"/>
    <n v="7142"/>
    <x v="0"/>
    <n v="0.52"/>
    <n v="1.9322318678241388"/>
  </r>
  <r>
    <s v="LP002408"/>
    <x v="0"/>
    <x v="1"/>
    <x v="1"/>
    <x v="0"/>
    <s v="No"/>
    <x v="316"/>
    <x v="178"/>
    <n v="187"/>
    <x v="0"/>
    <n v="1"/>
    <x v="2"/>
    <x v="1"/>
    <n v="8724"/>
    <x v="0"/>
    <n v="0.47"/>
    <n v="2.1435121503897294"/>
  </r>
  <r>
    <s v="LP002409"/>
    <x v="0"/>
    <x v="0"/>
    <x v="1"/>
    <x v="0"/>
    <s v="No"/>
    <x v="317"/>
    <x v="144"/>
    <n v="180"/>
    <x v="0"/>
    <n v="1"/>
    <x v="0"/>
    <x v="1"/>
    <n v="9734"/>
    <x v="0"/>
    <n v="0.54"/>
    <n v="1.8491884117526198"/>
  </r>
  <r>
    <s v="LP002418"/>
    <x v="0"/>
    <x v="1"/>
    <x v="3"/>
    <x v="1"/>
    <s v="No"/>
    <x v="318"/>
    <x v="179"/>
    <n v="148"/>
    <x v="0"/>
    <n v="1"/>
    <x v="2"/>
    <x v="1"/>
    <n v="6700"/>
    <x v="0"/>
    <n v="0.45"/>
    <n v="2.2089552238805972"/>
  </r>
  <r>
    <s v="LP002422"/>
    <x v="0"/>
    <x v="1"/>
    <x v="0"/>
    <x v="0"/>
    <s v="No"/>
    <x v="319"/>
    <x v="1"/>
    <n v="152"/>
    <x v="0"/>
    <n v="1"/>
    <x v="2"/>
    <x v="1"/>
    <n v="37719"/>
    <x v="0"/>
    <n v="2.48"/>
    <n v="0.40297993053898562"/>
  </r>
  <r>
    <s v="LP002429"/>
    <x v="0"/>
    <x v="0"/>
    <x v="0"/>
    <x v="0"/>
    <s v="Yes"/>
    <x v="320"/>
    <x v="180"/>
    <n v="130"/>
    <x v="0"/>
    <n v="1"/>
    <x v="0"/>
    <x v="1"/>
    <n v="4676"/>
    <x v="0"/>
    <n v="0.36"/>
    <n v="2.780153977758768"/>
  </r>
  <r>
    <s v="LP002434"/>
    <x v="0"/>
    <x v="0"/>
    <x v="2"/>
    <x v="1"/>
    <s v="No"/>
    <x v="321"/>
    <x v="1"/>
    <n v="110"/>
    <x v="0"/>
    <n v="1"/>
    <x v="0"/>
    <x v="1"/>
    <n v="4652"/>
    <x v="0"/>
    <n v="0.42"/>
    <n v="2.3645743766122096"/>
  </r>
  <r>
    <s v="LP002435"/>
    <x v="0"/>
    <x v="0"/>
    <x v="1"/>
    <x v="0"/>
    <s v="Not Mentioned"/>
    <x v="322"/>
    <x v="181"/>
    <n v="55"/>
    <x v="0"/>
    <n v="1"/>
    <x v="0"/>
    <x v="0"/>
    <n v="4915"/>
    <x v="0"/>
    <n v="0.89"/>
    <n v="1.119023397761953"/>
  </r>
  <r>
    <s v="LP002443"/>
    <x v="0"/>
    <x v="0"/>
    <x v="2"/>
    <x v="0"/>
    <s v="No"/>
    <x v="323"/>
    <x v="182"/>
    <n v="150"/>
    <x v="0"/>
    <n v="0"/>
    <x v="0"/>
    <x v="0"/>
    <n v="5050"/>
    <x v="1"/>
    <n v="0.34"/>
    <n v="2.9702970297029703"/>
  </r>
  <r>
    <s v="LP002446"/>
    <x v="0"/>
    <x v="0"/>
    <x v="2"/>
    <x v="1"/>
    <s v="No"/>
    <x v="324"/>
    <x v="183"/>
    <n v="125"/>
    <x v="0"/>
    <n v="0"/>
    <x v="0"/>
    <x v="0"/>
    <n v="3564"/>
    <x v="1"/>
    <n v="0.28999999999999998"/>
    <n v="3.5072951739618405"/>
  </r>
  <r>
    <s v="LP002448"/>
    <x v="0"/>
    <x v="0"/>
    <x v="1"/>
    <x v="0"/>
    <s v="No"/>
    <x v="325"/>
    <x v="184"/>
    <n v="149"/>
    <x v="0"/>
    <n v="0"/>
    <x v="0"/>
    <x v="0"/>
    <n v="5681"/>
    <x v="1"/>
    <n v="0.38"/>
    <n v="2.6227776799859179"/>
  </r>
  <r>
    <s v="LP002449"/>
    <x v="0"/>
    <x v="0"/>
    <x v="1"/>
    <x v="0"/>
    <s v="No"/>
    <x v="326"/>
    <x v="185"/>
    <n v="90"/>
    <x v="2"/>
    <n v="0"/>
    <x v="0"/>
    <x v="1"/>
    <n v="4949"/>
    <x v="1"/>
    <n v="0.55000000000000004"/>
    <n v="1.8185492018589613"/>
  </r>
  <r>
    <s v="LP002453"/>
    <x v="0"/>
    <x v="1"/>
    <x v="1"/>
    <x v="0"/>
    <s v="Yes"/>
    <x v="327"/>
    <x v="1"/>
    <n v="84"/>
    <x v="0"/>
    <n v="1"/>
    <x v="2"/>
    <x v="1"/>
    <n v="7085"/>
    <x v="0"/>
    <n v="0.84"/>
    <n v="1.1856033874382499"/>
  </r>
  <r>
    <s v="LP002455"/>
    <x v="0"/>
    <x v="0"/>
    <x v="2"/>
    <x v="0"/>
    <s v="No"/>
    <x v="328"/>
    <x v="1"/>
    <n v="96"/>
    <x v="0"/>
    <n v="1"/>
    <x v="2"/>
    <x v="1"/>
    <n v="3859"/>
    <x v="0"/>
    <n v="0.4"/>
    <n v="2.4876911116869653"/>
  </r>
  <r>
    <s v="LP002459"/>
    <x v="0"/>
    <x v="0"/>
    <x v="1"/>
    <x v="0"/>
    <s v="No"/>
    <x v="329"/>
    <x v="1"/>
    <n v="118"/>
    <x v="0"/>
    <n v="1"/>
    <x v="1"/>
    <x v="1"/>
    <n v="4301"/>
    <x v="0"/>
    <n v="0.36"/>
    <n v="2.7435480120902116"/>
  </r>
  <r>
    <s v="LP002467"/>
    <x v="0"/>
    <x v="0"/>
    <x v="1"/>
    <x v="0"/>
    <s v="No"/>
    <x v="330"/>
    <x v="186"/>
    <n v="173"/>
    <x v="0"/>
    <n v="1"/>
    <x v="1"/>
    <x v="0"/>
    <n v="6277"/>
    <x v="0"/>
    <n v="0.36"/>
    <n v="2.7560936753226062"/>
  </r>
  <r>
    <s v="LP002472"/>
    <x v="0"/>
    <x v="1"/>
    <x v="2"/>
    <x v="0"/>
    <s v="No"/>
    <x v="331"/>
    <x v="1"/>
    <n v="136"/>
    <x v="0"/>
    <n v="1"/>
    <x v="0"/>
    <x v="1"/>
    <n v="4354"/>
    <x v="0"/>
    <n v="0.32"/>
    <n v="3.1235645383555348"/>
  </r>
  <r>
    <s v="LP002473"/>
    <x v="0"/>
    <x v="0"/>
    <x v="1"/>
    <x v="0"/>
    <s v="No"/>
    <x v="332"/>
    <x v="1"/>
    <n v="160"/>
    <x v="0"/>
    <n v="1"/>
    <x v="2"/>
    <x v="0"/>
    <n v="8334"/>
    <x v="0"/>
    <n v="0.52"/>
    <n v="1.9198464122870171"/>
  </r>
  <r>
    <s v="LP002484"/>
    <x v="0"/>
    <x v="0"/>
    <x v="3"/>
    <x v="0"/>
    <s v="No"/>
    <x v="333"/>
    <x v="1"/>
    <n v="128"/>
    <x v="2"/>
    <n v="1"/>
    <x v="1"/>
    <x v="1"/>
    <n v="7740"/>
    <x v="0"/>
    <n v="0.6"/>
    <n v="1.6537467700258397"/>
  </r>
  <r>
    <s v="LP002487"/>
    <x v="0"/>
    <x v="0"/>
    <x v="1"/>
    <x v="0"/>
    <s v="No"/>
    <x v="334"/>
    <x v="187"/>
    <n v="153"/>
    <x v="0"/>
    <n v="1"/>
    <x v="0"/>
    <x v="1"/>
    <n v="5203"/>
    <x v="0"/>
    <n v="0.34"/>
    <n v="2.9406111858543147"/>
  </r>
  <r>
    <s v="LP002489"/>
    <x v="1"/>
    <x v="1"/>
    <x v="0"/>
    <x v="1"/>
    <s v="Not Mentioned"/>
    <x v="335"/>
    <x v="1"/>
    <n v="132"/>
    <x v="0"/>
    <n v="1"/>
    <x v="2"/>
    <x v="1"/>
    <n v="5191"/>
    <x v="0"/>
    <n v="0.39"/>
    <n v="2.542862646888846"/>
  </r>
  <r>
    <s v="LP002493"/>
    <x v="0"/>
    <x v="1"/>
    <x v="1"/>
    <x v="0"/>
    <s v="No"/>
    <x v="31"/>
    <x v="1"/>
    <n v="98"/>
    <x v="0"/>
    <n v="0"/>
    <x v="2"/>
    <x v="0"/>
    <n v="4166"/>
    <x v="1"/>
    <n v="0.43"/>
    <n v="2.3523763802208353"/>
  </r>
  <r>
    <s v="LP002494"/>
    <x v="0"/>
    <x v="1"/>
    <x v="1"/>
    <x v="0"/>
    <s v="No"/>
    <x v="3"/>
    <x v="1"/>
    <n v="140"/>
    <x v="0"/>
    <n v="1"/>
    <x v="0"/>
    <x v="1"/>
    <n v="6000"/>
    <x v="0"/>
    <n v="0.43"/>
    <n v="2.3333333333333335"/>
  </r>
  <r>
    <s v="LP002500"/>
    <x v="0"/>
    <x v="0"/>
    <x v="3"/>
    <x v="1"/>
    <s v="No"/>
    <x v="336"/>
    <x v="188"/>
    <n v="70"/>
    <x v="2"/>
    <n v="0"/>
    <x v="1"/>
    <x v="0"/>
    <n v="4611"/>
    <x v="1"/>
    <n v="0.66"/>
    <n v="1.5181088700932552"/>
  </r>
  <r>
    <s v="LP002501"/>
    <x v="2"/>
    <x v="0"/>
    <x v="1"/>
    <x v="0"/>
    <s v="No"/>
    <x v="337"/>
    <x v="1"/>
    <n v="110"/>
    <x v="0"/>
    <n v="1"/>
    <x v="2"/>
    <x v="1"/>
    <n v="16692"/>
    <x v="0"/>
    <n v="1.52"/>
    <n v="0.65899832254972435"/>
  </r>
  <r>
    <s v="LP002502"/>
    <x v="1"/>
    <x v="0"/>
    <x v="2"/>
    <x v="1"/>
    <s v="Not Mentioned"/>
    <x v="338"/>
    <x v="189"/>
    <n v="98"/>
    <x v="0"/>
    <n v="1"/>
    <x v="2"/>
    <x v="1"/>
    <n v="3127"/>
    <x v="0"/>
    <n v="0.32"/>
    <n v="3.1339942436840422"/>
  </r>
  <r>
    <s v="LP002505"/>
    <x v="0"/>
    <x v="0"/>
    <x v="1"/>
    <x v="0"/>
    <s v="No"/>
    <x v="200"/>
    <x v="142"/>
    <n v="110"/>
    <x v="0"/>
    <n v="1"/>
    <x v="1"/>
    <x v="0"/>
    <n v="6784"/>
    <x v="0"/>
    <n v="0.62"/>
    <n v="1.6214622641509433"/>
  </r>
  <r>
    <s v="LP002515"/>
    <x v="0"/>
    <x v="0"/>
    <x v="0"/>
    <x v="0"/>
    <s v="Yes"/>
    <x v="339"/>
    <x v="190"/>
    <n v="162"/>
    <x v="0"/>
    <n v="1"/>
    <x v="2"/>
    <x v="1"/>
    <n v="5529"/>
    <x v="0"/>
    <n v="0.34"/>
    <n v="2.930005425935974"/>
  </r>
  <r>
    <s v="LP002517"/>
    <x v="0"/>
    <x v="0"/>
    <x v="0"/>
    <x v="1"/>
    <s v="No"/>
    <x v="340"/>
    <x v="191"/>
    <n v="113"/>
    <x v="2"/>
    <n v="0"/>
    <x v="0"/>
    <x v="0"/>
    <n v="4153"/>
    <x v="1"/>
    <n v="0.37"/>
    <n v="2.7209246327955694"/>
  </r>
  <r>
    <s v="LP002519"/>
    <x v="0"/>
    <x v="0"/>
    <x v="3"/>
    <x v="0"/>
    <s v="No"/>
    <x v="341"/>
    <x v="1"/>
    <n v="100"/>
    <x v="0"/>
    <n v="1"/>
    <x v="2"/>
    <x v="1"/>
    <n v="4691"/>
    <x v="0"/>
    <n v="0.47"/>
    <n v="2.1317416329140908"/>
  </r>
  <r>
    <s v="LP002524"/>
    <x v="0"/>
    <x v="1"/>
    <x v="2"/>
    <x v="0"/>
    <s v="No"/>
    <x v="342"/>
    <x v="192"/>
    <n v="162"/>
    <x v="0"/>
    <n v="1"/>
    <x v="0"/>
    <x v="1"/>
    <n v="10180"/>
    <x v="0"/>
    <n v="0.63"/>
    <n v="1.5913555992141455"/>
  </r>
  <r>
    <s v="LP002527"/>
    <x v="0"/>
    <x v="0"/>
    <x v="2"/>
    <x v="0"/>
    <s v="Yes"/>
    <x v="343"/>
    <x v="193"/>
    <n v="150"/>
    <x v="0"/>
    <n v="1"/>
    <x v="0"/>
    <x v="1"/>
    <n v="17539"/>
    <x v="0"/>
    <n v="1.17"/>
    <n v="0.85523690062147217"/>
  </r>
  <r>
    <s v="LP002529"/>
    <x v="0"/>
    <x v="0"/>
    <x v="2"/>
    <x v="0"/>
    <s v="No"/>
    <x v="344"/>
    <x v="134"/>
    <n v="230"/>
    <x v="4"/>
    <n v="1"/>
    <x v="2"/>
    <x v="1"/>
    <n v="8450"/>
    <x v="0"/>
    <n v="0.37"/>
    <n v="2.72189349112426"/>
  </r>
  <r>
    <s v="LP002530"/>
    <x v="2"/>
    <x v="0"/>
    <x v="2"/>
    <x v="0"/>
    <s v="No"/>
    <x v="345"/>
    <x v="194"/>
    <n v="132"/>
    <x v="0"/>
    <n v="0"/>
    <x v="2"/>
    <x v="0"/>
    <n v="4745"/>
    <x v="1"/>
    <n v="0.36"/>
    <n v="2.7818756585879871"/>
  </r>
  <r>
    <s v="LP002531"/>
    <x v="0"/>
    <x v="0"/>
    <x v="0"/>
    <x v="0"/>
    <s v="Yes"/>
    <x v="346"/>
    <x v="32"/>
    <n v="86"/>
    <x v="0"/>
    <n v="1"/>
    <x v="2"/>
    <x v="1"/>
    <n v="18917"/>
    <x v="0"/>
    <n v="2.2000000000000002"/>
    <n v="0.45461753977903469"/>
  </r>
  <r>
    <s v="LP002534"/>
    <x v="1"/>
    <x v="1"/>
    <x v="1"/>
    <x v="1"/>
    <s v="No"/>
    <x v="347"/>
    <x v="1"/>
    <n v="154"/>
    <x v="0"/>
    <n v="1"/>
    <x v="0"/>
    <x v="1"/>
    <n v="4350"/>
    <x v="0"/>
    <n v="0.28000000000000003"/>
    <n v="3.5402298850574714"/>
  </r>
  <r>
    <s v="LP002536"/>
    <x v="0"/>
    <x v="0"/>
    <x v="3"/>
    <x v="1"/>
    <s v="No"/>
    <x v="348"/>
    <x v="1"/>
    <n v="113"/>
    <x v="0"/>
    <n v="1"/>
    <x v="0"/>
    <x v="1"/>
    <n v="3095"/>
    <x v="0"/>
    <n v="0.27"/>
    <n v="3.6510500807754442"/>
  </r>
  <r>
    <s v="LP002537"/>
    <x v="0"/>
    <x v="0"/>
    <x v="1"/>
    <x v="0"/>
    <s v="No"/>
    <x v="349"/>
    <x v="195"/>
    <n v="128"/>
    <x v="0"/>
    <n v="1"/>
    <x v="2"/>
    <x v="1"/>
    <n v="5233"/>
    <x v="0"/>
    <n v="0.41"/>
    <n v="2.4460156697878843"/>
  </r>
  <r>
    <s v="LP002541"/>
    <x v="0"/>
    <x v="0"/>
    <x v="1"/>
    <x v="0"/>
    <s v="No"/>
    <x v="350"/>
    <x v="1"/>
    <n v="234"/>
    <x v="0"/>
    <n v="1"/>
    <x v="2"/>
    <x v="1"/>
    <n v="10833"/>
    <x v="0"/>
    <n v="0.46"/>
    <n v="2.1600664635834947"/>
  </r>
  <r>
    <s v="LP002543"/>
    <x v="0"/>
    <x v="0"/>
    <x v="2"/>
    <x v="0"/>
    <s v="No"/>
    <x v="148"/>
    <x v="1"/>
    <n v="246"/>
    <x v="0"/>
    <n v="1"/>
    <x v="2"/>
    <x v="1"/>
    <n v="8333"/>
    <x v="0"/>
    <n v="0.34"/>
    <n v="2.9521180847233888"/>
  </r>
  <r>
    <s v="LP002544"/>
    <x v="0"/>
    <x v="0"/>
    <x v="0"/>
    <x v="1"/>
    <s v="No"/>
    <x v="351"/>
    <x v="196"/>
    <n v="131"/>
    <x v="0"/>
    <n v="1"/>
    <x v="0"/>
    <x v="1"/>
    <n v="4394"/>
    <x v="0"/>
    <n v="0.34"/>
    <n v="2.9813381884387802"/>
  </r>
  <r>
    <s v="LP002545"/>
    <x v="0"/>
    <x v="1"/>
    <x v="2"/>
    <x v="0"/>
    <s v="No"/>
    <x v="352"/>
    <x v="1"/>
    <n v="80"/>
    <x v="0"/>
    <n v="0"/>
    <x v="0"/>
    <x v="0"/>
    <n v="3547"/>
    <x v="1"/>
    <n v="0.44"/>
    <n v="2.2554271215111359"/>
  </r>
  <r>
    <s v="LP002547"/>
    <x v="0"/>
    <x v="0"/>
    <x v="0"/>
    <x v="0"/>
    <s v="No"/>
    <x v="353"/>
    <x v="1"/>
    <n v="500"/>
    <x v="0"/>
    <n v="1"/>
    <x v="1"/>
    <x v="0"/>
    <n v="18333"/>
    <x v="0"/>
    <n v="0.37"/>
    <n v="2.7273223149511807"/>
  </r>
  <r>
    <s v="LP002555"/>
    <x v="0"/>
    <x v="0"/>
    <x v="2"/>
    <x v="0"/>
    <s v="Yes"/>
    <x v="0"/>
    <x v="18"/>
    <n v="160"/>
    <x v="0"/>
    <n v="1"/>
    <x v="2"/>
    <x v="1"/>
    <n v="6666"/>
    <x v="0"/>
    <n v="0.42"/>
    <n v="2.4002400240024002"/>
  </r>
  <r>
    <s v="LP002556"/>
    <x v="0"/>
    <x v="1"/>
    <x v="1"/>
    <x v="0"/>
    <s v="No"/>
    <x v="354"/>
    <x v="1"/>
    <n v="75"/>
    <x v="0"/>
    <n v="1"/>
    <x v="1"/>
    <x v="0"/>
    <n v="2435"/>
    <x v="0"/>
    <n v="0.32"/>
    <n v="3.0800821355236137"/>
  </r>
  <r>
    <s v="LP002571"/>
    <x v="0"/>
    <x v="1"/>
    <x v="1"/>
    <x v="1"/>
    <s v="No"/>
    <x v="355"/>
    <x v="1"/>
    <n v="110"/>
    <x v="0"/>
    <n v="1"/>
    <x v="0"/>
    <x v="1"/>
    <n v="3691"/>
    <x v="0"/>
    <n v="0.34"/>
    <n v="2.9802221620157137"/>
  </r>
  <r>
    <s v="LP002582"/>
    <x v="1"/>
    <x v="1"/>
    <x v="1"/>
    <x v="1"/>
    <s v="Yes"/>
    <x v="356"/>
    <x v="1"/>
    <n v="225"/>
    <x v="0"/>
    <n v="1"/>
    <x v="2"/>
    <x v="1"/>
    <n v="17263"/>
    <x v="0"/>
    <n v="0.77"/>
    <n v="1.3033655795632277"/>
  </r>
  <r>
    <s v="LP002585"/>
    <x v="0"/>
    <x v="0"/>
    <x v="1"/>
    <x v="0"/>
    <s v="No"/>
    <x v="357"/>
    <x v="197"/>
    <n v="119"/>
    <x v="0"/>
    <n v="0"/>
    <x v="0"/>
    <x v="0"/>
    <n v="5754"/>
    <x v="1"/>
    <n v="0.48"/>
    <n v="2.0681265206812651"/>
  </r>
  <r>
    <s v="LP002586"/>
    <x v="1"/>
    <x v="0"/>
    <x v="0"/>
    <x v="0"/>
    <s v="No"/>
    <x v="358"/>
    <x v="198"/>
    <n v="105"/>
    <x v="8"/>
    <n v="1"/>
    <x v="2"/>
    <x v="1"/>
    <n v="4239"/>
    <x v="0"/>
    <n v="0.4"/>
    <n v="2.4769992922859165"/>
  </r>
  <r>
    <s v="LP002587"/>
    <x v="0"/>
    <x v="0"/>
    <x v="1"/>
    <x v="1"/>
    <s v="No"/>
    <x v="19"/>
    <x v="199"/>
    <n v="107"/>
    <x v="0"/>
    <n v="1"/>
    <x v="0"/>
    <x v="1"/>
    <n v="4300"/>
    <x v="0"/>
    <n v="0.4"/>
    <n v="2.4883720930232558"/>
  </r>
  <r>
    <s v="LP002600"/>
    <x v="0"/>
    <x v="0"/>
    <x v="0"/>
    <x v="0"/>
    <s v="Yes"/>
    <x v="359"/>
    <x v="1"/>
    <n v="95"/>
    <x v="0"/>
    <n v="1"/>
    <x v="2"/>
    <x v="1"/>
    <n v="2895"/>
    <x v="0"/>
    <n v="0.3"/>
    <n v="3.2815198618307431"/>
  </r>
  <r>
    <s v="LP002602"/>
    <x v="0"/>
    <x v="1"/>
    <x v="1"/>
    <x v="0"/>
    <s v="No"/>
    <x v="360"/>
    <x v="200"/>
    <n v="209"/>
    <x v="0"/>
    <n v="0"/>
    <x v="0"/>
    <x v="0"/>
    <n v="10699"/>
    <x v="1"/>
    <n v="0.51"/>
    <n v="1.9534535937938124"/>
  </r>
  <r>
    <s v="LP002603"/>
    <x v="1"/>
    <x v="1"/>
    <x v="1"/>
    <x v="0"/>
    <s v="No"/>
    <x v="361"/>
    <x v="201"/>
    <n v="113"/>
    <x v="5"/>
    <n v="1"/>
    <x v="0"/>
    <x v="1"/>
    <n v="4328"/>
    <x v="0"/>
    <n v="0.38"/>
    <n v="2.6109057301293901"/>
  </r>
  <r>
    <s v="LP002606"/>
    <x v="1"/>
    <x v="1"/>
    <x v="1"/>
    <x v="0"/>
    <s v="No"/>
    <x v="362"/>
    <x v="1"/>
    <n v="100"/>
    <x v="0"/>
    <n v="1"/>
    <x v="2"/>
    <x v="1"/>
    <n v="3159"/>
    <x v="0"/>
    <n v="0.32"/>
    <n v="3.1655587211142771"/>
  </r>
  <r>
    <s v="LP002615"/>
    <x v="0"/>
    <x v="0"/>
    <x v="2"/>
    <x v="0"/>
    <s v="No"/>
    <x v="363"/>
    <x v="202"/>
    <n v="208"/>
    <x v="0"/>
    <n v="1"/>
    <x v="2"/>
    <x v="1"/>
    <n v="10489"/>
    <x v="0"/>
    <n v="0.5"/>
    <n v="1.9830298407855849"/>
  </r>
  <r>
    <s v="LP002619"/>
    <x v="0"/>
    <x v="0"/>
    <x v="1"/>
    <x v="1"/>
    <s v="No"/>
    <x v="364"/>
    <x v="203"/>
    <n v="124"/>
    <x v="4"/>
    <n v="1"/>
    <x v="2"/>
    <x v="1"/>
    <n v="5297"/>
    <x v="0"/>
    <n v="0.43"/>
    <n v="2.3409477062488202"/>
  </r>
  <r>
    <s v="LP002622"/>
    <x v="0"/>
    <x v="0"/>
    <x v="2"/>
    <x v="0"/>
    <s v="No"/>
    <x v="15"/>
    <x v="200"/>
    <n v="243"/>
    <x v="0"/>
    <n v="1"/>
    <x v="0"/>
    <x v="1"/>
    <n v="7926"/>
    <x v="0"/>
    <n v="0.33"/>
    <n v="3.0658591975775926"/>
  </r>
  <r>
    <s v="LP002625"/>
    <x v="2"/>
    <x v="1"/>
    <x v="1"/>
    <x v="0"/>
    <s v="No"/>
    <x v="365"/>
    <x v="1"/>
    <n v="96"/>
    <x v="0"/>
    <n v="1"/>
    <x v="1"/>
    <x v="0"/>
    <n v="3583"/>
    <x v="0"/>
    <n v="0.37"/>
    <n v="2.6793190064192016"/>
  </r>
  <r>
    <s v="LP002626"/>
    <x v="0"/>
    <x v="0"/>
    <x v="1"/>
    <x v="0"/>
    <s v="Yes"/>
    <x v="155"/>
    <x v="204"/>
    <n v="188"/>
    <x v="0"/>
    <n v="1"/>
    <x v="1"/>
    <x v="1"/>
    <n v="5492"/>
    <x v="0"/>
    <n v="0.28999999999999998"/>
    <n v="3.423160961398398"/>
  </r>
  <r>
    <s v="LP002634"/>
    <x v="1"/>
    <x v="1"/>
    <x v="0"/>
    <x v="0"/>
    <s v="No"/>
    <x v="366"/>
    <x v="1"/>
    <n v="40"/>
    <x v="0"/>
    <n v="1"/>
    <x v="1"/>
    <x v="1"/>
    <n v="13262"/>
    <x v="0"/>
    <n v="3.32"/>
    <n v="0.30161363293620869"/>
  </r>
  <r>
    <s v="LP002637"/>
    <x v="0"/>
    <x v="1"/>
    <x v="1"/>
    <x v="1"/>
    <s v="No"/>
    <x v="367"/>
    <x v="205"/>
    <n v="100"/>
    <x v="0"/>
    <n v="1"/>
    <x v="0"/>
    <x v="0"/>
    <n v="4885"/>
    <x v="0"/>
    <n v="0.49"/>
    <n v="2.0470829068577281"/>
  </r>
  <r>
    <s v="LP002640"/>
    <x v="0"/>
    <x v="0"/>
    <x v="0"/>
    <x v="0"/>
    <s v="No"/>
    <x v="368"/>
    <x v="206"/>
    <n v="250"/>
    <x v="0"/>
    <n v="1"/>
    <x v="2"/>
    <x v="1"/>
    <n v="8069"/>
    <x v="0"/>
    <n v="0.32"/>
    <n v="3.098277357789069"/>
  </r>
  <r>
    <s v="LP002643"/>
    <x v="0"/>
    <x v="0"/>
    <x v="2"/>
    <x v="0"/>
    <s v="No"/>
    <x v="369"/>
    <x v="207"/>
    <n v="148"/>
    <x v="0"/>
    <n v="1"/>
    <x v="1"/>
    <x v="1"/>
    <n v="5318"/>
    <x v="0"/>
    <n v="0.36"/>
    <n v="2.7830011282437006"/>
  </r>
  <r>
    <s v="LP002648"/>
    <x v="0"/>
    <x v="0"/>
    <x v="1"/>
    <x v="0"/>
    <s v="No"/>
    <x v="370"/>
    <x v="208"/>
    <n v="70"/>
    <x v="2"/>
    <n v="1"/>
    <x v="2"/>
    <x v="0"/>
    <n v="8796"/>
    <x v="0"/>
    <n v="1.26"/>
    <n v="0.79581628012733063"/>
  </r>
  <r>
    <s v="LP002652"/>
    <x v="0"/>
    <x v="1"/>
    <x v="1"/>
    <x v="0"/>
    <s v="No"/>
    <x v="371"/>
    <x v="209"/>
    <n v="311"/>
    <x v="0"/>
    <n v="1"/>
    <x v="0"/>
    <x v="0"/>
    <n v="9481"/>
    <x v="0"/>
    <n v="0.3"/>
    <n v="3.2802446999261679"/>
  </r>
  <r>
    <s v="LP002659"/>
    <x v="0"/>
    <x v="0"/>
    <x v="3"/>
    <x v="0"/>
    <s v="No"/>
    <x v="320"/>
    <x v="210"/>
    <n v="150"/>
    <x v="0"/>
    <n v="1"/>
    <x v="0"/>
    <x v="1"/>
    <n v="6894"/>
    <x v="0"/>
    <n v="0.46"/>
    <n v="2.1758050478677111"/>
  </r>
  <r>
    <s v="LP002670"/>
    <x v="1"/>
    <x v="0"/>
    <x v="2"/>
    <x v="0"/>
    <s v="No"/>
    <x v="372"/>
    <x v="211"/>
    <n v="113"/>
    <x v="5"/>
    <n v="1"/>
    <x v="2"/>
    <x v="1"/>
    <n v="3663"/>
    <x v="0"/>
    <n v="0.32"/>
    <n v="3.0849030849030847"/>
  </r>
  <r>
    <s v="LP002682"/>
    <x v="0"/>
    <x v="0"/>
    <x v="1"/>
    <x v="1"/>
    <s v="No"/>
    <x v="373"/>
    <x v="95"/>
    <n v="123"/>
    <x v="0"/>
    <n v="0"/>
    <x v="2"/>
    <x v="0"/>
    <n v="4874"/>
    <x v="1"/>
    <n v="0.4"/>
    <n v="2.5235945835043085"/>
  </r>
  <r>
    <s v="LP002683"/>
    <x v="0"/>
    <x v="1"/>
    <x v="1"/>
    <x v="0"/>
    <s v="No"/>
    <x v="374"/>
    <x v="212"/>
    <n v="185"/>
    <x v="0"/>
    <n v="1"/>
    <x v="2"/>
    <x v="0"/>
    <n v="6598"/>
    <x v="0"/>
    <n v="0.36"/>
    <n v="2.8038799636253411"/>
  </r>
  <r>
    <s v="LP002684"/>
    <x v="1"/>
    <x v="1"/>
    <x v="1"/>
    <x v="1"/>
    <s v="No"/>
    <x v="375"/>
    <x v="1"/>
    <n v="95"/>
    <x v="0"/>
    <n v="1"/>
    <x v="0"/>
    <x v="0"/>
    <n v="3400"/>
    <x v="0"/>
    <n v="0.36"/>
    <n v="2.7941176470588238"/>
  </r>
  <r>
    <s v="LP002689"/>
    <x v="0"/>
    <x v="0"/>
    <x v="2"/>
    <x v="1"/>
    <s v="No"/>
    <x v="376"/>
    <x v="213"/>
    <n v="45"/>
    <x v="0"/>
    <n v="1"/>
    <x v="2"/>
    <x v="1"/>
    <n v="3934"/>
    <x v="0"/>
    <n v="0.87"/>
    <n v="1.1438739196746313"/>
  </r>
  <r>
    <s v="LP002690"/>
    <x v="0"/>
    <x v="1"/>
    <x v="1"/>
    <x v="0"/>
    <s v="No"/>
    <x v="10"/>
    <x v="1"/>
    <n v="55"/>
    <x v="0"/>
    <n v="1"/>
    <x v="2"/>
    <x v="1"/>
    <n v="2500"/>
    <x v="0"/>
    <n v="0.45"/>
    <n v="2.1999999999999997"/>
  </r>
  <r>
    <s v="LP002692"/>
    <x v="0"/>
    <x v="0"/>
    <x v="3"/>
    <x v="0"/>
    <s v="Yes"/>
    <x v="377"/>
    <x v="214"/>
    <n v="100"/>
    <x v="0"/>
    <n v="1"/>
    <x v="0"/>
    <x v="1"/>
    <n v="7101"/>
    <x v="0"/>
    <n v="0.71"/>
    <n v="1.4082523588227009"/>
  </r>
  <r>
    <s v="LP002693"/>
    <x v="0"/>
    <x v="0"/>
    <x v="2"/>
    <x v="0"/>
    <s v="Yes"/>
    <x v="378"/>
    <x v="215"/>
    <n v="480"/>
    <x v="0"/>
    <n v="1"/>
    <x v="0"/>
    <x v="1"/>
    <n v="15114"/>
    <x v="0"/>
    <n v="0.31"/>
    <n v="3.1758634378721715"/>
  </r>
  <r>
    <s v="LP002699"/>
    <x v="0"/>
    <x v="0"/>
    <x v="2"/>
    <x v="0"/>
    <s v="Yes"/>
    <x v="379"/>
    <x v="1"/>
    <n v="400"/>
    <x v="0"/>
    <n v="1"/>
    <x v="0"/>
    <x v="1"/>
    <n v="17500"/>
    <x v="0"/>
    <n v="0.44"/>
    <n v="2.2857142857142856"/>
  </r>
  <r>
    <s v="LP002705"/>
    <x v="0"/>
    <x v="0"/>
    <x v="1"/>
    <x v="0"/>
    <s v="No"/>
    <x v="380"/>
    <x v="1"/>
    <n v="110"/>
    <x v="0"/>
    <n v="1"/>
    <x v="2"/>
    <x v="1"/>
    <n v="3775"/>
    <x v="0"/>
    <n v="0.34"/>
    <n v="2.9139072847682121"/>
  </r>
  <r>
    <s v="LP002706"/>
    <x v="0"/>
    <x v="0"/>
    <x v="0"/>
    <x v="1"/>
    <s v="No"/>
    <x v="381"/>
    <x v="70"/>
    <n v="161"/>
    <x v="0"/>
    <n v="0"/>
    <x v="2"/>
    <x v="1"/>
    <n v="6715"/>
    <x v="1"/>
    <n v="0.42"/>
    <n v="2.3976172747580042"/>
  </r>
  <r>
    <s v="LP002714"/>
    <x v="0"/>
    <x v="1"/>
    <x v="0"/>
    <x v="1"/>
    <s v="No"/>
    <x v="382"/>
    <x v="216"/>
    <n v="94"/>
    <x v="0"/>
    <n v="1"/>
    <x v="2"/>
    <x v="1"/>
    <n v="3981"/>
    <x v="0"/>
    <n v="0.42"/>
    <n v="2.3612157749309222"/>
  </r>
  <r>
    <s v="LP002716"/>
    <x v="0"/>
    <x v="1"/>
    <x v="1"/>
    <x v="1"/>
    <s v="No"/>
    <x v="383"/>
    <x v="1"/>
    <n v="130"/>
    <x v="0"/>
    <n v="1"/>
    <x v="2"/>
    <x v="1"/>
    <n v="6783"/>
    <x v="0"/>
    <n v="0.52"/>
    <n v="1.9165560961226595"/>
  </r>
  <r>
    <s v="LP002720"/>
    <x v="0"/>
    <x v="0"/>
    <x v="3"/>
    <x v="0"/>
    <s v="No"/>
    <x v="384"/>
    <x v="1"/>
    <n v="100"/>
    <x v="0"/>
    <n v="1"/>
    <x v="1"/>
    <x v="1"/>
    <n v="4281"/>
    <x v="0"/>
    <n v="0.43"/>
    <n v="2.3359028264424198"/>
  </r>
  <r>
    <s v="LP002723"/>
    <x v="0"/>
    <x v="1"/>
    <x v="2"/>
    <x v="0"/>
    <s v="No"/>
    <x v="385"/>
    <x v="1"/>
    <n v="110"/>
    <x v="0"/>
    <n v="0"/>
    <x v="0"/>
    <x v="0"/>
    <n v="3588"/>
    <x v="1"/>
    <n v="0.33"/>
    <n v="3.0657748049052396"/>
  </r>
  <r>
    <s v="LP002731"/>
    <x v="1"/>
    <x v="1"/>
    <x v="1"/>
    <x v="1"/>
    <s v="Yes"/>
    <x v="386"/>
    <x v="1"/>
    <n v="125"/>
    <x v="0"/>
    <n v="1"/>
    <x v="1"/>
    <x v="1"/>
    <n v="18165"/>
    <x v="0"/>
    <n v="1.45"/>
    <n v="0.68813652628681532"/>
  </r>
  <r>
    <s v="LP002732"/>
    <x v="0"/>
    <x v="1"/>
    <x v="1"/>
    <x v="1"/>
    <s v="Not Mentioned"/>
    <x v="387"/>
    <x v="217"/>
    <n v="126"/>
    <x v="0"/>
    <n v="1"/>
    <x v="0"/>
    <x v="1"/>
    <n v="4592"/>
    <x v="0"/>
    <n v="0.36"/>
    <n v="2.7439024390243905"/>
  </r>
  <r>
    <s v="LP002734"/>
    <x v="0"/>
    <x v="0"/>
    <x v="1"/>
    <x v="0"/>
    <s v="No"/>
    <x v="388"/>
    <x v="218"/>
    <n v="324"/>
    <x v="0"/>
    <n v="1"/>
    <x v="1"/>
    <x v="1"/>
    <n v="10039"/>
    <x v="0"/>
    <n v="0.31"/>
    <n v="3.227413088953083"/>
  </r>
  <r>
    <s v="LP002738"/>
    <x v="0"/>
    <x v="1"/>
    <x v="2"/>
    <x v="0"/>
    <s v="No"/>
    <x v="389"/>
    <x v="1"/>
    <n v="107"/>
    <x v="0"/>
    <n v="1"/>
    <x v="2"/>
    <x v="1"/>
    <n v="3617"/>
    <x v="0"/>
    <n v="0.34"/>
    <n v="2.958252695604092"/>
  </r>
  <r>
    <s v="LP002739"/>
    <x v="0"/>
    <x v="0"/>
    <x v="1"/>
    <x v="1"/>
    <s v="No"/>
    <x v="230"/>
    <x v="219"/>
    <n v="66"/>
    <x v="0"/>
    <n v="1"/>
    <x v="0"/>
    <x v="0"/>
    <n v="3453"/>
    <x v="0"/>
    <n v="0.52"/>
    <n v="1.9113814074717639"/>
  </r>
  <r>
    <s v="LP002740"/>
    <x v="0"/>
    <x v="0"/>
    <x v="3"/>
    <x v="0"/>
    <s v="No"/>
    <x v="390"/>
    <x v="1"/>
    <n v="157"/>
    <x v="2"/>
    <n v="1"/>
    <x v="0"/>
    <x v="1"/>
    <n v="6417"/>
    <x v="0"/>
    <n v="0.41"/>
    <n v="2.446626149290946"/>
  </r>
  <r>
    <s v="LP002741"/>
    <x v="1"/>
    <x v="0"/>
    <x v="0"/>
    <x v="0"/>
    <s v="No"/>
    <x v="391"/>
    <x v="220"/>
    <n v="140"/>
    <x v="2"/>
    <n v="1"/>
    <x v="2"/>
    <x v="1"/>
    <n v="7453"/>
    <x v="0"/>
    <n v="0.53"/>
    <n v="1.8784382128002146"/>
  </r>
  <r>
    <s v="LP002743"/>
    <x v="1"/>
    <x v="1"/>
    <x v="1"/>
    <x v="0"/>
    <s v="No"/>
    <x v="392"/>
    <x v="1"/>
    <n v="99"/>
    <x v="0"/>
    <n v="0"/>
    <x v="2"/>
    <x v="0"/>
    <n v="2138"/>
    <x v="1"/>
    <n v="0.22"/>
    <n v="4.6304957904583723"/>
  </r>
  <r>
    <s v="LP002753"/>
    <x v="1"/>
    <x v="1"/>
    <x v="0"/>
    <x v="0"/>
    <s v="Not Mentioned"/>
    <x v="393"/>
    <x v="1"/>
    <n v="95"/>
    <x v="0"/>
    <n v="1"/>
    <x v="2"/>
    <x v="1"/>
    <n v="3652"/>
    <x v="0"/>
    <n v="0.38"/>
    <n v="2.6013143483023002"/>
  </r>
  <r>
    <s v="LP002755"/>
    <x v="0"/>
    <x v="0"/>
    <x v="0"/>
    <x v="1"/>
    <s v="No"/>
    <x v="394"/>
    <x v="221"/>
    <n v="128"/>
    <x v="0"/>
    <n v="1"/>
    <x v="1"/>
    <x v="1"/>
    <n v="4763"/>
    <x v="0"/>
    <n v="0.37"/>
    <n v="2.6873819021625023"/>
  </r>
  <r>
    <s v="LP002767"/>
    <x v="0"/>
    <x v="0"/>
    <x v="1"/>
    <x v="0"/>
    <s v="No"/>
    <x v="395"/>
    <x v="222"/>
    <n v="155"/>
    <x v="0"/>
    <n v="1"/>
    <x v="0"/>
    <x v="1"/>
    <n v="4718"/>
    <x v="0"/>
    <n v="0.3"/>
    <n v="3.2852903772785083"/>
  </r>
  <r>
    <s v="LP002768"/>
    <x v="0"/>
    <x v="1"/>
    <x v="1"/>
    <x v="1"/>
    <s v="No"/>
    <x v="396"/>
    <x v="1"/>
    <n v="80"/>
    <x v="7"/>
    <n v="1"/>
    <x v="2"/>
    <x v="0"/>
    <n v="3358"/>
    <x v="0"/>
    <n v="0.42"/>
    <n v="2.3823704586063132"/>
  </r>
  <r>
    <s v="LP002772"/>
    <x v="0"/>
    <x v="1"/>
    <x v="1"/>
    <x v="0"/>
    <s v="No"/>
    <x v="397"/>
    <x v="223"/>
    <n v="145"/>
    <x v="0"/>
    <n v="1"/>
    <x v="0"/>
    <x v="1"/>
    <n v="4309"/>
    <x v="0"/>
    <n v="0.3"/>
    <n v="3.3650498955674171"/>
  </r>
  <r>
    <s v="LP002776"/>
    <x v="1"/>
    <x v="1"/>
    <x v="1"/>
    <x v="0"/>
    <s v="No"/>
    <x v="164"/>
    <x v="1"/>
    <n v="103"/>
    <x v="0"/>
    <n v="0"/>
    <x v="2"/>
    <x v="0"/>
    <n v="5000"/>
    <x v="1"/>
    <n v="0.49"/>
    <n v="2.06"/>
  </r>
  <r>
    <s v="LP002777"/>
    <x v="0"/>
    <x v="0"/>
    <x v="1"/>
    <x v="0"/>
    <s v="No"/>
    <x v="398"/>
    <x v="224"/>
    <n v="110"/>
    <x v="0"/>
    <n v="1"/>
    <x v="0"/>
    <x v="1"/>
    <n v="4801"/>
    <x v="0"/>
    <n v="0.44"/>
    <n v="2.2911893355550927"/>
  </r>
  <r>
    <s v="LP002785"/>
    <x v="0"/>
    <x v="0"/>
    <x v="0"/>
    <x v="0"/>
    <s v="No"/>
    <x v="272"/>
    <x v="225"/>
    <n v="158"/>
    <x v="0"/>
    <n v="1"/>
    <x v="1"/>
    <x v="1"/>
    <n v="6583"/>
    <x v="0"/>
    <n v="0.42"/>
    <n v="2.4001215251405137"/>
  </r>
  <r>
    <s v="LP002788"/>
    <x v="0"/>
    <x v="0"/>
    <x v="1"/>
    <x v="1"/>
    <s v="No"/>
    <x v="399"/>
    <x v="60"/>
    <n v="181"/>
    <x v="0"/>
    <n v="0"/>
    <x v="1"/>
    <x v="0"/>
    <n v="4787"/>
    <x v="1"/>
    <n v="0.26"/>
    <n v="3.7810737413829121"/>
  </r>
  <r>
    <s v="LP002789"/>
    <x v="0"/>
    <x v="0"/>
    <x v="1"/>
    <x v="0"/>
    <s v="No"/>
    <x v="400"/>
    <x v="226"/>
    <n v="132"/>
    <x v="2"/>
    <n v="0"/>
    <x v="0"/>
    <x v="0"/>
    <n v="7859"/>
    <x v="1"/>
    <n v="0.6"/>
    <n v="1.6796030029265809"/>
  </r>
  <r>
    <s v="LP002792"/>
    <x v="0"/>
    <x v="0"/>
    <x v="0"/>
    <x v="0"/>
    <s v="No"/>
    <x v="401"/>
    <x v="227"/>
    <n v="26"/>
    <x v="0"/>
    <n v="1"/>
    <x v="2"/>
    <x v="1"/>
    <n v="6500"/>
    <x v="0"/>
    <n v="2.5"/>
    <n v="0.4"/>
  </r>
  <r>
    <s v="LP002795"/>
    <x v="0"/>
    <x v="0"/>
    <x v="3"/>
    <x v="0"/>
    <s v="Yes"/>
    <x v="402"/>
    <x v="1"/>
    <n v="260"/>
    <x v="0"/>
    <n v="1"/>
    <x v="2"/>
    <x v="1"/>
    <n v="10139"/>
    <x v="0"/>
    <n v="0.39"/>
    <n v="2.5643554591182562"/>
  </r>
  <r>
    <s v="LP002798"/>
    <x v="0"/>
    <x v="0"/>
    <x v="1"/>
    <x v="0"/>
    <s v="No"/>
    <x v="403"/>
    <x v="228"/>
    <n v="162"/>
    <x v="0"/>
    <n v="1"/>
    <x v="2"/>
    <x v="1"/>
    <n v="6556"/>
    <x v="0"/>
    <n v="0.4"/>
    <n v="2.4710189139719341"/>
  </r>
  <r>
    <s v="LP002804"/>
    <x v="1"/>
    <x v="0"/>
    <x v="1"/>
    <x v="0"/>
    <s v="No"/>
    <x v="404"/>
    <x v="229"/>
    <n v="182"/>
    <x v="0"/>
    <n v="1"/>
    <x v="2"/>
    <x v="1"/>
    <n v="6486"/>
    <x v="0"/>
    <n v="0.36"/>
    <n v="2.8060437866173298"/>
  </r>
  <r>
    <s v="LP002807"/>
    <x v="0"/>
    <x v="0"/>
    <x v="2"/>
    <x v="1"/>
    <s v="No"/>
    <x v="405"/>
    <x v="230"/>
    <n v="108"/>
    <x v="0"/>
    <n v="1"/>
    <x v="2"/>
    <x v="1"/>
    <n v="3917"/>
    <x v="0"/>
    <n v="0.36"/>
    <n v="2.7572121521572632"/>
  </r>
  <r>
    <s v="LP002813"/>
    <x v="1"/>
    <x v="0"/>
    <x v="0"/>
    <x v="0"/>
    <s v="Yes"/>
    <x v="406"/>
    <x v="1"/>
    <n v="600"/>
    <x v="0"/>
    <n v="1"/>
    <x v="2"/>
    <x v="1"/>
    <n v="19484"/>
    <x v="0"/>
    <n v="0.32"/>
    <n v="3.0794498049681791"/>
  </r>
  <r>
    <s v="LP002820"/>
    <x v="0"/>
    <x v="0"/>
    <x v="1"/>
    <x v="0"/>
    <s v="No"/>
    <x v="407"/>
    <x v="100"/>
    <n v="211"/>
    <x v="0"/>
    <n v="1"/>
    <x v="0"/>
    <x v="1"/>
    <n v="7977"/>
    <x v="0"/>
    <n v="0.38"/>
    <n v="2.6451046759433368"/>
  </r>
  <r>
    <s v="LP002821"/>
    <x v="0"/>
    <x v="1"/>
    <x v="1"/>
    <x v="1"/>
    <s v="Yes"/>
    <x v="408"/>
    <x v="1"/>
    <n v="132"/>
    <x v="0"/>
    <n v="1"/>
    <x v="2"/>
    <x v="1"/>
    <n v="5800"/>
    <x v="0"/>
    <n v="0.44"/>
    <n v="2.2758620689655173"/>
  </r>
  <r>
    <s v="LP002832"/>
    <x v="0"/>
    <x v="0"/>
    <x v="2"/>
    <x v="0"/>
    <s v="No"/>
    <x v="409"/>
    <x v="1"/>
    <n v="258"/>
    <x v="0"/>
    <n v="0"/>
    <x v="1"/>
    <x v="0"/>
    <n v="8799"/>
    <x v="1"/>
    <n v="0.34"/>
    <n v="2.9321513808387314"/>
  </r>
  <r>
    <s v="LP002836"/>
    <x v="0"/>
    <x v="1"/>
    <x v="1"/>
    <x v="0"/>
    <s v="No"/>
    <x v="272"/>
    <x v="1"/>
    <n v="70"/>
    <x v="0"/>
    <n v="1"/>
    <x v="1"/>
    <x v="1"/>
    <n v="3333"/>
    <x v="0"/>
    <n v="0.48"/>
    <n v="2.1002100210021002"/>
  </r>
  <r>
    <s v="LP002837"/>
    <x v="0"/>
    <x v="0"/>
    <x v="3"/>
    <x v="0"/>
    <s v="No"/>
    <x v="375"/>
    <x v="90"/>
    <n v="123"/>
    <x v="0"/>
    <n v="0"/>
    <x v="0"/>
    <x v="0"/>
    <n v="5900"/>
    <x v="1"/>
    <n v="0.48"/>
    <n v="2.0847457627118646"/>
  </r>
  <r>
    <s v="LP002840"/>
    <x v="1"/>
    <x v="1"/>
    <x v="1"/>
    <x v="0"/>
    <s v="No"/>
    <x v="247"/>
    <x v="1"/>
    <n v="9"/>
    <x v="0"/>
    <n v="1"/>
    <x v="1"/>
    <x v="0"/>
    <n v="2378"/>
    <x v="0"/>
    <n v="2.64"/>
    <n v="0.37846930193439865"/>
  </r>
  <r>
    <s v="LP002841"/>
    <x v="0"/>
    <x v="0"/>
    <x v="1"/>
    <x v="0"/>
    <s v="No"/>
    <x v="410"/>
    <x v="231"/>
    <n v="104"/>
    <x v="0"/>
    <n v="0"/>
    <x v="1"/>
    <x v="0"/>
    <n v="5230"/>
    <x v="1"/>
    <n v="0.5"/>
    <n v="1.9885277246653918"/>
  </r>
  <r>
    <s v="LP002842"/>
    <x v="0"/>
    <x v="0"/>
    <x v="0"/>
    <x v="0"/>
    <s v="No"/>
    <x v="411"/>
    <x v="134"/>
    <n v="186"/>
    <x v="0"/>
    <n v="1"/>
    <x v="1"/>
    <x v="1"/>
    <n v="5167"/>
    <x v="0"/>
    <n v="0.28000000000000003"/>
    <n v="3.5997677569189084"/>
  </r>
  <r>
    <s v="LP002847"/>
    <x v="0"/>
    <x v="0"/>
    <x v="1"/>
    <x v="0"/>
    <s v="No"/>
    <x v="412"/>
    <x v="86"/>
    <n v="165"/>
    <x v="0"/>
    <n v="0"/>
    <x v="1"/>
    <x v="0"/>
    <n v="6567"/>
    <x v="1"/>
    <n v="0.4"/>
    <n v="2.512562814070352"/>
  </r>
  <r>
    <s v="LP002855"/>
    <x v="0"/>
    <x v="0"/>
    <x v="2"/>
    <x v="0"/>
    <s v="No"/>
    <x v="413"/>
    <x v="1"/>
    <n v="275"/>
    <x v="0"/>
    <n v="1"/>
    <x v="1"/>
    <x v="1"/>
    <n v="16666"/>
    <x v="0"/>
    <n v="0.61"/>
    <n v="1.6500660026401055"/>
  </r>
  <r>
    <s v="LP002862"/>
    <x v="0"/>
    <x v="0"/>
    <x v="2"/>
    <x v="1"/>
    <s v="No"/>
    <x v="414"/>
    <x v="165"/>
    <n v="187"/>
    <x v="5"/>
    <n v="1"/>
    <x v="2"/>
    <x v="0"/>
    <n v="7750"/>
    <x v="0"/>
    <n v="0.41"/>
    <n v="2.4129032258064518"/>
  </r>
  <r>
    <s v="LP002863"/>
    <x v="0"/>
    <x v="0"/>
    <x v="3"/>
    <x v="0"/>
    <s v="No"/>
    <x v="415"/>
    <x v="1"/>
    <n v="150"/>
    <x v="0"/>
    <n v="1"/>
    <x v="2"/>
    <x v="0"/>
    <n v="6406"/>
    <x v="0"/>
    <n v="0.43"/>
    <n v="2.3415547923821416"/>
  </r>
  <r>
    <s v="LP002868"/>
    <x v="0"/>
    <x v="0"/>
    <x v="2"/>
    <x v="0"/>
    <s v="No"/>
    <x v="362"/>
    <x v="232"/>
    <n v="108"/>
    <x v="8"/>
    <n v="1"/>
    <x v="1"/>
    <x v="1"/>
    <n v="3620"/>
    <x v="0"/>
    <n v="0.34"/>
    <n v="2.9834254143646408"/>
  </r>
  <r>
    <s v="LP002872"/>
    <x v="2"/>
    <x v="0"/>
    <x v="1"/>
    <x v="0"/>
    <s v="No"/>
    <x v="416"/>
    <x v="233"/>
    <n v="136"/>
    <x v="0"/>
    <n v="0"/>
    <x v="2"/>
    <x v="0"/>
    <n v="5297"/>
    <x v="1"/>
    <n v="0.39"/>
    <n v="2.567491032659996"/>
  </r>
  <r>
    <s v="LP002874"/>
    <x v="0"/>
    <x v="1"/>
    <x v="1"/>
    <x v="0"/>
    <s v="No"/>
    <x v="417"/>
    <x v="234"/>
    <n v="110"/>
    <x v="0"/>
    <n v="1"/>
    <x v="1"/>
    <x v="1"/>
    <n v="5968"/>
    <x v="0"/>
    <n v="0.54"/>
    <n v="1.8431635388739944"/>
  </r>
  <r>
    <s v="LP002877"/>
    <x v="0"/>
    <x v="0"/>
    <x v="0"/>
    <x v="0"/>
    <s v="No"/>
    <x v="418"/>
    <x v="235"/>
    <n v="107"/>
    <x v="0"/>
    <n v="1"/>
    <x v="0"/>
    <x v="1"/>
    <n v="4014"/>
    <x v="0"/>
    <n v="0.38"/>
    <n v="2.6656701544593919"/>
  </r>
  <r>
    <s v="LP002888"/>
    <x v="0"/>
    <x v="1"/>
    <x v="1"/>
    <x v="0"/>
    <s v="Not Mentioned"/>
    <x v="419"/>
    <x v="189"/>
    <n v="161"/>
    <x v="0"/>
    <n v="1"/>
    <x v="1"/>
    <x v="1"/>
    <n v="6099"/>
    <x v="0"/>
    <n v="0.38"/>
    <n v="2.6397770126250206"/>
  </r>
  <r>
    <s v="LP002892"/>
    <x v="0"/>
    <x v="0"/>
    <x v="2"/>
    <x v="0"/>
    <s v="No"/>
    <x v="420"/>
    <x v="1"/>
    <n v="205"/>
    <x v="0"/>
    <n v="1"/>
    <x v="2"/>
    <x v="1"/>
    <n v="6540"/>
    <x v="0"/>
    <n v="0.32"/>
    <n v="3.1345565749235469"/>
  </r>
  <r>
    <s v="LP002893"/>
    <x v="0"/>
    <x v="1"/>
    <x v="1"/>
    <x v="0"/>
    <s v="No"/>
    <x v="421"/>
    <x v="236"/>
    <n v="90"/>
    <x v="0"/>
    <n v="1"/>
    <x v="1"/>
    <x v="0"/>
    <n v="35673"/>
    <x v="0"/>
    <n v="3.96"/>
    <n v="0.25229164914641322"/>
  </r>
  <r>
    <s v="LP002894"/>
    <x v="1"/>
    <x v="0"/>
    <x v="1"/>
    <x v="0"/>
    <s v="No"/>
    <x v="410"/>
    <x v="1"/>
    <n v="36"/>
    <x v="0"/>
    <n v="1"/>
    <x v="2"/>
    <x v="1"/>
    <n v="3166"/>
    <x v="0"/>
    <n v="0.88"/>
    <n v="1.137081490840177"/>
  </r>
  <r>
    <s v="LP002911"/>
    <x v="0"/>
    <x v="0"/>
    <x v="0"/>
    <x v="0"/>
    <s v="No"/>
    <x v="422"/>
    <x v="15"/>
    <n v="146"/>
    <x v="0"/>
    <n v="0"/>
    <x v="0"/>
    <x v="0"/>
    <n v="4704"/>
    <x v="1"/>
    <n v="0.32"/>
    <n v="3.1037414965986394"/>
  </r>
  <r>
    <s v="LP002912"/>
    <x v="0"/>
    <x v="0"/>
    <x v="0"/>
    <x v="0"/>
    <s v="No"/>
    <x v="423"/>
    <x v="20"/>
    <n v="172"/>
    <x v="8"/>
    <n v="1"/>
    <x v="0"/>
    <x v="0"/>
    <n v="7283"/>
    <x v="0"/>
    <n v="0.42"/>
    <n v="2.3616641493889881"/>
  </r>
  <r>
    <s v="LP002916"/>
    <x v="0"/>
    <x v="0"/>
    <x v="1"/>
    <x v="0"/>
    <s v="No"/>
    <x v="424"/>
    <x v="237"/>
    <n v="104"/>
    <x v="0"/>
    <n v="1"/>
    <x v="1"/>
    <x v="1"/>
    <n v="3819"/>
    <x v="0"/>
    <n v="0.37"/>
    <n v="2.7232259753862267"/>
  </r>
  <r>
    <s v="LP002917"/>
    <x v="1"/>
    <x v="1"/>
    <x v="1"/>
    <x v="1"/>
    <s v="No"/>
    <x v="425"/>
    <x v="1"/>
    <n v="70"/>
    <x v="0"/>
    <n v="1"/>
    <x v="2"/>
    <x v="1"/>
    <n v="2165"/>
    <x v="0"/>
    <n v="0.31"/>
    <n v="3.2332563510392611"/>
  </r>
  <r>
    <s v="LP002925"/>
    <x v="2"/>
    <x v="1"/>
    <x v="1"/>
    <x v="0"/>
    <s v="No"/>
    <x v="260"/>
    <x v="1"/>
    <n v="94"/>
    <x v="0"/>
    <n v="1"/>
    <x v="2"/>
    <x v="1"/>
    <n v="4750"/>
    <x v="0"/>
    <n v="0.51"/>
    <n v="1.9789473684210528"/>
  </r>
  <r>
    <s v="LP002926"/>
    <x v="0"/>
    <x v="0"/>
    <x v="2"/>
    <x v="0"/>
    <s v="Yes"/>
    <x v="426"/>
    <x v="1"/>
    <n v="106"/>
    <x v="0"/>
    <n v="0"/>
    <x v="2"/>
    <x v="0"/>
    <n v="2726"/>
    <x v="1"/>
    <n v="0.26"/>
    <n v="3.8884812912692595"/>
  </r>
  <r>
    <s v="LP002928"/>
    <x v="0"/>
    <x v="0"/>
    <x v="1"/>
    <x v="0"/>
    <s v="No"/>
    <x v="1"/>
    <x v="238"/>
    <n v="56"/>
    <x v="2"/>
    <n v="1"/>
    <x v="2"/>
    <x v="1"/>
    <n v="6416"/>
    <x v="0"/>
    <n v="1.1499999999999999"/>
    <n v="0.87281795511221938"/>
  </r>
  <r>
    <s v="LP002931"/>
    <x v="0"/>
    <x v="0"/>
    <x v="2"/>
    <x v="0"/>
    <s v="Yes"/>
    <x v="3"/>
    <x v="1"/>
    <n v="205"/>
    <x v="6"/>
    <n v="1"/>
    <x v="2"/>
    <x v="0"/>
    <n v="6000"/>
    <x v="0"/>
    <n v="0.28999999999999998"/>
    <n v="3.4166666666666665"/>
  </r>
  <r>
    <s v="LP002933"/>
    <x v="2"/>
    <x v="1"/>
    <x v="3"/>
    <x v="0"/>
    <s v="Yes"/>
    <x v="427"/>
    <x v="1"/>
    <n v="292"/>
    <x v="0"/>
    <n v="1"/>
    <x v="2"/>
    <x v="1"/>
    <n v="9357"/>
    <x v="0"/>
    <n v="0.32"/>
    <n v="3.120658330661537"/>
  </r>
  <r>
    <s v="LP002936"/>
    <x v="0"/>
    <x v="0"/>
    <x v="1"/>
    <x v="0"/>
    <s v="No"/>
    <x v="328"/>
    <x v="239"/>
    <n v="142"/>
    <x v="2"/>
    <n v="1"/>
    <x v="0"/>
    <x v="1"/>
    <n v="7159"/>
    <x v="0"/>
    <n v="0.5"/>
    <n v="1.9835172510127113"/>
  </r>
  <r>
    <s v="LP002938"/>
    <x v="0"/>
    <x v="0"/>
    <x v="1"/>
    <x v="0"/>
    <s v="Yes"/>
    <x v="428"/>
    <x v="1"/>
    <n v="260"/>
    <x v="0"/>
    <n v="1"/>
    <x v="1"/>
    <x v="1"/>
    <n v="16120"/>
    <x v="0"/>
    <n v="0.62"/>
    <n v="1.6129032258064515"/>
  </r>
  <r>
    <s v="LP002940"/>
    <x v="0"/>
    <x v="1"/>
    <x v="1"/>
    <x v="1"/>
    <s v="No"/>
    <x v="429"/>
    <x v="1"/>
    <n v="110"/>
    <x v="0"/>
    <n v="1"/>
    <x v="0"/>
    <x v="1"/>
    <n v="3833"/>
    <x v="0"/>
    <n v="0.35"/>
    <n v="2.8698147665014351"/>
  </r>
  <r>
    <s v="LP002941"/>
    <x v="0"/>
    <x v="0"/>
    <x v="2"/>
    <x v="1"/>
    <s v="Yes"/>
    <x v="430"/>
    <x v="240"/>
    <n v="187"/>
    <x v="0"/>
    <n v="1"/>
    <x v="0"/>
    <x v="0"/>
    <n v="7383"/>
    <x v="0"/>
    <n v="0.39"/>
    <n v="2.5328457266693758"/>
  </r>
  <r>
    <s v="LP002943"/>
    <x v="0"/>
    <x v="1"/>
    <x v="1"/>
    <x v="0"/>
    <s v="No"/>
    <x v="431"/>
    <x v="1"/>
    <n v="88"/>
    <x v="0"/>
    <n v="0"/>
    <x v="2"/>
    <x v="0"/>
    <n v="2987"/>
    <x v="1"/>
    <n v="0.34"/>
    <n v="2.9460997656511547"/>
  </r>
  <r>
    <s v="LP002945"/>
    <x v="0"/>
    <x v="0"/>
    <x v="1"/>
    <x v="0"/>
    <s v="Yes"/>
    <x v="432"/>
    <x v="1"/>
    <n v="180"/>
    <x v="0"/>
    <n v="1"/>
    <x v="0"/>
    <x v="1"/>
    <n v="9963"/>
    <x v="0"/>
    <n v="0.55000000000000004"/>
    <n v="1.8066847335140017"/>
  </r>
  <r>
    <s v="LP002948"/>
    <x v="0"/>
    <x v="0"/>
    <x v="2"/>
    <x v="0"/>
    <s v="No"/>
    <x v="433"/>
    <x v="1"/>
    <n v="192"/>
    <x v="0"/>
    <n v="1"/>
    <x v="1"/>
    <x v="1"/>
    <n v="5780"/>
    <x v="0"/>
    <n v="0.3"/>
    <n v="3.3217993079584778"/>
  </r>
  <r>
    <s v="LP002950"/>
    <x v="0"/>
    <x v="0"/>
    <x v="1"/>
    <x v="1"/>
    <s v="Not Mentioned"/>
    <x v="434"/>
    <x v="241"/>
    <n v="155"/>
    <x v="0"/>
    <n v="1"/>
    <x v="0"/>
    <x v="1"/>
    <n v="5686"/>
    <x v="0"/>
    <n v="0.37"/>
    <n v="2.725993668659866"/>
  </r>
  <r>
    <s v="LP002953"/>
    <x v="0"/>
    <x v="0"/>
    <x v="3"/>
    <x v="0"/>
    <s v="No"/>
    <x v="159"/>
    <x v="1"/>
    <n v="128"/>
    <x v="0"/>
    <n v="1"/>
    <x v="1"/>
    <x v="1"/>
    <n v="5703"/>
    <x v="0"/>
    <n v="0.45"/>
    <n v="2.2444327546905138"/>
  </r>
  <r>
    <s v="LP002958"/>
    <x v="0"/>
    <x v="1"/>
    <x v="1"/>
    <x v="0"/>
    <s v="No"/>
    <x v="435"/>
    <x v="242"/>
    <n v="172"/>
    <x v="0"/>
    <n v="1"/>
    <x v="0"/>
    <x v="1"/>
    <n v="7977"/>
    <x v="0"/>
    <n v="0.46"/>
    <n v="2.1561990723329574"/>
  </r>
  <r>
    <s v="LP002959"/>
    <x v="1"/>
    <x v="0"/>
    <x v="0"/>
    <x v="0"/>
    <s v="No"/>
    <x v="143"/>
    <x v="1"/>
    <n v="496"/>
    <x v="0"/>
    <n v="1"/>
    <x v="2"/>
    <x v="1"/>
    <n v="12000"/>
    <x v="0"/>
    <n v="0.24"/>
    <n v="4.1333333333333329"/>
  </r>
  <r>
    <s v="LP002961"/>
    <x v="0"/>
    <x v="0"/>
    <x v="0"/>
    <x v="0"/>
    <s v="No"/>
    <x v="375"/>
    <x v="90"/>
    <n v="173"/>
    <x v="0"/>
    <n v="1"/>
    <x v="2"/>
    <x v="1"/>
    <n v="5900"/>
    <x v="0"/>
    <n v="0.34"/>
    <n v="2.9322033898305082"/>
  </r>
  <r>
    <s v="LP002964"/>
    <x v="0"/>
    <x v="0"/>
    <x v="2"/>
    <x v="1"/>
    <s v="No"/>
    <x v="436"/>
    <x v="243"/>
    <n v="157"/>
    <x v="0"/>
    <n v="1"/>
    <x v="0"/>
    <x v="1"/>
    <n v="5398"/>
    <x v="0"/>
    <n v="0.34"/>
    <n v="2.9084846239347906"/>
  </r>
  <r>
    <s v="LP002974"/>
    <x v="0"/>
    <x v="0"/>
    <x v="1"/>
    <x v="0"/>
    <s v="No"/>
    <x v="437"/>
    <x v="222"/>
    <n v="108"/>
    <x v="0"/>
    <n v="1"/>
    <x v="0"/>
    <x v="1"/>
    <n v="5182"/>
    <x v="0"/>
    <n v="0.48"/>
    <n v="2.0841373986877652"/>
  </r>
  <r>
    <s v="LP002978"/>
    <x v="1"/>
    <x v="1"/>
    <x v="1"/>
    <x v="0"/>
    <s v="No"/>
    <x v="438"/>
    <x v="1"/>
    <n v="71"/>
    <x v="0"/>
    <n v="1"/>
    <x v="0"/>
    <x v="1"/>
    <n v="2900"/>
    <x v="0"/>
    <n v="0.41"/>
    <n v="2.4482758620689657"/>
  </r>
  <r>
    <s v="LP002979"/>
    <x v="0"/>
    <x v="0"/>
    <x v="3"/>
    <x v="0"/>
    <s v="No"/>
    <x v="439"/>
    <x v="1"/>
    <n v="40"/>
    <x v="2"/>
    <n v="1"/>
    <x v="0"/>
    <x v="1"/>
    <n v="4106"/>
    <x v="0"/>
    <n v="1.03"/>
    <n v="0.97418412079883099"/>
  </r>
  <r>
    <s v="LP002983"/>
    <x v="0"/>
    <x v="0"/>
    <x v="0"/>
    <x v="0"/>
    <s v="No"/>
    <x v="440"/>
    <x v="244"/>
    <n v="253"/>
    <x v="0"/>
    <n v="1"/>
    <x v="1"/>
    <x v="1"/>
    <n v="8312"/>
    <x v="0"/>
    <n v="0.33"/>
    <n v="3.0437921077959578"/>
  </r>
  <r>
    <s v="LP002984"/>
    <x v="0"/>
    <x v="0"/>
    <x v="2"/>
    <x v="0"/>
    <s v="No"/>
    <x v="441"/>
    <x v="1"/>
    <n v="187"/>
    <x v="0"/>
    <n v="1"/>
    <x v="1"/>
    <x v="1"/>
    <n v="7583"/>
    <x v="0"/>
    <n v="0.41"/>
    <n v="2.4660424634049849"/>
  </r>
  <r>
    <s v="LP002990"/>
    <x v="1"/>
    <x v="1"/>
    <x v="1"/>
    <x v="0"/>
    <s v="Yes"/>
    <x v="0"/>
    <x v="1"/>
    <n v="133"/>
    <x v="0"/>
    <n v="0"/>
    <x v="2"/>
    <x v="0"/>
    <n v="4583"/>
    <x v="1"/>
    <n v="0.34"/>
    <n v="2.90202923849007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048F4C-0B03-45D2-B762-D0504DF9DC5A}"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7:D50" firstHeaderRow="0" firstDataRow="1" firstDataCol="1"/>
  <pivotFields count="17">
    <pivotField showAll="0"/>
    <pivotField showAll="0">
      <items count="4">
        <item x="1"/>
        <item x="0"/>
        <item x="2"/>
        <item t="default"/>
      </items>
    </pivotField>
    <pivotField showAll="0">
      <items count="4">
        <item x="1"/>
        <item x="2"/>
        <item x="0"/>
        <item t="default"/>
      </items>
    </pivotField>
    <pivotField showAll="0"/>
    <pivotField showAll="0">
      <items count="3">
        <item x="0"/>
        <item x="1"/>
        <item t="default"/>
      </items>
    </pivotField>
    <pivotField showAll="0"/>
    <pivotField showAll="0"/>
    <pivotField showAll="0"/>
    <pivotField dataField="1" showAll="0"/>
    <pivotField showAll="0"/>
    <pivotField showAll="0"/>
    <pivotField showAll="0"/>
    <pivotField showAll="0"/>
    <pivotField dataField="1" showAll="0"/>
    <pivotField axis="axisRow" showAll="0">
      <items count="3">
        <item x="1"/>
        <item x="0"/>
        <item t="default"/>
      </items>
    </pivotField>
    <pivotField dataField="1" showAll="0"/>
    <pivotField showAll="0"/>
  </pivotFields>
  <rowFields count="1">
    <field x="14"/>
  </rowFields>
  <rowItems count="3">
    <i>
      <x/>
    </i>
    <i>
      <x v="1"/>
    </i>
    <i t="grand">
      <x/>
    </i>
  </rowItems>
  <colFields count="1">
    <field x="-2"/>
  </colFields>
  <colItems count="3">
    <i>
      <x/>
    </i>
    <i i="1">
      <x v="1"/>
    </i>
    <i i="2">
      <x v="2"/>
    </i>
  </colItems>
  <dataFields count="3">
    <dataField name="Avg Income" fld="13" subtotal="average" baseField="14" baseItem="0" numFmtId="164"/>
    <dataField name="Average Loan" fld="8" subtotal="average" baseField="14" baseItem="0" numFmtId="164"/>
    <dataField name="LoanRatio" fld="15" subtotal="average" baseField="14" baseItem="0" numFmtId="10"/>
  </dataFields>
  <formats count="6">
    <format dxfId="135">
      <pivotArea type="all" dataOnly="0" outline="0" fieldPosition="0"/>
    </format>
    <format dxfId="134">
      <pivotArea outline="0" collapsedLevelsAreSubtotals="1" fieldPosition="0"/>
    </format>
    <format dxfId="133">
      <pivotArea field="14" type="button" dataOnly="0" labelOnly="1" outline="0" axis="axisRow" fieldPosition="0"/>
    </format>
    <format dxfId="132">
      <pivotArea dataOnly="0" labelOnly="1" fieldPosition="0">
        <references count="1">
          <reference field="14" count="0"/>
        </references>
      </pivotArea>
    </format>
    <format dxfId="131">
      <pivotArea dataOnly="0" labelOnly="1" grandRow="1" outline="0" fieldPosition="0"/>
    </format>
    <format dxfId="130">
      <pivotArea dataOnly="0" labelOnly="1" outline="0" fieldPosition="0">
        <references count="1">
          <reference field="4294967294" count="3">
            <x v="0"/>
            <x v="1"/>
            <x v="2"/>
          </reference>
        </references>
      </pivotArea>
    </format>
  </formats>
  <chartFormats count="1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5">
      <pivotArea type="data" outline="0" fieldPosition="0">
        <references count="2">
          <reference field="4294967294" count="1" selected="0">
            <x v="1"/>
          </reference>
          <reference field="14" count="1" selected="0">
            <x v="0"/>
          </reference>
        </references>
      </pivotArea>
    </chartFormat>
    <chartFormat chart="2" format="6">
      <pivotArea type="data" outline="0" fieldPosition="0">
        <references count="2">
          <reference field="4294967294" count="1" selected="0">
            <x v="1"/>
          </reference>
          <reference field="1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pivotArea type="data" outline="0" fieldPosition="0">
        <references count="2">
          <reference field="4294967294" count="1" selected="0">
            <x v="2"/>
          </reference>
          <reference field="14" count="1" selected="0">
            <x v="1"/>
          </reference>
        </references>
      </pivotArea>
    </chartFormat>
    <chartFormat chart="2" format="10">
      <pivotArea type="data" outline="0" fieldPosition="0">
        <references count="2">
          <reference field="4294967294" count="1" selected="0">
            <x v="2"/>
          </reference>
          <reference field="14" count="1" selected="0">
            <x v="0"/>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14" count="1" selected="0">
            <x v="0"/>
          </reference>
        </references>
      </pivotArea>
    </chartFormat>
    <chartFormat chart="9" format="22">
      <pivotArea type="data" outline="0" fieldPosition="0">
        <references count="2">
          <reference field="4294967294" count="1" selected="0">
            <x v="0"/>
          </reference>
          <reference field="14" count="1" selected="0">
            <x v="1"/>
          </reference>
        </references>
      </pivotArea>
    </chartFormat>
    <chartFormat chart="9" format="23" series="1">
      <pivotArea type="data" outline="0" fieldPosition="0">
        <references count="1">
          <reference field="4294967294" count="1" selected="0">
            <x v="1"/>
          </reference>
        </references>
      </pivotArea>
    </chartFormat>
    <chartFormat chart="9" format="24">
      <pivotArea type="data" outline="0" fieldPosition="0">
        <references count="2">
          <reference field="4294967294" count="1" selected="0">
            <x v="1"/>
          </reference>
          <reference field="14" count="1" selected="0">
            <x v="0"/>
          </reference>
        </references>
      </pivotArea>
    </chartFormat>
    <chartFormat chart="9" format="25">
      <pivotArea type="data" outline="0" fieldPosition="0">
        <references count="2">
          <reference field="4294967294" count="1" selected="0">
            <x v="1"/>
          </reference>
          <reference field="14" count="1" selected="0">
            <x v="1"/>
          </reference>
        </references>
      </pivotArea>
    </chartFormat>
    <chartFormat chart="9" format="26" series="1">
      <pivotArea type="data" outline="0" fieldPosition="0">
        <references count="1">
          <reference field="4294967294" count="1" selected="0">
            <x v="2"/>
          </reference>
        </references>
      </pivotArea>
    </chartFormat>
    <chartFormat chart="9" format="27">
      <pivotArea type="data" outline="0" fieldPosition="0">
        <references count="2">
          <reference field="4294967294" count="1" selected="0">
            <x v="2"/>
          </reference>
          <reference field="14" count="1" selected="0">
            <x v="0"/>
          </reference>
        </references>
      </pivotArea>
    </chartFormat>
    <chartFormat chart="9" format="28">
      <pivotArea type="data" outline="0" fieldPosition="0">
        <references count="2">
          <reference field="4294967294" count="1" selected="0">
            <x v="2"/>
          </reference>
          <reference field="14" count="1" selected="0">
            <x v="1"/>
          </reference>
        </references>
      </pivotArea>
    </chartFormat>
    <chartFormat chart="2" format="11">
      <pivotArea type="data" outline="0" fieldPosition="0">
        <references count="2">
          <reference field="4294967294" count="1" selected="0">
            <x v="0"/>
          </reference>
          <reference field="14" count="1" selected="0">
            <x v="0"/>
          </reference>
        </references>
      </pivotArea>
    </chartFormat>
    <chartFormat chart="2" format="1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EFB05B-943C-46DA-8342-EC0D0AF5D10F}"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ender" colHeaderCaption="Marritial Status">
  <location ref="A29:E34" firstHeaderRow="1" firstDataRow="2" firstDataCol="1"/>
  <pivotFields count="17">
    <pivotField showAll="0"/>
    <pivotField axis="axisRow" showAll="0">
      <items count="4">
        <item x="1"/>
        <item x="0"/>
        <item x="2"/>
        <item t="default"/>
      </items>
    </pivotField>
    <pivotField axis="axisCol" showAll="0">
      <items count="4">
        <item x="1"/>
        <item x="2"/>
        <item x="0"/>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s>
  <rowFields count="1">
    <field x="1"/>
  </rowFields>
  <rowItems count="4">
    <i>
      <x/>
    </i>
    <i>
      <x v="1"/>
    </i>
    <i>
      <x v="2"/>
    </i>
    <i t="grand">
      <x/>
    </i>
  </rowItems>
  <colFields count="1">
    <field x="2"/>
  </colFields>
  <colItems count="4">
    <i>
      <x/>
    </i>
    <i>
      <x v="1"/>
    </i>
    <i>
      <x v="2"/>
    </i>
    <i t="grand">
      <x/>
    </i>
  </colItems>
  <dataFields count="1">
    <dataField name="Count of Loan_Status (Y/N)" fld="12" subtotal="count" showDataAs="percentOfRow" baseField="1" baseItem="0" numFmtId="10"/>
  </dataFields>
  <formats count="10">
    <format dxfId="145">
      <pivotArea type="all" dataOnly="0" outline="0" fieldPosition="0"/>
    </format>
    <format dxfId="144">
      <pivotArea outline="0" collapsedLevelsAreSubtotals="1" fieldPosition="0"/>
    </format>
    <format dxfId="143">
      <pivotArea type="origin" dataOnly="0" labelOnly="1" outline="0" fieldPosition="0"/>
    </format>
    <format dxfId="142">
      <pivotArea field="2" type="button" dataOnly="0" labelOnly="1" outline="0" axis="axisCol" fieldPosition="0"/>
    </format>
    <format dxfId="141">
      <pivotArea type="topRight" dataOnly="0" labelOnly="1" outline="0" fieldPosition="0"/>
    </format>
    <format dxfId="140">
      <pivotArea field="1" type="button" dataOnly="0" labelOnly="1" outline="0" axis="axisRow" fieldPosition="0"/>
    </format>
    <format dxfId="139">
      <pivotArea dataOnly="0" labelOnly="1" fieldPosition="0">
        <references count="1">
          <reference field="1" count="0"/>
        </references>
      </pivotArea>
    </format>
    <format dxfId="138">
      <pivotArea dataOnly="0" labelOnly="1" grandRow="1" outline="0" fieldPosition="0"/>
    </format>
    <format dxfId="137">
      <pivotArea dataOnly="0" labelOnly="1" fieldPosition="0">
        <references count="1">
          <reference field="2" count="0"/>
        </references>
      </pivotArea>
    </format>
    <format dxfId="136">
      <pivotArea dataOnly="0" labelOnly="1" grandCol="1" outline="0" fieldPosition="0"/>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4" format="6" series="1">
      <pivotArea type="data" outline="0" fieldPosition="0">
        <references count="2">
          <reference field="4294967294" count="1" selected="0">
            <x v="0"/>
          </reference>
          <reference field="2"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FD3221-18E2-4785-805E-016C0C404041}"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3:B73" firstHeaderRow="1" firstDataRow="1" firstDataCol="1"/>
  <pivotFields count="17">
    <pivotField showAll="0"/>
    <pivotField showAll="0">
      <items count="4">
        <item x="1"/>
        <item x="0"/>
        <item x="2"/>
        <item t="default"/>
      </items>
    </pivotField>
    <pivotField showAll="0">
      <items count="4">
        <item x="1"/>
        <item x="2"/>
        <item x="0"/>
        <item t="default"/>
      </items>
    </pivotField>
    <pivotField showAll="0"/>
    <pivotField showAll="0">
      <items count="3">
        <item x="0"/>
        <item x="1"/>
        <item t="default"/>
      </items>
    </pivotField>
    <pivotField showAll="0"/>
    <pivotField showAll="0"/>
    <pivotField showAll="0"/>
    <pivotField showAll="0"/>
    <pivotField axis="axisRow" dataField="1" showAll="0">
      <items count="10">
        <item x="7"/>
        <item x="3"/>
        <item x="8"/>
        <item x="1"/>
        <item x="2"/>
        <item x="6"/>
        <item x="4"/>
        <item x="0"/>
        <item x="5"/>
        <item t="default"/>
      </items>
    </pivotField>
    <pivotField showAll="0"/>
    <pivotField showAll="0"/>
    <pivotField showAll="0"/>
    <pivotField showAll="0"/>
    <pivotField showAll="0">
      <items count="3">
        <item x="1"/>
        <item x="0"/>
        <item t="default"/>
      </items>
    </pivotField>
    <pivotField showAll="0"/>
    <pivotField showAll="0"/>
  </pivotFields>
  <rowFields count="1">
    <field x="9"/>
  </rowFields>
  <rowItems count="10">
    <i>
      <x/>
    </i>
    <i>
      <x v="1"/>
    </i>
    <i>
      <x v="2"/>
    </i>
    <i>
      <x v="3"/>
    </i>
    <i>
      <x v="4"/>
    </i>
    <i>
      <x v="5"/>
    </i>
    <i>
      <x v="6"/>
    </i>
    <i>
      <x v="7"/>
    </i>
    <i>
      <x v="8"/>
    </i>
    <i t="grand">
      <x/>
    </i>
  </rowItems>
  <colItems count="1">
    <i/>
  </colItems>
  <dataFields count="1">
    <dataField name="Count of Loan_Amount_Term" fld="9" subtotal="count" baseField="9" baseItem="5"/>
  </dataFields>
  <formats count="6">
    <format dxfId="151">
      <pivotArea type="all" dataOnly="0" outline="0" fieldPosition="0"/>
    </format>
    <format dxfId="150">
      <pivotArea outline="0" collapsedLevelsAreSubtotals="1" fieldPosition="0"/>
    </format>
    <format dxfId="149">
      <pivotArea field="9" type="button" dataOnly="0" labelOnly="1" outline="0" axis="axisRow" fieldPosition="0"/>
    </format>
    <format dxfId="148">
      <pivotArea dataOnly="0" labelOnly="1" fieldPosition="0">
        <references count="1">
          <reference field="9" count="0"/>
        </references>
      </pivotArea>
    </format>
    <format dxfId="147">
      <pivotArea dataOnly="0" labelOnly="1" grandRow="1" outline="0" fieldPosition="0"/>
    </format>
    <format dxfId="14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942D15-1C88-4D24-AF14-A87A874B3C5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18" firstHeaderRow="1" firstDataRow="1" firstDataCol="1"/>
  <pivotFields count="17">
    <pivotField showAll="0"/>
    <pivotField showAll="0">
      <items count="4">
        <item x="1"/>
        <item x="0"/>
        <item x="2"/>
        <item t="default"/>
      </items>
    </pivotField>
    <pivotField showAll="0">
      <items count="4">
        <item x="1"/>
        <item x="2"/>
        <item x="0"/>
        <item t="default"/>
      </items>
    </pivotField>
    <pivotField showAll="0"/>
    <pivotField showAll="0">
      <items count="3">
        <item x="0"/>
        <item x="1"/>
        <item t="default"/>
      </items>
    </pivotField>
    <pivotField showAll="0"/>
    <pivotField showAll="0"/>
    <pivotField showAll="0"/>
    <pivotField dataField="1" showAll="0"/>
    <pivotField showAll="0"/>
    <pivotField showAll="0"/>
    <pivotField axis="axisRow" showAll="0">
      <items count="4">
        <item x="0"/>
        <item x="2"/>
        <item x="1"/>
        <item t="default"/>
      </items>
    </pivotField>
    <pivotField showAll="0"/>
    <pivotField showAll="0"/>
    <pivotField showAll="0">
      <items count="3">
        <item x="1"/>
        <item x="0"/>
        <item t="default"/>
      </items>
    </pivotField>
    <pivotField showAll="0"/>
    <pivotField showAll="0"/>
  </pivotFields>
  <rowFields count="1">
    <field x="11"/>
  </rowFields>
  <rowItems count="4">
    <i>
      <x/>
    </i>
    <i>
      <x v="1"/>
    </i>
    <i>
      <x v="2"/>
    </i>
    <i t="grand">
      <x/>
    </i>
  </rowItems>
  <colItems count="1">
    <i/>
  </colItems>
  <dataFields count="1">
    <dataField name="LoanAmount Average" fld="8" subtotal="average" baseField="11" baseItem="0" numFmtId="165"/>
  </dataFields>
  <formats count="6">
    <format dxfId="157">
      <pivotArea type="all" dataOnly="0" outline="0" fieldPosition="0"/>
    </format>
    <format dxfId="156">
      <pivotArea outline="0" collapsedLevelsAreSubtotals="1" fieldPosition="0"/>
    </format>
    <format dxfId="155">
      <pivotArea field="11" type="button" dataOnly="0" labelOnly="1" outline="0" axis="axisRow" fieldPosition="0"/>
    </format>
    <format dxfId="154">
      <pivotArea dataOnly="0" labelOnly="1" fieldPosition="0">
        <references count="1">
          <reference field="11" count="0"/>
        </references>
      </pivotArea>
    </format>
    <format dxfId="153">
      <pivotArea dataOnly="0" labelOnly="1" grandRow="1" outline="0" fieldPosition="0"/>
    </format>
    <format dxfId="15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D8A507-0CBE-481B-A703-B0386FFE711D}"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N3:O7" firstHeaderRow="1" firstDataRow="1" firstDataCol="1"/>
  <pivotFields count="17">
    <pivotField showAll="0"/>
    <pivotField axis="axisRow" showAll="0">
      <items count="4">
        <item x="1"/>
        <item x="0"/>
        <item x="2"/>
        <item t="default"/>
      </items>
    </pivotField>
    <pivotField showAll="0">
      <items count="4">
        <item x="1"/>
        <item x="2"/>
        <item x="0"/>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showAll="0"/>
    <pivotField showAll="0"/>
  </pivotFields>
  <rowFields count="1">
    <field x="1"/>
  </rowFields>
  <rowItems count="4">
    <i>
      <x/>
    </i>
    <i>
      <x v="1"/>
    </i>
    <i>
      <x v="2"/>
    </i>
    <i t="grand">
      <x/>
    </i>
  </rowItems>
  <colItems count="1">
    <i/>
  </colItems>
  <dataFields count="1">
    <dataField name="Sum of Total Income" fld="13" baseField="0" baseItem="0" numFmtId="166"/>
  </dataFields>
  <formats count="7">
    <format dxfId="0">
      <pivotArea type="all" dataOnly="0" outline="0" fieldPosition="0"/>
    </format>
    <format dxfId="1">
      <pivotArea outline="0" collapsedLevelsAreSubtotals="1" fieldPosition="0"/>
    </format>
    <format dxfId="2">
      <pivotArea field="1" type="button" dataOnly="0" labelOnly="1" outline="0" axis="axisRow" fieldPosition="0"/>
    </format>
    <format dxfId="3">
      <pivotArea dataOnly="0" labelOnly="1" fieldPosition="0">
        <references count="1">
          <reference field="1" count="0"/>
        </references>
      </pivotArea>
    </format>
    <format dxfId="4">
      <pivotArea dataOnly="0" labelOnly="1" grandRow="1" outline="0" fieldPosition="0"/>
    </format>
    <format dxfId="5">
      <pivotArea dataOnly="0" labelOnly="1" outline="0" axis="axisValues" fieldPosition="0"/>
    </format>
    <format dxfId="6">
      <pivotArea outline="0" fieldPosition="0">
        <references count="1">
          <reference field="4294967294" count="1">
            <x v="0"/>
          </reference>
        </references>
      </pivotArea>
    </format>
  </formats>
  <chartFormats count="5">
    <chartFormat chart="1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1" count="1" selected="0">
            <x v="1"/>
          </reference>
        </references>
      </pivotArea>
    </chartFormat>
    <chartFormat chart="21" format="4">
      <pivotArea type="data" outline="0" fieldPosition="0">
        <references count="2">
          <reference field="4294967294" count="1" selected="0">
            <x v="0"/>
          </reference>
          <reference field="1" count="1" selected="0">
            <x v="2"/>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87B7FE-A4A5-4003-AD2C-B7BAFFAE734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6" firstHeaderRow="0" firstDataRow="1" firstDataCol="1"/>
  <pivotFields count="17">
    <pivotField showAll="0"/>
    <pivotField showAll="0">
      <items count="4">
        <item x="1"/>
        <item x="0"/>
        <item x="2"/>
        <item t="default"/>
      </items>
    </pivotField>
    <pivotField showAll="0">
      <items count="4">
        <item x="1"/>
        <item x="2"/>
        <item x="0"/>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s>
  <rowFields count="1">
    <field x="4"/>
  </rowFields>
  <rowItems count="3">
    <i>
      <x/>
    </i>
    <i>
      <x v="1"/>
    </i>
    <i t="grand">
      <x/>
    </i>
  </rowItems>
  <colFields count="1">
    <field x="-2"/>
  </colFields>
  <colItems count="2">
    <i>
      <x/>
    </i>
    <i i="1">
      <x v="1"/>
    </i>
  </colItems>
  <dataFields count="2">
    <dataField name="Count of Loan_Status (Y/N)" fld="12" subtotal="count" baseField="4" baseItem="0"/>
    <dataField name="Loan Approval %" fld="12" subtotal="count" showDataAs="percentOfCol" baseField="4" baseItem="1" numFmtId="10"/>
  </dataFields>
  <formats count="6">
    <format dxfId="163">
      <pivotArea type="all" dataOnly="0" outline="0" fieldPosition="0"/>
    </format>
    <format dxfId="162">
      <pivotArea outline="0" collapsedLevelsAreSubtotals="1" fieldPosition="0"/>
    </format>
    <format dxfId="161">
      <pivotArea field="4" type="button" dataOnly="0" labelOnly="1" outline="0" axis="axisRow" fieldPosition="0"/>
    </format>
    <format dxfId="160">
      <pivotArea dataOnly="0" labelOnly="1" fieldPosition="0">
        <references count="1">
          <reference field="4" count="0"/>
        </references>
      </pivotArea>
    </format>
    <format dxfId="159">
      <pivotArea dataOnly="0" labelOnly="1" grandRow="1" outline="0" fieldPosition="0"/>
    </format>
    <format dxfId="158">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B97D8B-292F-47A5-B315-65CAEBFD7D39}"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19:E20" firstHeaderRow="1" firstDataRow="1" firstDataCol="0" rowPageCount="1" colPageCount="1"/>
  <pivotFields count="17">
    <pivotField showAll="0"/>
    <pivotField showAll="0">
      <items count="4">
        <item x="1"/>
        <item x="0"/>
        <item x="2"/>
        <item t="default"/>
      </items>
    </pivotField>
    <pivotField showAll="0">
      <items count="4">
        <item x="1"/>
        <item x="2"/>
        <item x="0"/>
        <item t="default"/>
      </items>
    </pivotField>
    <pivotField showAll="0"/>
    <pivotField showAll="0">
      <items count="3">
        <item x="0"/>
        <item x="1"/>
        <item t="default"/>
      </items>
    </pivotField>
    <pivotField showAll="0"/>
    <pivotField showAll="0"/>
    <pivotField showAll="0"/>
    <pivotField dataField="1" showAll="0"/>
    <pivotField showAll="0"/>
    <pivotField showAll="0"/>
    <pivotField showAll="0"/>
    <pivotField axis="axisPage" showAll="0">
      <items count="3">
        <item x="0"/>
        <item x="1"/>
        <item t="default"/>
      </items>
    </pivotField>
    <pivotField showAll="0"/>
    <pivotField showAll="0">
      <items count="3">
        <item x="1"/>
        <item x="0"/>
        <item t="default"/>
      </items>
    </pivotField>
    <pivotField showAll="0"/>
    <pivotField showAll="0"/>
  </pivotFields>
  <rowItems count="1">
    <i/>
  </rowItems>
  <colItems count="1">
    <i/>
  </colItems>
  <pageFields count="1">
    <pageField fld="12" item="1" hier="-1"/>
  </pageFields>
  <dataFields count="1">
    <dataField name="Min of Loan_Amount" fld="8" subtotal="min" baseField="0" baseItem="0"/>
  </dataFields>
  <formats count="18">
    <format dxfId="24">
      <pivotArea type="all" dataOnly="0" outline="0" fieldPosition="0"/>
    </format>
    <format dxfId="23">
      <pivotArea dataOnly="0" labelOnly="1" outline="0" axis="axisValues" fieldPosition="0"/>
    </format>
    <format dxfId="22">
      <pivotArea dataOnly="0" labelOnly="1" outline="0" axis="axisValues" fieldPosition="0"/>
    </format>
    <format dxfId="21">
      <pivotArea dataOnly="0" labelOnly="1" outline="0" axis="axisValues" fieldPosition="0"/>
    </format>
    <format dxfId="20">
      <pivotArea type="all" dataOnly="0" outline="0" fieldPosition="0"/>
    </format>
    <format dxfId="19">
      <pivotArea dataOnly="0" labelOnly="1" outline="0" axis="axisValues" fieldPosition="0"/>
    </format>
    <format dxfId="18">
      <pivotArea dataOnly="0" labelOnly="1" outline="0" axis="axisValues" fieldPosition="0"/>
    </format>
    <format dxfId="17">
      <pivotArea type="all" dataOnly="0" outline="0" fieldPosition="0"/>
    </format>
    <format dxfId="16">
      <pivotArea field="12" type="button" dataOnly="0" labelOnly="1" outline="0" axis="axisPage" fieldPosition="0"/>
    </format>
    <format dxfId="15">
      <pivotArea dataOnly="0" outline="0" fieldPosition="0">
        <references count="1">
          <reference field="12" count="1">
            <x v="1"/>
          </reference>
        </references>
      </pivotArea>
    </format>
    <format dxfId="14">
      <pivotArea field="12" type="button" dataOnly="0" labelOnly="1" outline="0" axis="axisPage" fieldPosition="0"/>
    </format>
    <format dxfId="13">
      <pivotArea dataOnly="0" labelOnly="1" outline="0" fieldPosition="0">
        <references count="1">
          <reference field="12" count="1">
            <x v="1"/>
          </reference>
        </references>
      </pivotArea>
    </format>
    <format dxfId="12">
      <pivotArea type="all" dataOnly="0" outline="0" fieldPosition="0"/>
    </format>
    <format dxfId="11">
      <pivotArea outline="0" collapsedLevelsAreSubtotals="1"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C746DD-DC1D-441E-B2C6-2B0545127DC6}"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19:C20" firstHeaderRow="1" firstDataRow="1" firstDataCol="0" rowPageCount="1" colPageCount="1"/>
  <pivotFields count="17">
    <pivotField showAll="0"/>
    <pivotField showAll="0">
      <items count="4">
        <item x="1"/>
        <item x="0"/>
        <item x="2"/>
        <item t="default"/>
      </items>
    </pivotField>
    <pivotField showAll="0">
      <items count="4">
        <item x="1"/>
        <item x="2"/>
        <item x="0"/>
        <item t="default"/>
      </items>
    </pivotField>
    <pivotField showAll="0"/>
    <pivotField showAll="0">
      <items count="3">
        <item x="0"/>
        <item x="1"/>
        <item t="default"/>
      </items>
    </pivotField>
    <pivotField showAll="0"/>
    <pivotField showAll="0"/>
    <pivotField showAll="0"/>
    <pivotField dataField="1" showAll="0"/>
    <pivotField showAll="0"/>
    <pivotField showAll="0"/>
    <pivotField showAll="0"/>
    <pivotField axis="axisPage" showAll="0">
      <items count="3">
        <item x="0"/>
        <item x="1"/>
        <item t="default"/>
      </items>
    </pivotField>
    <pivotField showAll="0"/>
    <pivotField showAll="0">
      <items count="3">
        <item x="1"/>
        <item x="0"/>
        <item t="default"/>
      </items>
    </pivotField>
    <pivotField showAll="0"/>
    <pivotField showAll="0"/>
  </pivotFields>
  <rowItems count="1">
    <i/>
  </rowItems>
  <colItems count="1">
    <i/>
  </colItems>
  <pageFields count="1">
    <pageField fld="12" item="1" hier="-1"/>
  </pageFields>
  <dataFields count="1">
    <dataField name="Max of Loan_Amount" fld="8" subtotal="max" baseField="0" baseItem="0"/>
  </dataFields>
  <formats count="13">
    <format dxfId="37">
      <pivotArea type="all" dataOnly="0" outline="0" fieldPosition="0"/>
    </format>
    <format dxfId="36">
      <pivotArea dataOnly="0" labelOnly="1" outline="0" axis="axisValues" fieldPosition="0"/>
    </format>
    <format dxfId="35">
      <pivotArea dataOnly="0" labelOnly="1" outline="0" axis="axisValues" fieldPosition="0"/>
    </format>
    <format dxfId="34">
      <pivotArea dataOnly="0" labelOnly="1" outline="0" axis="axisValues" fieldPosition="0"/>
    </format>
    <format dxfId="33">
      <pivotArea type="all" dataOnly="0" outline="0" fieldPosition="0"/>
    </format>
    <format dxfId="32">
      <pivotArea dataOnly="0" labelOnly="1" outline="0" axis="axisValues"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CC1AA6-B935-4D90-969C-6411613FB6A3}"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24:G25" firstHeaderRow="1" firstDataRow="1" firstDataCol="0"/>
  <pivotFields count="17">
    <pivotField showAll="0"/>
    <pivotField showAll="0">
      <items count="4">
        <item x="1"/>
        <item x="0"/>
        <item x="2"/>
        <item t="default"/>
      </items>
    </pivotField>
    <pivotField showAll="0">
      <items count="4">
        <item x="1"/>
        <item x="2"/>
        <item x="0"/>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showAll="0"/>
    <pivotField showAll="0"/>
  </pivotFields>
  <rowItems count="1">
    <i/>
  </rowItems>
  <colItems count="1">
    <i/>
  </colItems>
  <dataFields count="1">
    <dataField name="Sum of Total Income" fld="13" baseField="0" baseItem="0" numFmtId="167"/>
  </dataFields>
  <formats count="13">
    <format dxfId="50">
      <pivotArea type="all" dataOnly="0" outline="0" fieldPosition="0"/>
    </format>
    <format dxfId="49">
      <pivotArea outline="0" collapsedLevelsAreSubtotals="1" fieldPosition="0"/>
    </format>
    <format dxfId="48">
      <pivotArea field="1" type="button" dataOnly="0" labelOnly="1" outline="0"/>
    </format>
    <format dxfId="47">
      <pivotArea dataOnly="0" labelOnly="1" grandRow="1" outline="0" fieldPosition="0"/>
    </format>
    <format dxfId="46">
      <pivotArea dataOnly="0" labelOnly="1" outline="0" axis="axisValues"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 dxfId="38">
      <pivotArea outline="0" fieldPosition="0">
        <references count="1">
          <reference field="4294967294" count="1">
            <x v="0"/>
          </reference>
        </references>
      </pivotArea>
    </format>
  </formats>
  <chartFormats count="2">
    <chartFormat chart="1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93F3E7-81BC-4825-9390-925BC949AA0E}"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24:E25" firstHeaderRow="1" firstDataRow="1" firstDataCol="0"/>
  <pivotFields count="17">
    <pivotField dataField="1" showAll="0"/>
    <pivotField showAll="0">
      <items count="4">
        <item x="1"/>
        <item x="0"/>
        <item x="2"/>
        <item t="default"/>
      </items>
    </pivotField>
    <pivotField showAll="0">
      <items count="4">
        <item x="1"/>
        <item x="2"/>
        <item x="0"/>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s>
  <rowItems count="1">
    <i/>
  </rowItems>
  <colItems count="1">
    <i/>
  </colItems>
  <dataFields count="1">
    <dataField name="Total Applicants" fld="0" subtotal="count" baseField="0" baseItem="0"/>
  </dataFields>
  <formats count="19">
    <format dxfId="69">
      <pivotArea type="all" dataOnly="0" outline="0" fieldPosition="0"/>
    </format>
    <format dxfId="68">
      <pivotArea dataOnly="0" labelOnly="1" outline="0" axis="axisValues" fieldPosition="0"/>
    </format>
    <format dxfId="67">
      <pivotArea dataOnly="0" labelOnly="1" outline="0" axis="axisValues" fieldPosition="0"/>
    </format>
    <format dxfId="66">
      <pivotArea dataOnly="0" labelOnly="1" outline="0" axis="axisValues" fieldPosition="0"/>
    </format>
    <format dxfId="65">
      <pivotArea type="all" dataOnly="0" outline="0" fieldPosition="0"/>
    </format>
    <format dxfId="64">
      <pivotArea dataOnly="0" labelOnly="1" outline="0" axis="axisValues" fieldPosition="0"/>
    </format>
    <format dxfId="63">
      <pivotArea dataOnly="0" labelOnly="1" outline="0" axis="axisValues" fieldPosition="0"/>
    </format>
    <format dxfId="62">
      <pivotArea type="all" dataOnly="0" outline="0" fieldPosition="0"/>
    </format>
    <format dxfId="61">
      <pivotArea dataOnly="0" labelOnly="1" outline="0" axis="axisValues" fieldPosition="0"/>
    </format>
    <format dxfId="60">
      <pivotArea type="all" dataOnly="0" outline="0" fieldPosition="0"/>
    </format>
    <format dxfId="59">
      <pivotArea dataOnly="0" labelOnly="1" outline="0" axis="axisValues" fieldPosition="0"/>
    </format>
    <format dxfId="58">
      <pivotArea dataOnly="0" labelOnly="1" outline="0" axis="axisValues"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C2E6A6-657D-4C43-ABA6-B821DB4345E4}"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24:C25" firstHeaderRow="1" firstDataRow="1" firstDataCol="0"/>
  <pivotFields count="17">
    <pivotField showAll="0"/>
    <pivotField showAll="0">
      <items count="4">
        <item x="1"/>
        <item x="0"/>
        <item x="2"/>
        <item t="default"/>
      </items>
    </pivotField>
    <pivotField showAll="0">
      <items count="4">
        <item x="1"/>
        <item x="2"/>
        <item x="0"/>
        <item t="default"/>
      </items>
    </pivotField>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items count="3">
        <item x="1"/>
        <item x="0"/>
        <item t="default"/>
      </items>
    </pivotField>
    <pivotField showAll="0"/>
    <pivotField showAll="0"/>
  </pivotFields>
  <rowItems count="1">
    <i/>
  </rowItems>
  <colItems count="1">
    <i/>
  </colItems>
  <dataFields count="1">
    <dataField name="Max of Loan_Amount_Term" fld="9" subtotal="max" baseField="0" baseItem="0"/>
  </dataFields>
  <formats count="19">
    <format dxfId="88">
      <pivotArea type="all" dataOnly="0" outline="0" fieldPosition="0"/>
    </format>
    <format dxfId="87">
      <pivotArea dataOnly="0" labelOnly="1" outline="0" axis="axisValues" fieldPosition="0"/>
    </format>
    <format dxfId="86">
      <pivotArea dataOnly="0" labelOnly="1" outline="0" axis="axisValues" fieldPosition="0"/>
    </format>
    <format dxfId="85">
      <pivotArea dataOnly="0" labelOnly="1" outline="0" axis="axisValues" fieldPosition="0"/>
    </format>
    <format dxfId="84">
      <pivotArea type="all" dataOnly="0" outline="0" fieldPosition="0"/>
    </format>
    <format dxfId="83">
      <pivotArea dataOnly="0" labelOnly="1" outline="0" axis="axisValues" fieldPosition="0"/>
    </format>
    <format dxfId="82">
      <pivotArea dataOnly="0" labelOnly="1" outline="0" axis="axisValues" fieldPosition="0"/>
    </format>
    <format dxfId="81">
      <pivotArea type="all" dataOnly="0" outline="0" fieldPosition="0"/>
    </format>
    <format dxfId="80">
      <pivotArea dataOnly="0" labelOnly="1" outline="0" axis="axisValues" fieldPosition="0"/>
    </format>
    <format dxfId="79">
      <pivotArea type="all" dataOnly="0" outline="0" fieldPosition="0"/>
    </format>
    <format dxfId="78">
      <pivotArea dataOnly="0" labelOnly="1" outline="0" axis="axisValues" fieldPosition="0"/>
    </format>
    <format dxfId="77">
      <pivotArea dataOnly="0" labelOnly="1" outline="0" axis="axisValues"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E306A8-28E2-4083-A4A9-514DF0CF7E6A}"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9:G20" firstHeaderRow="1" firstDataRow="1" firstDataCol="0" rowPageCount="1" colPageCount="1"/>
  <pivotFields count="17">
    <pivotField showAll="0"/>
    <pivotField showAll="0">
      <items count="4">
        <item x="1"/>
        <item x="0"/>
        <item x="2"/>
        <item t="default"/>
      </items>
    </pivotField>
    <pivotField showAll="0">
      <items count="4">
        <item x="1"/>
        <item x="2"/>
        <item x="0"/>
        <item t="default"/>
      </items>
    </pivotField>
    <pivotField showAll="0"/>
    <pivotField showAll="0">
      <items count="3">
        <item x="0"/>
        <item x="1"/>
        <item t="default"/>
      </items>
    </pivotField>
    <pivotField showAll="0"/>
    <pivotField showAll="0"/>
    <pivotField showAll="0"/>
    <pivotField dataField="1" showAll="0"/>
    <pivotField showAll="0"/>
    <pivotField showAll="0"/>
    <pivotField showAll="0"/>
    <pivotField axis="axisPage" showAll="0">
      <items count="3">
        <item x="0"/>
        <item x="1"/>
        <item t="default"/>
      </items>
    </pivotField>
    <pivotField showAll="0"/>
    <pivotField showAll="0">
      <items count="3">
        <item x="1"/>
        <item x="0"/>
        <item t="default"/>
      </items>
    </pivotField>
    <pivotField showAll="0"/>
    <pivotField showAll="0"/>
  </pivotFields>
  <rowItems count="1">
    <i/>
  </rowItems>
  <colItems count="1">
    <i/>
  </colItems>
  <pageFields count="1">
    <pageField fld="12" item="1" hier="-1"/>
  </pageFields>
  <dataFields count="1">
    <dataField name="Sum of Loan_Amount" fld="8" baseField="0" baseItem="0"/>
  </dataFields>
  <formats count="22">
    <format dxfId="110">
      <pivotArea type="all" dataOnly="0" outline="0" fieldPosition="0"/>
    </format>
    <format dxfId="109">
      <pivotArea dataOnly="0" labelOnly="1" outline="0" axis="axisValues" fieldPosition="0"/>
    </format>
    <format dxfId="108">
      <pivotArea dataOnly="0" labelOnly="1" outline="0" axis="axisValues" fieldPosition="0"/>
    </format>
    <format dxfId="107">
      <pivotArea dataOnly="0" labelOnly="1" outline="0" axis="axisValues" fieldPosition="0"/>
    </format>
    <format dxfId="106">
      <pivotArea type="all" dataOnly="0" outline="0" fieldPosition="0"/>
    </format>
    <format dxfId="105">
      <pivotArea dataOnly="0" labelOnly="1" outline="0" axis="axisValues" fieldPosition="0"/>
    </format>
    <format dxfId="104">
      <pivotArea dataOnly="0" labelOnly="1" outline="0" axis="axisValues" fieldPosition="0"/>
    </format>
    <format dxfId="103">
      <pivotArea type="all" dataOnly="0" outline="0" fieldPosition="0"/>
    </format>
    <format dxfId="102">
      <pivotArea dataOnly="0" labelOnly="1" outline="0" axis="axisValues" fieldPosition="0"/>
    </format>
    <format dxfId="101">
      <pivotArea type="all" dataOnly="0" outline="0" fieldPosition="0"/>
    </format>
    <format dxfId="100">
      <pivotArea dataOnly="0" labelOnly="1" outline="0" axis="axisValues" fieldPosition="0"/>
    </format>
    <format dxfId="99">
      <pivotArea dataOnly="0" labelOnly="1" outline="0" axis="axisValues" fieldPosition="0"/>
    </format>
    <format dxfId="98">
      <pivotArea dataOnly="0" labelOnly="1" outline="0" axis="axisValues" fieldPosition="0"/>
    </format>
    <format dxfId="97">
      <pivotArea field="12" type="button" dataOnly="0" labelOnly="1" outline="0" axis="axisPage" fieldPosition="0"/>
    </format>
    <format dxfId="96">
      <pivotArea field="12" type="button" dataOnly="0" labelOnly="1" outline="0" axis="axisPage" fieldPosition="0"/>
    </format>
    <format dxfId="95">
      <pivotArea dataOnly="0" labelOnly="1" outline="0" fieldPosition="0">
        <references count="1">
          <reference field="12" count="1">
            <x v="1"/>
          </reference>
        </references>
      </pivotArea>
    </format>
    <format dxfId="94">
      <pivotArea type="all" dataOnly="0" outline="0" fieldPosition="0"/>
    </format>
    <format dxfId="93">
      <pivotArea outline="0" collapsedLevelsAreSubtotals="1"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A13DBE5A-1069-4D2E-8625-8E4F3B972763}" sourceName="Married">
  <pivotTables>
    <pivotTable tabId="3" name="PivotTable1"/>
    <pivotTable tabId="3" name="PivotTable3"/>
    <pivotTable tabId="3" name="PivotTable4"/>
    <pivotTable tabId="3" name="PivotTable5"/>
    <pivotTable tabId="3" name="PivotTable7"/>
    <pivotTable tabId="1" name="PivotTable8"/>
    <pivotTable tabId="1" name="PivotTable10"/>
    <pivotTable tabId="1" name="PivotTable11"/>
    <pivotTable tabId="1" name="PivotTable12"/>
    <pivotTable tabId="1" name="PivotTable13"/>
    <pivotTable tabId="3" name="PivotTable2"/>
    <pivotTable tabId="1" name="PivotTable1"/>
  </pivotTables>
  <data>
    <tabular pivotCacheId="120745679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7431636-793D-4249-8AE7-844754605A8A}" sourceName="Education">
  <pivotTables>
    <pivotTable tabId="3" name="PivotTable3"/>
    <pivotTable tabId="3" name="PivotTable1"/>
    <pivotTable tabId="3" name="PivotTable4"/>
    <pivotTable tabId="3" name="PivotTable5"/>
    <pivotTable tabId="3" name="PivotTable7"/>
    <pivotTable tabId="1" name="PivotTable8"/>
    <pivotTable tabId="1" name="PivotTable10"/>
    <pivotTable tabId="1" name="PivotTable11"/>
    <pivotTable tabId="1" name="PivotTable12"/>
    <pivotTable tabId="1" name="PivotTable13"/>
    <pivotTable tabId="3" name="PivotTable2"/>
    <pivotTable tabId="1" name="PivotTable1"/>
  </pivotTables>
  <data>
    <tabular pivotCacheId="120745679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E5005BE-6A7C-4E86-8928-0CAF5C9344EA}" sourceName="Gender">
  <pivotTables>
    <pivotTable tabId="3" name="PivotTable3"/>
    <pivotTable tabId="3" name="PivotTable1"/>
    <pivotTable tabId="3" name="PivotTable4"/>
    <pivotTable tabId="3" name="PivotTable5"/>
    <pivotTable tabId="3" name="PivotTable7"/>
    <pivotTable tabId="1" name="PivotTable8"/>
    <pivotTable tabId="1" name="PivotTable10"/>
    <pivotTable tabId="1" name="PivotTable11"/>
    <pivotTable tabId="1" name="PivotTable12"/>
    <pivotTable tabId="1" name="PivotTable13"/>
    <pivotTable tabId="3" name="PivotTable2"/>
    <pivotTable tabId="1" name="PivotTable1"/>
  </pivotTables>
  <data>
    <tabular pivotCacheId="1207456794">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Category" xr10:uid="{3737E6F6-8249-423A-8E00-FB5E976A6FFF}" sourceName="RiskCategory">
  <pivotTables>
    <pivotTable tabId="3" name="PivotTable5"/>
    <pivotTable tabId="3" name="PivotTable1"/>
    <pivotTable tabId="3" name="PivotTable3"/>
    <pivotTable tabId="3" name="PivotTable4"/>
    <pivotTable tabId="3" name="PivotTable7"/>
    <pivotTable tabId="1" name="PivotTable8"/>
    <pivotTable tabId="1" name="PivotTable10"/>
    <pivotTable tabId="1" name="PivotTable11"/>
    <pivotTable tabId="1" name="PivotTable12"/>
    <pivotTable tabId="1" name="PivotTable13"/>
    <pivotTable tabId="3" name="PivotTable2"/>
    <pivotTable tabId="1" name="PivotTable1"/>
  </pivotTables>
  <data>
    <tabular pivotCacheId="120745679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xr10:uid="{56123FF2-D79C-47F8-96EB-81A090E75E50}" cache="Slicer_Married" caption="Married" rowHeight="234950"/>
  <slicer name="Education" xr10:uid="{5AF69DA7-2679-444E-BAA1-49F291018791}" cache="Slicer_Education" caption="Education" rowHeight="234950"/>
  <slicer name="Gender" xr10:uid="{417BEFB6-2B89-48A9-B4F1-5B8EF05969F3}" cache="Slicer_Gender" caption="Gender" rowHeight="234950"/>
  <slicer name="RiskCategory" xr10:uid="{7C7E00B5-500F-47AA-99E3-5CC82439DABE}" cache="Slicer_RiskCategory" caption="Risk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1" xr10:uid="{A51E263F-7E85-4C14-B439-2D5294A42471}" cache="Slicer_Married" caption="Married" style="LOAN SLICER" rowHeight="234950"/>
  <slicer name="Education 1" xr10:uid="{DE2D4B61-D1E3-47C5-AB88-9DAA6D212242}" cache="Slicer_Education" caption="Education" style="LOAN SLICER" rowHeight="234950"/>
  <slicer name="Gender 1" xr10:uid="{AC46E4F4-0664-4D9B-A84E-424362C5150B}" cache="Slicer_Gender" caption="Gender" style="LOAN SLICER" rowHeight="234950"/>
  <slicer name="RiskCategory 1" xr10:uid="{8D82A944-0385-47DB-ACB0-FBAA9E001AD1}" cache="Slicer_RiskCategory" caption="RiskCategory" style="LOAN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C22105-EA7D-4C12-90FE-A4D0A46BA380}" name="Table2" displayName="Table2" ref="A1:Q530" totalsRowShown="0" headerRowDxfId="129" tableBorderDxfId="128">
  <autoFilter ref="A1:Q530" xr:uid="{EBC22105-EA7D-4C12-90FE-A4D0A46BA380}"/>
  <tableColumns count="17">
    <tableColumn id="1" xr3:uid="{10458B54-1192-447F-A379-A90201FD27B7}" name="Loan_ID" dataDxfId="127"/>
    <tableColumn id="2" xr3:uid="{1C9037D8-A398-4C0D-8631-83F57649E1ED}" name="Gender" dataDxfId="126"/>
    <tableColumn id="3" xr3:uid="{D6794D23-2333-42BD-BB29-ACF568D1E365}" name="Married" dataDxfId="125"/>
    <tableColumn id="4" xr3:uid="{4BBF187A-7A07-4922-91BC-CB77AF8E9EC3}" name="Dependents" dataDxfId="124"/>
    <tableColumn id="5" xr3:uid="{EFD3CFA0-102E-47C0-B350-977FB098685B}" name="Education" dataDxfId="123"/>
    <tableColumn id="6" xr3:uid="{53026BEC-E2F8-46D2-A99F-9A380FEAEB99}" name="Self_Employed" dataDxfId="122"/>
    <tableColumn id="7" xr3:uid="{62DF5F30-5BC2-4561-9262-DF5B0BAE1ADB}" name="Applicant_Income" dataDxfId="121"/>
    <tableColumn id="8" xr3:uid="{514592AC-6F83-4A0B-87E7-D45DFF5519FB}" name="Coapplicant_Income" dataDxfId="120"/>
    <tableColumn id="9" xr3:uid="{A79D6E1C-DCED-4617-A023-5FDC54129CBE}" name="Loan_Amount" dataDxfId="119"/>
    <tableColumn id="10" xr3:uid="{2C98ABEC-27A5-41FB-906A-B456FDAD2A86}" name="Loan_Amount_Term" dataDxfId="118"/>
    <tableColumn id="11" xr3:uid="{D010D1D1-6506-496D-85A2-4762B383A6AC}" name="Credit_History" dataDxfId="117"/>
    <tableColumn id="12" xr3:uid="{F01CCD17-773D-40C8-B4DC-D7A7D040C88E}" name="Property_Area" dataDxfId="116"/>
    <tableColumn id="13" xr3:uid="{BAA6A4E4-91DD-4B98-98AF-87BB0609B094}" name="Loan_Status (Approved/Rejected)" dataDxfId="115"/>
    <tableColumn id="14" xr3:uid="{F8B50660-3C5B-499A-BFD4-06B955C77D53}" name="Bank Income" dataDxfId="114"/>
    <tableColumn id="15" xr3:uid="{ADCD8B40-9995-48D2-B292-E6C47658B2B4}" name="RiskCategory" dataDxfId="113"/>
    <tableColumn id="16" xr3:uid="{76FA0757-370C-4A01-86EC-90889D6C9E2D}" name="IncomeLoanRatio" dataDxfId="112" dataCellStyle="Percent"/>
    <tableColumn id="17" xr3:uid="{3A53BEE5-C18C-43DE-999E-86CC0AC122A3}" name="Loan_to_Income%" dataDxfId="1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88D1C-D92F-4BA9-8A9B-130555E2203E}">
  <dimension ref="A1:U79"/>
  <sheetViews>
    <sheetView topLeftCell="C1" zoomScale="52" workbookViewId="0">
      <selection activeCell="N3" sqref="N3:O7"/>
    </sheetView>
  </sheetViews>
  <sheetFormatPr defaultRowHeight="14.4"/>
  <cols>
    <col min="1" max="1" width="19.5546875" bestFit="1" customWidth="1"/>
    <col min="2" max="2" width="27.88671875" bestFit="1" customWidth="1"/>
    <col min="3" max="3" width="19.109375" bestFit="1" customWidth="1"/>
    <col min="4" max="4" width="10.77734375" bestFit="1" customWidth="1"/>
    <col min="5" max="5" width="15.6640625" bestFit="1" customWidth="1"/>
    <col min="8" max="8" width="12.5546875" bestFit="1" customWidth="1"/>
    <col min="10" max="11" width="15.5546875" bestFit="1" customWidth="1"/>
    <col min="12" max="12" width="12.5546875" bestFit="1" customWidth="1"/>
    <col min="13" max="13" width="19.109375" bestFit="1" customWidth="1"/>
    <col min="14" max="14" width="19.5546875" bestFit="1" customWidth="1"/>
    <col min="15" max="15" width="26.21875" bestFit="1" customWidth="1"/>
    <col min="16" max="16" width="27.21875" bestFit="1" customWidth="1"/>
  </cols>
  <sheetData>
    <row r="1" spans="1:21" ht="15" thickBot="1"/>
    <row r="2" spans="1:21" ht="15" thickBot="1">
      <c r="A2" s="70" t="s">
        <v>567</v>
      </c>
      <c r="B2" s="71"/>
      <c r="C2" s="71"/>
      <c r="D2" s="71"/>
      <c r="E2" s="71"/>
      <c r="F2" s="72"/>
    </row>
    <row r="3" spans="1:21" ht="15" thickBot="1">
      <c r="A3" s="17" t="s">
        <v>560</v>
      </c>
      <c r="B3" s="18" t="s">
        <v>562</v>
      </c>
      <c r="C3" s="20" t="s">
        <v>566</v>
      </c>
      <c r="F3" s="1"/>
      <c r="N3" s="17" t="s">
        <v>560</v>
      </c>
      <c r="O3" s="25" t="s">
        <v>583</v>
      </c>
      <c r="P3" s="8"/>
      <c r="Q3" s="8"/>
      <c r="R3" s="8"/>
      <c r="S3" s="8"/>
      <c r="T3" s="8"/>
      <c r="U3" s="9"/>
    </row>
    <row r="4" spans="1:21">
      <c r="A4" s="21" t="s">
        <v>20</v>
      </c>
      <c r="B4" s="30">
        <v>421</v>
      </c>
      <c r="C4" s="15">
        <v>0.79584120982986772</v>
      </c>
      <c r="F4" s="1"/>
      <c r="N4" s="21" t="s">
        <v>46</v>
      </c>
      <c r="O4" s="60">
        <v>528036</v>
      </c>
      <c r="U4" s="1"/>
    </row>
    <row r="5" spans="1:21" ht="15" thickBot="1">
      <c r="A5" s="23" t="s">
        <v>29</v>
      </c>
      <c r="B5" s="2">
        <v>108</v>
      </c>
      <c r="C5" s="10">
        <v>0.20415879017013233</v>
      </c>
      <c r="F5" s="1"/>
      <c r="N5" s="22" t="s">
        <v>18</v>
      </c>
      <c r="O5" s="61">
        <v>3054305</v>
      </c>
      <c r="U5" s="1"/>
    </row>
    <row r="6" spans="1:21" ht="15" thickBot="1">
      <c r="A6" s="24" t="s">
        <v>561</v>
      </c>
      <c r="B6" s="3">
        <v>529</v>
      </c>
      <c r="C6" s="12">
        <v>1</v>
      </c>
      <c r="F6" s="1"/>
      <c r="H6" s="30"/>
      <c r="I6" s="8"/>
      <c r="J6" s="8"/>
      <c r="K6" s="8"/>
      <c r="L6" s="9"/>
      <c r="N6" s="23" t="s">
        <v>40</v>
      </c>
      <c r="O6" s="61">
        <v>147224</v>
      </c>
      <c r="U6" s="1"/>
    </row>
    <row r="7" spans="1:21" ht="15" thickBot="1">
      <c r="A7" s="2"/>
      <c r="F7" s="1"/>
      <c r="H7" s="2"/>
      <c r="L7" s="1"/>
      <c r="N7" s="24" t="s">
        <v>561</v>
      </c>
      <c r="O7" s="62">
        <v>3729565</v>
      </c>
      <c r="U7" s="1"/>
    </row>
    <row r="8" spans="1:21">
      <c r="A8" s="2"/>
      <c r="F8" s="1"/>
      <c r="H8" s="2"/>
      <c r="L8" s="1"/>
      <c r="N8" s="2"/>
      <c r="U8" s="1"/>
    </row>
    <row r="9" spans="1:21">
      <c r="A9" s="2"/>
      <c r="F9" s="1"/>
      <c r="H9" s="2"/>
      <c r="L9" s="1"/>
      <c r="N9" s="2"/>
      <c r="U9" s="1"/>
    </row>
    <row r="10" spans="1:21">
      <c r="A10" s="2"/>
      <c r="F10" s="1"/>
      <c r="H10" s="2"/>
      <c r="L10" s="1"/>
      <c r="N10" s="2"/>
      <c r="U10" s="1"/>
    </row>
    <row r="11" spans="1:21" ht="15" thickBot="1">
      <c r="A11" s="3"/>
      <c r="B11" s="4"/>
      <c r="C11" s="4"/>
      <c r="D11" s="4"/>
      <c r="E11" s="4"/>
      <c r="F11" s="5"/>
      <c r="H11" s="2"/>
      <c r="L11" s="1"/>
      <c r="N11" s="2"/>
      <c r="U11" s="1"/>
    </row>
    <row r="12" spans="1:21" ht="15" thickBot="1">
      <c r="H12" s="2"/>
      <c r="L12" s="1"/>
      <c r="N12" s="2"/>
      <c r="U12" s="1"/>
    </row>
    <row r="13" spans="1:21" ht="15" thickBot="1">
      <c r="A13" s="70" t="s">
        <v>568</v>
      </c>
      <c r="B13" s="71"/>
      <c r="C13" s="71"/>
      <c r="D13" s="71"/>
      <c r="E13" s="71"/>
      <c r="F13" s="72"/>
      <c r="H13" s="2"/>
      <c r="L13" s="1"/>
      <c r="N13" s="2"/>
      <c r="U13" s="1"/>
    </row>
    <row r="14" spans="1:21" ht="15" thickBot="1">
      <c r="A14" s="28" t="s">
        <v>560</v>
      </c>
      <c r="B14" s="29" t="s">
        <v>565</v>
      </c>
      <c r="F14" s="1"/>
      <c r="H14" s="2"/>
      <c r="L14" s="1"/>
      <c r="N14" s="2"/>
      <c r="U14" s="1"/>
    </row>
    <row r="15" spans="1:21">
      <c r="A15" s="22" t="s">
        <v>22</v>
      </c>
      <c r="B15" s="26">
        <v>154.24516129032259</v>
      </c>
      <c r="F15" s="1"/>
      <c r="H15" s="2"/>
      <c r="L15" s="1"/>
      <c r="N15" s="2"/>
      <c r="U15" s="1"/>
    </row>
    <row r="16" spans="1:21">
      <c r="A16" s="22" t="s">
        <v>34</v>
      </c>
      <c r="B16" s="26">
        <v>145.65550239234449</v>
      </c>
      <c r="F16" s="1"/>
      <c r="H16" s="2"/>
      <c r="L16" s="1"/>
      <c r="N16" s="2"/>
      <c r="U16" s="1"/>
    </row>
    <row r="17" spans="1:21" ht="15" thickBot="1">
      <c r="A17" s="23" t="s">
        <v>26</v>
      </c>
      <c r="B17" s="26">
        <v>138.21818181818182</v>
      </c>
      <c r="F17" s="1"/>
      <c r="H17" s="2"/>
      <c r="L17" s="1"/>
      <c r="N17" s="2"/>
      <c r="U17" s="1"/>
    </row>
    <row r="18" spans="1:21" ht="15" thickBot="1">
      <c r="A18" s="23" t="s">
        <v>561</v>
      </c>
      <c r="B18" s="27">
        <v>145.85255198487712</v>
      </c>
      <c r="F18" s="1"/>
      <c r="H18" s="3"/>
      <c r="I18" s="4"/>
      <c r="J18" s="4"/>
      <c r="K18" s="4"/>
      <c r="L18" s="5"/>
      <c r="N18" s="3"/>
      <c r="O18" s="4"/>
      <c r="P18" s="4"/>
      <c r="Q18" s="4"/>
      <c r="R18" s="4"/>
      <c r="S18" s="4"/>
      <c r="T18" s="4"/>
      <c r="U18" s="5"/>
    </row>
    <row r="19" spans="1:21">
      <c r="A19" s="2"/>
      <c r="F19" s="1"/>
    </row>
    <row r="20" spans="1:21">
      <c r="A20" s="2"/>
      <c r="F20" s="1"/>
    </row>
    <row r="21" spans="1:21">
      <c r="A21" s="2"/>
      <c r="F21" s="1"/>
    </row>
    <row r="22" spans="1:21">
      <c r="A22" s="2"/>
      <c r="F22" s="1"/>
    </row>
    <row r="23" spans="1:21">
      <c r="A23" s="2"/>
      <c r="F23" s="1"/>
    </row>
    <row r="24" spans="1:21">
      <c r="A24" s="2"/>
      <c r="F24" s="1"/>
    </row>
    <row r="25" spans="1:21" ht="15" thickBot="1">
      <c r="A25" s="3"/>
      <c r="B25" s="4"/>
      <c r="C25" s="4"/>
      <c r="D25" s="4"/>
      <c r="E25" s="4"/>
      <c r="F25" s="5"/>
    </row>
    <row r="27" spans="1:21" ht="15" thickBot="1"/>
    <row r="28" spans="1:21" ht="15" thickBot="1">
      <c r="A28" s="70" t="s">
        <v>574</v>
      </c>
      <c r="B28" s="71"/>
      <c r="C28" s="71"/>
      <c r="D28" s="71"/>
      <c r="E28" s="71"/>
      <c r="F28" s="71"/>
      <c r="G28" s="71"/>
      <c r="H28" s="71"/>
      <c r="I28" s="71"/>
      <c r="J28" s="71"/>
      <c r="K28" s="71"/>
      <c r="L28" s="72"/>
    </row>
    <row r="29" spans="1:21" ht="15" thickBot="1">
      <c r="A29" s="17" t="s">
        <v>562</v>
      </c>
      <c r="B29" s="17" t="s">
        <v>564</v>
      </c>
      <c r="C29" s="18"/>
      <c r="D29" s="19"/>
      <c r="E29" s="20"/>
      <c r="L29" s="1"/>
    </row>
    <row r="30" spans="1:21" ht="15" thickBot="1">
      <c r="A30" s="17" t="s">
        <v>1</v>
      </c>
      <c r="B30" s="18" t="s">
        <v>21</v>
      </c>
      <c r="C30" s="19" t="s">
        <v>40</v>
      </c>
      <c r="D30" s="20" t="s">
        <v>19</v>
      </c>
      <c r="E30" s="25" t="s">
        <v>561</v>
      </c>
      <c r="L30" s="1"/>
    </row>
    <row r="31" spans="1:21">
      <c r="A31" s="21" t="s">
        <v>46</v>
      </c>
      <c r="B31" s="13">
        <v>0.71578947368421053</v>
      </c>
      <c r="C31" s="14">
        <v>0</v>
      </c>
      <c r="D31" s="14">
        <v>0.28421052631578947</v>
      </c>
      <c r="E31" s="15">
        <v>1</v>
      </c>
      <c r="L31" s="1"/>
    </row>
    <row r="32" spans="1:21">
      <c r="A32" s="22" t="s">
        <v>18</v>
      </c>
      <c r="B32" s="6">
        <v>0.2772511848341232</v>
      </c>
      <c r="C32" s="66">
        <v>4.7393364928909956E-3</v>
      </c>
      <c r="D32" s="66">
        <v>0.71800947867298581</v>
      </c>
      <c r="E32" s="10">
        <v>1</v>
      </c>
      <c r="L32" s="1"/>
    </row>
    <row r="33" spans="1:12" ht="15" thickBot="1">
      <c r="A33" s="23" t="s">
        <v>40</v>
      </c>
      <c r="B33" s="6">
        <v>0.25</v>
      </c>
      <c r="C33" s="66">
        <v>0</v>
      </c>
      <c r="D33" s="66">
        <v>0.75</v>
      </c>
      <c r="E33" s="10">
        <v>1</v>
      </c>
      <c r="L33" s="1"/>
    </row>
    <row r="34" spans="1:12" ht="15" thickBot="1">
      <c r="A34" s="24" t="s">
        <v>561</v>
      </c>
      <c r="B34" s="16">
        <v>0.35538752362948961</v>
      </c>
      <c r="C34" s="11">
        <v>3.780718336483932E-3</v>
      </c>
      <c r="D34" s="11">
        <v>0.64083175803402648</v>
      </c>
      <c r="E34" s="12">
        <v>1</v>
      </c>
      <c r="L34" s="1"/>
    </row>
    <row r="35" spans="1:12">
      <c r="A35" s="2"/>
      <c r="L35" s="1"/>
    </row>
    <row r="36" spans="1:12">
      <c r="A36" s="2"/>
      <c r="L36" s="1"/>
    </row>
    <row r="37" spans="1:12">
      <c r="A37" s="2"/>
      <c r="L37" s="1"/>
    </row>
    <row r="38" spans="1:12">
      <c r="A38" s="2"/>
      <c r="L38" s="1"/>
    </row>
    <row r="39" spans="1:12">
      <c r="A39" s="2"/>
      <c r="L39" s="1"/>
    </row>
    <row r="40" spans="1:12">
      <c r="A40" s="2"/>
      <c r="L40" s="1"/>
    </row>
    <row r="41" spans="1:12">
      <c r="A41" s="2"/>
      <c r="L41" s="1"/>
    </row>
    <row r="42" spans="1:12">
      <c r="A42" s="2"/>
      <c r="L42" s="1"/>
    </row>
    <row r="43" spans="1:12">
      <c r="A43" s="2"/>
      <c r="L43" s="1"/>
    </row>
    <row r="44" spans="1:12" ht="15" thickBot="1">
      <c r="A44" s="3"/>
      <c r="B44" s="4"/>
      <c r="C44" s="4"/>
      <c r="D44" s="4"/>
      <c r="E44" s="4"/>
      <c r="F44" s="4"/>
      <c r="G44" s="4"/>
      <c r="H44" s="4"/>
      <c r="I44" s="4"/>
      <c r="J44" s="4"/>
      <c r="K44" s="4"/>
      <c r="L44" s="5"/>
    </row>
    <row r="45" spans="1:12" ht="15" thickBot="1"/>
    <row r="46" spans="1:12" ht="15" thickBot="1">
      <c r="A46" s="70" t="s">
        <v>575</v>
      </c>
      <c r="B46" s="71"/>
      <c r="C46" s="71"/>
      <c r="D46" s="71"/>
      <c r="E46" s="71"/>
      <c r="F46" s="71"/>
      <c r="G46" s="71"/>
      <c r="H46" s="71"/>
      <c r="I46" s="71"/>
      <c r="J46" s="71"/>
      <c r="K46" s="71"/>
      <c r="L46" s="72"/>
    </row>
    <row r="47" spans="1:12" ht="15" thickBot="1">
      <c r="A47" s="28" t="s">
        <v>560</v>
      </c>
      <c r="B47" s="3" t="s">
        <v>576</v>
      </c>
      <c r="C47" s="4" t="s">
        <v>578</v>
      </c>
      <c r="D47" s="5" t="s">
        <v>577</v>
      </c>
      <c r="L47" s="1"/>
    </row>
    <row r="48" spans="1:12">
      <c r="A48" s="22" t="s">
        <v>35</v>
      </c>
      <c r="B48" s="46">
        <v>7478.6075949367087</v>
      </c>
      <c r="C48" s="65">
        <v>149.49367088607596</v>
      </c>
      <c r="D48" s="10">
        <v>0.46721518987341776</v>
      </c>
      <c r="L48" s="1"/>
    </row>
    <row r="49" spans="1:12" ht="15" thickBot="1">
      <c r="A49" s="23" t="s">
        <v>24</v>
      </c>
      <c r="B49" s="46">
        <v>6975.0111111111109</v>
      </c>
      <c r="C49" s="65">
        <v>145.21333333333334</v>
      </c>
      <c r="D49" s="10">
        <v>0.52551111111111104</v>
      </c>
      <c r="L49" s="1"/>
    </row>
    <row r="50" spans="1:12" ht="15" thickBot="1">
      <c r="A50" s="23" t="s">
        <v>561</v>
      </c>
      <c r="B50" s="47">
        <v>7050.217391304348</v>
      </c>
      <c r="C50" s="45">
        <v>145.85255198487712</v>
      </c>
      <c r="D50" s="12">
        <v>0.51680529300567091</v>
      </c>
      <c r="L50" s="1"/>
    </row>
    <row r="51" spans="1:12">
      <c r="A51" s="2"/>
      <c r="L51" s="1"/>
    </row>
    <row r="52" spans="1:12">
      <c r="A52" s="2"/>
      <c r="L52" s="1"/>
    </row>
    <row r="53" spans="1:12">
      <c r="A53" s="2"/>
      <c r="L53" s="1"/>
    </row>
    <row r="54" spans="1:12">
      <c r="A54" s="2"/>
      <c r="L54" s="1"/>
    </row>
    <row r="55" spans="1:12">
      <c r="A55" s="2"/>
      <c r="L55" s="1"/>
    </row>
    <row r="56" spans="1:12">
      <c r="A56" s="2"/>
      <c r="L56" s="1"/>
    </row>
    <row r="57" spans="1:12">
      <c r="A57" s="2"/>
      <c r="L57" s="1"/>
    </row>
    <row r="58" spans="1:12">
      <c r="A58" s="2"/>
      <c r="L58" s="1"/>
    </row>
    <row r="59" spans="1:12">
      <c r="A59" s="2"/>
      <c r="L59" s="1"/>
    </row>
    <row r="60" spans="1:12" ht="15" thickBot="1">
      <c r="A60" s="3"/>
      <c r="B60" s="4"/>
      <c r="C60" s="4"/>
      <c r="D60" s="4"/>
      <c r="E60" s="4"/>
      <c r="F60" s="4"/>
      <c r="G60" s="4"/>
      <c r="H60" s="4"/>
      <c r="I60" s="4"/>
      <c r="J60" s="4"/>
      <c r="K60" s="4"/>
      <c r="L60" s="5"/>
    </row>
    <row r="61" spans="1:12" ht="15" thickBot="1"/>
    <row r="62" spans="1:12" ht="15" thickBot="1">
      <c r="A62" s="70" t="s">
        <v>579</v>
      </c>
      <c r="B62" s="71"/>
      <c r="C62" s="71"/>
      <c r="D62" s="71"/>
      <c r="E62" s="71"/>
      <c r="F62" s="71"/>
      <c r="G62" s="72"/>
      <c r="H62" s="44"/>
      <c r="I62" s="44"/>
      <c r="J62" s="44"/>
      <c r="K62" s="44"/>
      <c r="L62" s="44"/>
    </row>
    <row r="63" spans="1:12" ht="15" thickBot="1">
      <c r="A63" s="17" t="s">
        <v>560</v>
      </c>
      <c r="B63" s="25" t="s">
        <v>571</v>
      </c>
      <c r="G63" s="1"/>
    </row>
    <row r="64" spans="1:12">
      <c r="A64" s="21">
        <v>36</v>
      </c>
      <c r="B64" s="67">
        <v>2</v>
      </c>
      <c r="G64" s="1"/>
    </row>
    <row r="65" spans="1:9">
      <c r="A65" s="22">
        <v>60</v>
      </c>
      <c r="B65" s="68">
        <v>2</v>
      </c>
      <c r="G65" s="1"/>
    </row>
    <row r="66" spans="1:9">
      <c r="A66" s="22">
        <v>84</v>
      </c>
      <c r="B66" s="68">
        <v>3</v>
      </c>
      <c r="G66" s="1"/>
    </row>
    <row r="67" spans="1:9">
      <c r="A67" s="22">
        <v>120</v>
      </c>
      <c r="B67" s="68">
        <v>3</v>
      </c>
      <c r="G67" s="1"/>
    </row>
    <row r="68" spans="1:9">
      <c r="A68" s="22">
        <v>180</v>
      </c>
      <c r="B68" s="68">
        <v>41</v>
      </c>
      <c r="G68" s="1"/>
    </row>
    <row r="69" spans="1:9">
      <c r="A69" s="22">
        <v>240</v>
      </c>
      <c r="B69" s="68">
        <v>2</v>
      </c>
      <c r="G69" s="1"/>
    </row>
    <row r="70" spans="1:9">
      <c r="A70" s="22">
        <v>300</v>
      </c>
      <c r="B70" s="68">
        <v>10</v>
      </c>
      <c r="G70" s="1"/>
    </row>
    <row r="71" spans="1:9">
      <c r="A71" s="22">
        <v>360</v>
      </c>
      <c r="B71" s="68">
        <v>452</v>
      </c>
      <c r="G71" s="1"/>
    </row>
    <row r="72" spans="1:9" ht="15" thickBot="1">
      <c r="A72" s="23">
        <v>480</v>
      </c>
      <c r="B72" s="68">
        <v>14</v>
      </c>
      <c r="G72" s="1"/>
    </row>
    <row r="73" spans="1:9" ht="15" thickBot="1">
      <c r="A73" s="24" t="s">
        <v>561</v>
      </c>
      <c r="B73" s="29">
        <v>529</v>
      </c>
      <c r="G73" s="1"/>
    </row>
    <row r="74" spans="1:9" ht="15" thickBot="1">
      <c r="A74" s="2"/>
      <c r="G74" s="1"/>
    </row>
    <row r="75" spans="1:9" ht="15" thickBot="1">
      <c r="A75" s="2"/>
      <c r="G75" s="1"/>
      <c r="I75" s="25"/>
    </row>
    <row r="76" spans="1:9">
      <c r="A76" s="2"/>
      <c r="G76" s="1"/>
    </row>
    <row r="77" spans="1:9">
      <c r="A77" s="2"/>
      <c r="G77" s="1"/>
    </row>
    <row r="78" spans="1:9">
      <c r="A78" s="2"/>
      <c r="G78" s="1"/>
    </row>
    <row r="79" spans="1:9" ht="15" thickBot="1">
      <c r="A79" s="3"/>
      <c r="B79" s="4"/>
      <c r="C79" s="4"/>
      <c r="D79" s="4"/>
      <c r="E79" s="4"/>
      <c r="F79" s="4"/>
      <c r="G79" s="5"/>
    </row>
  </sheetData>
  <mergeCells count="5">
    <mergeCell ref="A46:L46"/>
    <mergeCell ref="A62:G62"/>
    <mergeCell ref="A2:F2"/>
    <mergeCell ref="A13:F13"/>
    <mergeCell ref="A28:L28"/>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7D32C-91F2-4C91-A13B-ABE56C31B925}">
  <dimension ref="A1:Q530"/>
  <sheetViews>
    <sheetView tabSelected="1" topLeftCell="F1" zoomScale="82" workbookViewId="0">
      <selection activeCell="U13" sqref="U13"/>
    </sheetView>
  </sheetViews>
  <sheetFormatPr defaultRowHeight="14.4"/>
  <cols>
    <col min="1" max="1" width="10.109375" bestFit="1" customWidth="1"/>
    <col min="2" max="3" width="13.5546875" bestFit="1" customWidth="1"/>
    <col min="4" max="4" width="13.33203125" bestFit="1" customWidth="1"/>
    <col min="5" max="5" width="12.109375" bestFit="1" customWidth="1"/>
    <col min="6" max="6" width="15.88671875" bestFit="1" customWidth="1"/>
    <col min="7" max="7" width="18.6640625" bestFit="1" customWidth="1"/>
    <col min="8" max="8" width="20.77734375" bestFit="1" customWidth="1"/>
    <col min="9" max="9" width="15.33203125" bestFit="1" customWidth="1"/>
    <col min="10" max="10" width="20.77734375" bestFit="1" customWidth="1"/>
    <col min="11" max="11" width="15.109375" bestFit="1" customWidth="1"/>
    <col min="12" max="12" width="15.5546875" bestFit="1" customWidth="1"/>
    <col min="13" max="13" width="32.44140625" bestFit="1" customWidth="1"/>
    <col min="14" max="14" width="14.21875" bestFit="1" customWidth="1"/>
    <col min="15" max="15" width="14.109375" bestFit="1" customWidth="1"/>
    <col min="16" max="16" width="18.109375" bestFit="1" customWidth="1"/>
    <col min="17" max="17" width="19" bestFit="1" customWidth="1"/>
  </cols>
  <sheetData>
    <row r="1" spans="1:17">
      <c r="A1" s="35" t="s">
        <v>0</v>
      </c>
      <c r="B1" s="35" t="s">
        <v>1</v>
      </c>
      <c r="C1" s="35" t="s">
        <v>2</v>
      </c>
      <c r="D1" s="35" t="s">
        <v>3</v>
      </c>
      <c r="E1" s="35" t="s">
        <v>4</v>
      </c>
      <c r="F1" s="35" t="s">
        <v>5</v>
      </c>
      <c r="G1" s="35" t="s">
        <v>6</v>
      </c>
      <c r="H1" s="35" t="s">
        <v>7</v>
      </c>
      <c r="I1" s="35" t="s">
        <v>8</v>
      </c>
      <c r="J1" s="35" t="s">
        <v>9</v>
      </c>
      <c r="K1" s="35" t="s">
        <v>10</v>
      </c>
      <c r="L1" s="35" t="s">
        <v>11</v>
      </c>
      <c r="M1" s="35" t="s">
        <v>12</v>
      </c>
      <c r="N1" s="35" t="s">
        <v>584</v>
      </c>
      <c r="O1" s="35" t="s">
        <v>15</v>
      </c>
      <c r="P1" s="35" t="s">
        <v>14</v>
      </c>
      <c r="Q1" s="35" t="s">
        <v>16</v>
      </c>
    </row>
    <row r="2" spans="1:17">
      <c r="A2" s="31" t="s">
        <v>17</v>
      </c>
      <c r="B2" s="31" t="s">
        <v>18</v>
      </c>
      <c r="C2" s="31" t="s">
        <v>19</v>
      </c>
      <c r="D2" s="31">
        <v>1</v>
      </c>
      <c r="E2" s="31" t="s">
        <v>20</v>
      </c>
      <c r="F2" s="31" t="s">
        <v>21</v>
      </c>
      <c r="G2" s="31">
        <v>4583</v>
      </c>
      <c r="H2" s="31">
        <v>1508</v>
      </c>
      <c r="I2" s="31">
        <v>128</v>
      </c>
      <c r="J2" s="31">
        <v>360</v>
      </c>
      <c r="K2" s="31">
        <v>1</v>
      </c>
      <c r="L2" s="31" t="s">
        <v>22</v>
      </c>
      <c r="M2" s="31" t="s">
        <v>23</v>
      </c>
      <c r="N2" s="31">
        <v>6091</v>
      </c>
      <c r="O2" s="31" t="s">
        <v>24</v>
      </c>
      <c r="P2" s="32">
        <v>0.48</v>
      </c>
      <c r="Q2" s="31">
        <v>2.1014611722213101</v>
      </c>
    </row>
    <row r="3" spans="1:17">
      <c r="A3" s="33" t="s">
        <v>25</v>
      </c>
      <c r="B3" s="33" t="s">
        <v>18</v>
      </c>
      <c r="C3" s="33" t="s">
        <v>19</v>
      </c>
      <c r="D3" s="33">
        <v>0</v>
      </c>
      <c r="E3" s="33" t="s">
        <v>20</v>
      </c>
      <c r="F3" s="33" t="s">
        <v>19</v>
      </c>
      <c r="G3" s="33">
        <v>3000</v>
      </c>
      <c r="H3" s="33">
        <v>0</v>
      </c>
      <c r="I3" s="33">
        <v>66</v>
      </c>
      <c r="J3" s="33">
        <v>360</v>
      </c>
      <c r="K3" s="33">
        <v>1</v>
      </c>
      <c r="L3" s="33" t="s">
        <v>26</v>
      </c>
      <c r="M3" s="33" t="s">
        <v>27</v>
      </c>
      <c r="N3" s="33">
        <v>3000</v>
      </c>
      <c r="O3" s="33" t="s">
        <v>24</v>
      </c>
      <c r="P3" s="34">
        <v>0.45</v>
      </c>
      <c r="Q3" s="33">
        <v>2.1999999999999997</v>
      </c>
    </row>
    <row r="4" spans="1:17">
      <c r="A4" s="31" t="s">
        <v>28</v>
      </c>
      <c r="B4" s="31" t="s">
        <v>18</v>
      </c>
      <c r="C4" s="31" t="s">
        <v>19</v>
      </c>
      <c r="D4" s="31">
        <v>0</v>
      </c>
      <c r="E4" s="31" t="s">
        <v>29</v>
      </c>
      <c r="F4" s="31" t="s">
        <v>21</v>
      </c>
      <c r="G4" s="31">
        <v>2583</v>
      </c>
      <c r="H4" s="31">
        <v>2358</v>
      </c>
      <c r="I4" s="31">
        <v>120</v>
      </c>
      <c r="J4" s="31">
        <v>360</v>
      </c>
      <c r="K4" s="31">
        <v>1</v>
      </c>
      <c r="L4" s="31" t="s">
        <v>26</v>
      </c>
      <c r="M4" s="31" t="s">
        <v>27</v>
      </c>
      <c r="N4" s="31">
        <v>4941</v>
      </c>
      <c r="O4" s="31" t="s">
        <v>24</v>
      </c>
      <c r="P4" s="32">
        <v>0.41</v>
      </c>
      <c r="Q4" s="31">
        <v>2.4286581663630842</v>
      </c>
    </row>
    <row r="5" spans="1:17">
      <c r="A5" s="33" t="s">
        <v>30</v>
      </c>
      <c r="B5" s="33" t="s">
        <v>18</v>
      </c>
      <c r="C5" s="33" t="s">
        <v>21</v>
      </c>
      <c r="D5" s="33">
        <v>0</v>
      </c>
      <c r="E5" s="33" t="s">
        <v>20</v>
      </c>
      <c r="F5" s="33" t="s">
        <v>21</v>
      </c>
      <c r="G5" s="33">
        <v>6000</v>
      </c>
      <c r="H5" s="33">
        <v>0</v>
      </c>
      <c r="I5" s="33">
        <v>141</v>
      </c>
      <c r="J5" s="33">
        <v>360</v>
      </c>
      <c r="K5" s="33">
        <v>1</v>
      </c>
      <c r="L5" s="33" t="s">
        <v>26</v>
      </c>
      <c r="M5" s="33" t="s">
        <v>27</v>
      </c>
      <c r="N5" s="33">
        <v>6000</v>
      </c>
      <c r="O5" s="33" t="s">
        <v>24</v>
      </c>
      <c r="P5" s="34">
        <v>0.43</v>
      </c>
      <c r="Q5" s="33">
        <v>2.35</v>
      </c>
    </row>
    <row r="6" spans="1:17">
      <c r="A6" s="31" t="s">
        <v>31</v>
      </c>
      <c r="B6" s="31" t="s">
        <v>18</v>
      </c>
      <c r="C6" s="31" t="s">
        <v>19</v>
      </c>
      <c r="D6" s="31">
        <v>2</v>
      </c>
      <c r="E6" s="31" t="s">
        <v>20</v>
      </c>
      <c r="F6" s="31" t="s">
        <v>19</v>
      </c>
      <c r="G6" s="31">
        <v>5417</v>
      </c>
      <c r="H6" s="31">
        <v>4196</v>
      </c>
      <c r="I6" s="31">
        <v>267</v>
      </c>
      <c r="J6" s="31">
        <v>360</v>
      </c>
      <c r="K6" s="31">
        <v>1</v>
      </c>
      <c r="L6" s="31" t="s">
        <v>26</v>
      </c>
      <c r="M6" s="31" t="s">
        <v>27</v>
      </c>
      <c r="N6" s="31">
        <v>9613</v>
      </c>
      <c r="O6" s="31" t="s">
        <v>24</v>
      </c>
      <c r="P6" s="32">
        <v>0.36</v>
      </c>
      <c r="Q6" s="31">
        <v>2.7774888172266721</v>
      </c>
    </row>
    <row r="7" spans="1:17">
      <c r="A7" s="33" t="s">
        <v>32</v>
      </c>
      <c r="B7" s="33" t="s">
        <v>18</v>
      </c>
      <c r="C7" s="33" t="s">
        <v>19</v>
      </c>
      <c r="D7" s="33">
        <v>0</v>
      </c>
      <c r="E7" s="33" t="s">
        <v>29</v>
      </c>
      <c r="F7" s="33" t="s">
        <v>21</v>
      </c>
      <c r="G7" s="33">
        <v>2333</v>
      </c>
      <c r="H7" s="33">
        <v>1516</v>
      </c>
      <c r="I7" s="33">
        <v>95</v>
      </c>
      <c r="J7" s="33">
        <v>360</v>
      </c>
      <c r="K7" s="33">
        <v>1</v>
      </c>
      <c r="L7" s="33" t="s">
        <v>26</v>
      </c>
      <c r="M7" s="33" t="s">
        <v>27</v>
      </c>
      <c r="N7" s="33">
        <v>3849</v>
      </c>
      <c r="O7" s="33" t="s">
        <v>24</v>
      </c>
      <c r="P7" s="34">
        <v>0.41</v>
      </c>
      <c r="Q7" s="33">
        <v>2.4681735515718368</v>
      </c>
    </row>
    <row r="8" spans="1:17">
      <c r="A8" s="31" t="s">
        <v>33</v>
      </c>
      <c r="B8" s="31" t="s">
        <v>18</v>
      </c>
      <c r="C8" s="31" t="s">
        <v>19</v>
      </c>
      <c r="D8" s="31">
        <v>3</v>
      </c>
      <c r="E8" s="31" t="s">
        <v>20</v>
      </c>
      <c r="F8" s="31" t="s">
        <v>21</v>
      </c>
      <c r="G8" s="31">
        <v>3036</v>
      </c>
      <c r="H8" s="31">
        <v>2504</v>
      </c>
      <c r="I8" s="31">
        <v>158</v>
      </c>
      <c r="J8" s="31">
        <v>360</v>
      </c>
      <c r="K8" s="31">
        <v>0</v>
      </c>
      <c r="L8" s="31" t="s">
        <v>34</v>
      </c>
      <c r="M8" s="31" t="s">
        <v>23</v>
      </c>
      <c r="N8" s="31">
        <v>5540</v>
      </c>
      <c r="O8" s="31" t="s">
        <v>35</v>
      </c>
      <c r="P8" s="32">
        <v>0.35</v>
      </c>
      <c r="Q8" s="31">
        <v>2.8519855595667871</v>
      </c>
    </row>
    <row r="9" spans="1:17">
      <c r="A9" s="33" t="s">
        <v>36</v>
      </c>
      <c r="B9" s="33" t="s">
        <v>18</v>
      </c>
      <c r="C9" s="33" t="s">
        <v>19</v>
      </c>
      <c r="D9" s="33">
        <v>2</v>
      </c>
      <c r="E9" s="33" t="s">
        <v>20</v>
      </c>
      <c r="F9" s="33" t="s">
        <v>21</v>
      </c>
      <c r="G9" s="33">
        <v>4006</v>
      </c>
      <c r="H9" s="33">
        <v>1526</v>
      </c>
      <c r="I9" s="33">
        <v>168</v>
      </c>
      <c r="J9" s="33">
        <v>360</v>
      </c>
      <c r="K9" s="33">
        <v>1</v>
      </c>
      <c r="L9" s="33" t="s">
        <v>26</v>
      </c>
      <c r="M9" s="33" t="s">
        <v>27</v>
      </c>
      <c r="N9" s="33">
        <v>5532</v>
      </c>
      <c r="O9" s="33" t="s">
        <v>24</v>
      </c>
      <c r="P9" s="34">
        <v>0.33</v>
      </c>
      <c r="Q9" s="33">
        <v>3.0368763557483729</v>
      </c>
    </row>
    <row r="10" spans="1:17">
      <c r="A10" s="31" t="s">
        <v>37</v>
      </c>
      <c r="B10" s="31" t="s">
        <v>18</v>
      </c>
      <c r="C10" s="31" t="s">
        <v>19</v>
      </c>
      <c r="D10" s="31">
        <v>1</v>
      </c>
      <c r="E10" s="31" t="s">
        <v>20</v>
      </c>
      <c r="F10" s="31" t="s">
        <v>21</v>
      </c>
      <c r="G10" s="31">
        <v>12841</v>
      </c>
      <c r="H10" s="31">
        <v>10968</v>
      </c>
      <c r="I10" s="31">
        <v>349</v>
      </c>
      <c r="J10" s="31">
        <v>360</v>
      </c>
      <c r="K10" s="31">
        <v>1</v>
      </c>
      <c r="L10" s="31" t="s">
        <v>34</v>
      </c>
      <c r="M10" s="31" t="s">
        <v>23</v>
      </c>
      <c r="N10" s="31">
        <v>23809</v>
      </c>
      <c r="O10" s="31" t="s">
        <v>24</v>
      </c>
      <c r="P10" s="32">
        <v>0.68</v>
      </c>
      <c r="Q10" s="31">
        <v>1.4658322483094628</v>
      </c>
    </row>
    <row r="11" spans="1:17">
      <c r="A11" s="33" t="s">
        <v>38</v>
      </c>
      <c r="B11" s="33" t="s">
        <v>18</v>
      </c>
      <c r="C11" s="33" t="s">
        <v>19</v>
      </c>
      <c r="D11" s="33">
        <v>2</v>
      </c>
      <c r="E11" s="33" t="s">
        <v>20</v>
      </c>
      <c r="F11" s="33" t="s">
        <v>21</v>
      </c>
      <c r="G11" s="33">
        <v>3200</v>
      </c>
      <c r="H11" s="33">
        <v>700</v>
      </c>
      <c r="I11" s="33">
        <v>70</v>
      </c>
      <c r="J11" s="33">
        <v>360</v>
      </c>
      <c r="K11" s="33">
        <v>1</v>
      </c>
      <c r="L11" s="33" t="s">
        <v>26</v>
      </c>
      <c r="M11" s="33" t="s">
        <v>27</v>
      </c>
      <c r="N11" s="33">
        <v>3900</v>
      </c>
      <c r="O11" s="33" t="s">
        <v>24</v>
      </c>
      <c r="P11" s="34">
        <v>0.56000000000000005</v>
      </c>
      <c r="Q11" s="33">
        <v>1.7948717948717947</v>
      </c>
    </row>
    <row r="12" spans="1:17">
      <c r="A12" s="31" t="s">
        <v>39</v>
      </c>
      <c r="B12" s="31" t="s">
        <v>18</v>
      </c>
      <c r="C12" s="31" t="s">
        <v>19</v>
      </c>
      <c r="D12" s="31">
        <v>2</v>
      </c>
      <c r="E12" s="31" t="s">
        <v>20</v>
      </c>
      <c r="F12" s="31" t="s">
        <v>40</v>
      </c>
      <c r="G12" s="31">
        <v>2500</v>
      </c>
      <c r="H12" s="31">
        <v>1840</v>
      </c>
      <c r="I12" s="31">
        <v>109</v>
      </c>
      <c r="J12" s="31">
        <v>360</v>
      </c>
      <c r="K12" s="31">
        <v>1</v>
      </c>
      <c r="L12" s="31" t="s">
        <v>26</v>
      </c>
      <c r="M12" s="31" t="s">
        <v>27</v>
      </c>
      <c r="N12" s="31">
        <v>4340</v>
      </c>
      <c r="O12" s="31" t="s">
        <v>24</v>
      </c>
      <c r="P12" s="32">
        <v>0.4</v>
      </c>
      <c r="Q12" s="31">
        <v>2.5115207373271891</v>
      </c>
    </row>
    <row r="13" spans="1:17">
      <c r="A13" s="33" t="s">
        <v>41</v>
      </c>
      <c r="B13" s="33" t="s">
        <v>18</v>
      </c>
      <c r="C13" s="33" t="s">
        <v>19</v>
      </c>
      <c r="D13" s="33">
        <v>2</v>
      </c>
      <c r="E13" s="33" t="s">
        <v>20</v>
      </c>
      <c r="F13" s="33" t="s">
        <v>21</v>
      </c>
      <c r="G13" s="33">
        <v>3073</v>
      </c>
      <c r="H13" s="33">
        <v>8106</v>
      </c>
      <c r="I13" s="33">
        <v>200</v>
      </c>
      <c r="J13" s="33">
        <v>360</v>
      </c>
      <c r="K13" s="33">
        <v>1</v>
      </c>
      <c r="L13" s="33" t="s">
        <v>26</v>
      </c>
      <c r="M13" s="33" t="s">
        <v>27</v>
      </c>
      <c r="N13" s="33">
        <v>11179</v>
      </c>
      <c r="O13" s="33" t="s">
        <v>24</v>
      </c>
      <c r="P13" s="34">
        <v>0.56000000000000005</v>
      </c>
      <c r="Q13" s="33">
        <v>1.7890687896949637</v>
      </c>
    </row>
    <row r="14" spans="1:17">
      <c r="A14" s="31" t="s">
        <v>42</v>
      </c>
      <c r="B14" s="31" t="s">
        <v>18</v>
      </c>
      <c r="C14" s="31" t="s">
        <v>21</v>
      </c>
      <c r="D14" s="31">
        <v>0</v>
      </c>
      <c r="E14" s="31" t="s">
        <v>20</v>
      </c>
      <c r="F14" s="31" t="s">
        <v>21</v>
      </c>
      <c r="G14" s="31">
        <v>1853</v>
      </c>
      <c r="H14" s="31">
        <v>2840</v>
      </c>
      <c r="I14" s="31">
        <v>114</v>
      </c>
      <c r="J14" s="31">
        <v>360</v>
      </c>
      <c r="K14" s="31">
        <v>1</v>
      </c>
      <c r="L14" s="31" t="s">
        <v>22</v>
      </c>
      <c r="M14" s="31" t="s">
        <v>23</v>
      </c>
      <c r="N14" s="31">
        <v>4693</v>
      </c>
      <c r="O14" s="31" t="s">
        <v>24</v>
      </c>
      <c r="P14" s="32">
        <v>0.41</v>
      </c>
      <c r="Q14" s="31">
        <v>2.42914979757085</v>
      </c>
    </row>
    <row r="15" spans="1:17">
      <c r="A15" s="33" t="s">
        <v>43</v>
      </c>
      <c r="B15" s="33" t="s">
        <v>18</v>
      </c>
      <c r="C15" s="33" t="s">
        <v>19</v>
      </c>
      <c r="D15" s="33">
        <v>2</v>
      </c>
      <c r="E15" s="33" t="s">
        <v>20</v>
      </c>
      <c r="F15" s="33" t="s">
        <v>21</v>
      </c>
      <c r="G15" s="33">
        <v>1299</v>
      </c>
      <c r="H15" s="33">
        <v>1086</v>
      </c>
      <c r="I15" s="33">
        <v>17</v>
      </c>
      <c r="J15" s="33">
        <v>120</v>
      </c>
      <c r="K15" s="33">
        <v>1</v>
      </c>
      <c r="L15" s="33" t="s">
        <v>26</v>
      </c>
      <c r="M15" s="33" t="s">
        <v>27</v>
      </c>
      <c r="N15" s="33">
        <v>2385</v>
      </c>
      <c r="O15" s="33" t="s">
        <v>24</v>
      </c>
      <c r="P15" s="34">
        <v>1.4</v>
      </c>
      <c r="Q15" s="33">
        <v>0.71278825995807127</v>
      </c>
    </row>
    <row r="16" spans="1:17">
      <c r="A16" s="31" t="s">
        <v>44</v>
      </c>
      <c r="B16" s="31" t="s">
        <v>18</v>
      </c>
      <c r="C16" s="31" t="s">
        <v>21</v>
      </c>
      <c r="D16" s="31">
        <v>0</v>
      </c>
      <c r="E16" s="31" t="s">
        <v>20</v>
      </c>
      <c r="F16" s="31" t="s">
        <v>21</v>
      </c>
      <c r="G16" s="31">
        <v>4950</v>
      </c>
      <c r="H16" s="31">
        <v>0</v>
      </c>
      <c r="I16" s="31">
        <v>125</v>
      </c>
      <c r="J16" s="31">
        <v>360</v>
      </c>
      <c r="K16" s="31">
        <v>1</v>
      </c>
      <c r="L16" s="31" t="s">
        <v>26</v>
      </c>
      <c r="M16" s="31" t="s">
        <v>27</v>
      </c>
      <c r="N16" s="31">
        <v>4950</v>
      </c>
      <c r="O16" s="31" t="s">
        <v>24</v>
      </c>
      <c r="P16" s="32">
        <v>0.4</v>
      </c>
      <c r="Q16" s="31">
        <v>2.5252525252525251</v>
      </c>
    </row>
    <row r="17" spans="1:17">
      <c r="A17" s="33" t="s">
        <v>45</v>
      </c>
      <c r="B17" s="33" t="s">
        <v>46</v>
      </c>
      <c r="C17" s="33" t="s">
        <v>21</v>
      </c>
      <c r="D17" s="33">
        <v>0</v>
      </c>
      <c r="E17" s="33" t="s">
        <v>20</v>
      </c>
      <c r="F17" s="33" t="s">
        <v>21</v>
      </c>
      <c r="G17" s="33">
        <v>3510</v>
      </c>
      <c r="H17" s="33">
        <v>0</v>
      </c>
      <c r="I17" s="33">
        <v>76</v>
      </c>
      <c r="J17" s="33">
        <v>360</v>
      </c>
      <c r="K17" s="33">
        <v>0</v>
      </c>
      <c r="L17" s="33" t="s">
        <v>26</v>
      </c>
      <c r="M17" s="33" t="s">
        <v>23</v>
      </c>
      <c r="N17" s="33">
        <v>3510</v>
      </c>
      <c r="O17" s="33" t="s">
        <v>35</v>
      </c>
      <c r="P17" s="34">
        <v>0.46</v>
      </c>
      <c r="Q17" s="33">
        <v>2.1652421652421654</v>
      </c>
    </row>
    <row r="18" spans="1:17">
      <c r="A18" s="31" t="s">
        <v>47</v>
      </c>
      <c r="B18" s="31" t="s">
        <v>18</v>
      </c>
      <c r="C18" s="31" t="s">
        <v>19</v>
      </c>
      <c r="D18" s="31">
        <v>0</v>
      </c>
      <c r="E18" s="31" t="s">
        <v>29</v>
      </c>
      <c r="F18" s="31" t="s">
        <v>21</v>
      </c>
      <c r="G18" s="31">
        <v>4887</v>
      </c>
      <c r="H18" s="31">
        <v>0</v>
      </c>
      <c r="I18" s="31">
        <v>133</v>
      </c>
      <c r="J18" s="31">
        <v>360</v>
      </c>
      <c r="K18" s="31">
        <v>1</v>
      </c>
      <c r="L18" s="31" t="s">
        <v>22</v>
      </c>
      <c r="M18" s="31" t="s">
        <v>23</v>
      </c>
      <c r="N18" s="31">
        <v>4887</v>
      </c>
      <c r="O18" s="31" t="s">
        <v>24</v>
      </c>
      <c r="P18" s="32">
        <v>0.37</v>
      </c>
      <c r="Q18" s="31">
        <v>2.7215060364231634</v>
      </c>
    </row>
    <row r="19" spans="1:17">
      <c r="A19" s="33" t="s">
        <v>48</v>
      </c>
      <c r="B19" s="33" t="s">
        <v>18</v>
      </c>
      <c r="C19" s="33" t="s">
        <v>19</v>
      </c>
      <c r="D19" s="33">
        <v>0</v>
      </c>
      <c r="E19" s="33" t="s">
        <v>29</v>
      </c>
      <c r="F19" s="33" t="s">
        <v>21</v>
      </c>
      <c r="G19" s="33">
        <v>7660</v>
      </c>
      <c r="H19" s="33">
        <v>0</v>
      </c>
      <c r="I19" s="33">
        <v>104</v>
      </c>
      <c r="J19" s="33">
        <v>360</v>
      </c>
      <c r="K19" s="33">
        <v>0</v>
      </c>
      <c r="L19" s="33" t="s">
        <v>26</v>
      </c>
      <c r="M19" s="33" t="s">
        <v>23</v>
      </c>
      <c r="N19" s="33">
        <v>7660</v>
      </c>
      <c r="O19" s="33" t="s">
        <v>35</v>
      </c>
      <c r="P19" s="34">
        <v>0.74</v>
      </c>
      <c r="Q19" s="33">
        <v>1.3577023498694516</v>
      </c>
    </row>
    <row r="20" spans="1:17">
      <c r="A20" s="31" t="s">
        <v>49</v>
      </c>
      <c r="B20" s="31" t="s">
        <v>18</v>
      </c>
      <c r="C20" s="31" t="s">
        <v>19</v>
      </c>
      <c r="D20" s="31">
        <v>1</v>
      </c>
      <c r="E20" s="31" t="s">
        <v>20</v>
      </c>
      <c r="F20" s="31" t="s">
        <v>21</v>
      </c>
      <c r="G20" s="31">
        <v>5955</v>
      </c>
      <c r="H20" s="31">
        <v>5625</v>
      </c>
      <c r="I20" s="31">
        <v>315</v>
      </c>
      <c r="J20" s="31">
        <v>360</v>
      </c>
      <c r="K20" s="31">
        <v>1</v>
      </c>
      <c r="L20" s="31" t="s">
        <v>26</v>
      </c>
      <c r="M20" s="31" t="s">
        <v>27</v>
      </c>
      <c r="N20" s="31">
        <v>11580</v>
      </c>
      <c r="O20" s="31" t="s">
        <v>24</v>
      </c>
      <c r="P20" s="32">
        <v>0.37</v>
      </c>
      <c r="Q20" s="31">
        <v>2.7202072538860103</v>
      </c>
    </row>
    <row r="21" spans="1:17">
      <c r="A21" s="33" t="s">
        <v>50</v>
      </c>
      <c r="B21" s="33" t="s">
        <v>18</v>
      </c>
      <c r="C21" s="33" t="s">
        <v>19</v>
      </c>
      <c r="D21" s="33">
        <v>0</v>
      </c>
      <c r="E21" s="33" t="s">
        <v>29</v>
      </c>
      <c r="F21" s="33" t="s">
        <v>21</v>
      </c>
      <c r="G21" s="33">
        <v>2600</v>
      </c>
      <c r="H21" s="33">
        <v>1911</v>
      </c>
      <c r="I21" s="33">
        <v>116</v>
      </c>
      <c r="J21" s="33">
        <v>360</v>
      </c>
      <c r="K21" s="33">
        <v>0</v>
      </c>
      <c r="L21" s="33" t="s">
        <v>34</v>
      </c>
      <c r="M21" s="33" t="s">
        <v>23</v>
      </c>
      <c r="N21" s="33">
        <v>4511</v>
      </c>
      <c r="O21" s="33" t="s">
        <v>35</v>
      </c>
      <c r="P21" s="34">
        <v>0.39</v>
      </c>
      <c r="Q21" s="33">
        <v>2.5714919086677011</v>
      </c>
    </row>
    <row r="22" spans="1:17">
      <c r="A22" s="31" t="s">
        <v>51</v>
      </c>
      <c r="B22" s="31" t="s">
        <v>40</v>
      </c>
      <c r="C22" s="31" t="s">
        <v>19</v>
      </c>
      <c r="D22" s="31">
        <v>2</v>
      </c>
      <c r="E22" s="31" t="s">
        <v>29</v>
      </c>
      <c r="F22" s="31" t="s">
        <v>21</v>
      </c>
      <c r="G22" s="31">
        <v>3365</v>
      </c>
      <c r="H22" s="31">
        <v>1917</v>
      </c>
      <c r="I22" s="31">
        <v>112</v>
      </c>
      <c r="J22" s="31">
        <v>360</v>
      </c>
      <c r="K22" s="31">
        <v>0</v>
      </c>
      <c r="L22" s="31" t="s">
        <v>22</v>
      </c>
      <c r="M22" s="31" t="s">
        <v>23</v>
      </c>
      <c r="N22" s="31">
        <v>5282</v>
      </c>
      <c r="O22" s="31" t="s">
        <v>35</v>
      </c>
      <c r="P22" s="32">
        <v>0.47</v>
      </c>
      <c r="Q22" s="31">
        <v>2.1204089360090874</v>
      </c>
    </row>
    <row r="23" spans="1:17">
      <c r="A23" s="33" t="s">
        <v>52</v>
      </c>
      <c r="B23" s="33" t="s">
        <v>18</v>
      </c>
      <c r="C23" s="33" t="s">
        <v>19</v>
      </c>
      <c r="D23" s="33">
        <v>0</v>
      </c>
      <c r="E23" s="33" t="s">
        <v>20</v>
      </c>
      <c r="F23" s="33" t="s">
        <v>19</v>
      </c>
      <c r="G23" s="33">
        <v>9560</v>
      </c>
      <c r="H23" s="33">
        <v>0</v>
      </c>
      <c r="I23" s="33">
        <v>191</v>
      </c>
      <c r="J23" s="33">
        <v>360</v>
      </c>
      <c r="K23" s="33">
        <v>1</v>
      </c>
      <c r="L23" s="33" t="s">
        <v>34</v>
      </c>
      <c r="M23" s="33" t="s">
        <v>27</v>
      </c>
      <c r="N23" s="33">
        <v>9560</v>
      </c>
      <c r="O23" s="33" t="s">
        <v>24</v>
      </c>
      <c r="P23" s="34">
        <v>0.5</v>
      </c>
      <c r="Q23" s="33">
        <v>1.9979079497907952</v>
      </c>
    </row>
    <row r="24" spans="1:17">
      <c r="A24" s="31" t="s">
        <v>53</v>
      </c>
      <c r="B24" s="31" t="s">
        <v>18</v>
      </c>
      <c r="C24" s="31" t="s">
        <v>19</v>
      </c>
      <c r="D24" s="31">
        <v>0</v>
      </c>
      <c r="E24" s="31" t="s">
        <v>20</v>
      </c>
      <c r="F24" s="31" t="s">
        <v>21</v>
      </c>
      <c r="G24" s="31">
        <v>2799</v>
      </c>
      <c r="H24" s="31">
        <v>2253</v>
      </c>
      <c r="I24" s="31">
        <v>122</v>
      </c>
      <c r="J24" s="31">
        <v>360</v>
      </c>
      <c r="K24" s="31">
        <v>1</v>
      </c>
      <c r="L24" s="31" t="s">
        <v>34</v>
      </c>
      <c r="M24" s="31" t="s">
        <v>27</v>
      </c>
      <c r="N24" s="31">
        <v>5052</v>
      </c>
      <c r="O24" s="31" t="s">
        <v>24</v>
      </c>
      <c r="P24" s="32">
        <v>0.41</v>
      </c>
      <c r="Q24" s="31">
        <v>2.4148851939825811</v>
      </c>
    </row>
    <row r="25" spans="1:17">
      <c r="A25" s="33" t="s">
        <v>54</v>
      </c>
      <c r="B25" s="33" t="s">
        <v>18</v>
      </c>
      <c r="C25" s="33" t="s">
        <v>19</v>
      </c>
      <c r="D25" s="33">
        <v>2</v>
      </c>
      <c r="E25" s="33" t="s">
        <v>29</v>
      </c>
      <c r="F25" s="33" t="s">
        <v>21</v>
      </c>
      <c r="G25" s="33">
        <v>4226</v>
      </c>
      <c r="H25" s="33">
        <v>1040</v>
      </c>
      <c r="I25" s="33">
        <v>110</v>
      </c>
      <c r="J25" s="33">
        <v>360</v>
      </c>
      <c r="K25" s="33">
        <v>1</v>
      </c>
      <c r="L25" s="33" t="s">
        <v>26</v>
      </c>
      <c r="M25" s="33" t="s">
        <v>27</v>
      </c>
      <c r="N25" s="33">
        <v>5266</v>
      </c>
      <c r="O25" s="33" t="s">
        <v>24</v>
      </c>
      <c r="P25" s="34">
        <v>0.48</v>
      </c>
      <c r="Q25" s="33">
        <v>2.0888720091150779</v>
      </c>
    </row>
    <row r="26" spans="1:17">
      <c r="A26" s="31" t="s">
        <v>55</v>
      </c>
      <c r="B26" s="31" t="s">
        <v>18</v>
      </c>
      <c r="C26" s="31" t="s">
        <v>21</v>
      </c>
      <c r="D26" s="31">
        <v>0</v>
      </c>
      <c r="E26" s="31" t="s">
        <v>29</v>
      </c>
      <c r="F26" s="31" t="s">
        <v>21</v>
      </c>
      <c r="G26" s="31">
        <v>1442</v>
      </c>
      <c r="H26" s="31">
        <v>0</v>
      </c>
      <c r="I26" s="31">
        <v>35</v>
      </c>
      <c r="J26" s="31">
        <v>360</v>
      </c>
      <c r="K26" s="31">
        <v>1</v>
      </c>
      <c r="L26" s="31" t="s">
        <v>26</v>
      </c>
      <c r="M26" s="31" t="s">
        <v>23</v>
      </c>
      <c r="N26" s="31">
        <v>1442</v>
      </c>
      <c r="O26" s="31" t="s">
        <v>24</v>
      </c>
      <c r="P26" s="32">
        <v>0.41</v>
      </c>
      <c r="Q26" s="31">
        <v>2.4271844660194173</v>
      </c>
    </row>
    <row r="27" spans="1:17">
      <c r="A27" s="33" t="s">
        <v>56</v>
      </c>
      <c r="B27" s="33" t="s">
        <v>46</v>
      </c>
      <c r="C27" s="33" t="s">
        <v>21</v>
      </c>
      <c r="D27" s="33">
        <v>2</v>
      </c>
      <c r="E27" s="33" t="s">
        <v>20</v>
      </c>
      <c r="F27" s="33" t="s">
        <v>40</v>
      </c>
      <c r="G27" s="33">
        <v>3750</v>
      </c>
      <c r="H27" s="33">
        <v>2083</v>
      </c>
      <c r="I27" s="33">
        <v>120</v>
      </c>
      <c r="J27" s="33">
        <v>360</v>
      </c>
      <c r="K27" s="33">
        <v>1</v>
      </c>
      <c r="L27" s="33" t="s">
        <v>34</v>
      </c>
      <c r="M27" s="33" t="s">
        <v>27</v>
      </c>
      <c r="N27" s="33">
        <v>5833</v>
      </c>
      <c r="O27" s="33" t="s">
        <v>24</v>
      </c>
      <c r="P27" s="34">
        <v>0.49</v>
      </c>
      <c r="Q27" s="33">
        <v>2.0572604148808504</v>
      </c>
    </row>
    <row r="28" spans="1:17">
      <c r="A28" s="31" t="s">
        <v>57</v>
      </c>
      <c r="B28" s="31" t="s">
        <v>18</v>
      </c>
      <c r="C28" s="31" t="s">
        <v>21</v>
      </c>
      <c r="D28" s="31">
        <v>0</v>
      </c>
      <c r="E28" s="31" t="s">
        <v>20</v>
      </c>
      <c r="F28" s="31" t="s">
        <v>21</v>
      </c>
      <c r="G28" s="31">
        <v>3167</v>
      </c>
      <c r="H28" s="31">
        <v>0</v>
      </c>
      <c r="I28" s="31">
        <v>74</v>
      </c>
      <c r="J28" s="31">
        <v>360</v>
      </c>
      <c r="K28" s="31">
        <v>1</v>
      </c>
      <c r="L28" s="31" t="s">
        <v>26</v>
      </c>
      <c r="M28" s="31" t="s">
        <v>23</v>
      </c>
      <c r="N28" s="31">
        <v>3167</v>
      </c>
      <c r="O28" s="31" t="s">
        <v>24</v>
      </c>
      <c r="P28" s="32">
        <v>0.43</v>
      </c>
      <c r="Q28" s="31">
        <v>2.3365961477739186</v>
      </c>
    </row>
    <row r="29" spans="1:17">
      <c r="A29" s="33" t="s">
        <v>58</v>
      </c>
      <c r="B29" s="33" t="s">
        <v>18</v>
      </c>
      <c r="C29" s="33" t="s">
        <v>21</v>
      </c>
      <c r="D29" s="33">
        <v>1</v>
      </c>
      <c r="E29" s="33" t="s">
        <v>20</v>
      </c>
      <c r="F29" s="33" t="s">
        <v>19</v>
      </c>
      <c r="G29" s="33">
        <v>4692</v>
      </c>
      <c r="H29" s="33">
        <v>0</v>
      </c>
      <c r="I29" s="33">
        <v>106</v>
      </c>
      <c r="J29" s="33">
        <v>360</v>
      </c>
      <c r="K29" s="33">
        <v>1</v>
      </c>
      <c r="L29" s="33" t="s">
        <v>22</v>
      </c>
      <c r="M29" s="33" t="s">
        <v>23</v>
      </c>
      <c r="N29" s="33">
        <v>4692</v>
      </c>
      <c r="O29" s="33" t="s">
        <v>24</v>
      </c>
      <c r="P29" s="34">
        <v>0.44</v>
      </c>
      <c r="Q29" s="33">
        <v>2.2591645353793695</v>
      </c>
    </row>
    <row r="30" spans="1:17">
      <c r="A30" s="31" t="s">
        <v>59</v>
      </c>
      <c r="B30" s="31" t="s">
        <v>18</v>
      </c>
      <c r="C30" s="31" t="s">
        <v>19</v>
      </c>
      <c r="D30" s="31">
        <v>0</v>
      </c>
      <c r="E30" s="31" t="s">
        <v>20</v>
      </c>
      <c r="F30" s="31" t="s">
        <v>21</v>
      </c>
      <c r="G30" s="31">
        <v>3500</v>
      </c>
      <c r="H30" s="31">
        <v>1667</v>
      </c>
      <c r="I30" s="31">
        <v>114</v>
      </c>
      <c r="J30" s="31">
        <v>360</v>
      </c>
      <c r="K30" s="31">
        <v>1</v>
      </c>
      <c r="L30" s="31" t="s">
        <v>34</v>
      </c>
      <c r="M30" s="31" t="s">
        <v>27</v>
      </c>
      <c r="N30" s="31">
        <v>5167</v>
      </c>
      <c r="O30" s="31" t="s">
        <v>24</v>
      </c>
      <c r="P30" s="32">
        <v>0.45</v>
      </c>
      <c r="Q30" s="31">
        <v>2.2063092703696534</v>
      </c>
    </row>
    <row r="31" spans="1:17">
      <c r="A31" s="33" t="s">
        <v>60</v>
      </c>
      <c r="B31" s="33" t="s">
        <v>18</v>
      </c>
      <c r="C31" s="33" t="s">
        <v>21</v>
      </c>
      <c r="D31" s="33">
        <v>3</v>
      </c>
      <c r="E31" s="33" t="s">
        <v>20</v>
      </c>
      <c r="F31" s="33" t="s">
        <v>21</v>
      </c>
      <c r="G31" s="33">
        <v>12500</v>
      </c>
      <c r="H31" s="33">
        <v>3000</v>
      </c>
      <c r="I31" s="33">
        <v>320</v>
      </c>
      <c r="J31" s="33">
        <v>360</v>
      </c>
      <c r="K31" s="33">
        <v>1</v>
      </c>
      <c r="L31" s="33" t="s">
        <v>22</v>
      </c>
      <c r="M31" s="33" t="s">
        <v>23</v>
      </c>
      <c r="N31" s="33">
        <v>15500</v>
      </c>
      <c r="O31" s="33" t="s">
        <v>24</v>
      </c>
      <c r="P31" s="34">
        <v>0.48</v>
      </c>
      <c r="Q31" s="33">
        <v>2.064516129032258</v>
      </c>
    </row>
    <row r="32" spans="1:17">
      <c r="A32" s="31" t="s">
        <v>61</v>
      </c>
      <c r="B32" s="31" t="s">
        <v>46</v>
      </c>
      <c r="C32" s="31" t="s">
        <v>19</v>
      </c>
      <c r="D32" s="31">
        <v>0</v>
      </c>
      <c r="E32" s="31" t="s">
        <v>20</v>
      </c>
      <c r="F32" s="31" t="s">
        <v>21</v>
      </c>
      <c r="G32" s="31">
        <v>3667</v>
      </c>
      <c r="H32" s="31">
        <v>1459</v>
      </c>
      <c r="I32" s="31">
        <v>144</v>
      </c>
      <c r="J32" s="31">
        <v>360</v>
      </c>
      <c r="K32" s="31">
        <v>1</v>
      </c>
      <c r="L32" s="31" t="s">
        <v>34</v>
      </c>
      <c r="M32" s="31" t="s">
        <v>27</v>
      </c>
      <c r="N32" s="31">
        <v>5126</v>
      </c>
      <c r="O32" s="31" t="s">
        <v>24</v>
      </c>
      <c r="P32" s="32">
        <v>0.36</v>
      </c>
      <c r="Q32" s="31">
        <v>2.8092079594225519</v>
      </c>
    </row>
    <row r="33" spans="1:17">
      <c r="A33" s="33" t="s">
        <v>62</v>
      </c>
      <c r="B33" s="33" t="s">
        <v>18</v>
      </c>
      <c r="C33" s="33" t="s">
        <v>21</v>
      </c>
      <c r="D33" s="33">
        <v>0</v>
      </c>
      <c r="E33" s="33" t="s">
        <v>20</v>
      </c>
      <c r="F33" s="33" t="s">
        <v>21</v>
      </c>
      <c r="G33" s="33">
        <v>4166</v>
      </c>
      <c r="H33" s="33">
        <v>7210</v>
      </c>
      <c r="I33" s="33">
        <v>184</v>
      </c>
      <c r="J33" s="33">
        <v>360</v>
      </c>
      <c r="K33" s="33">
        <v>1</v>
      </c>
      <c r="L33" s="33" t="s">
        <v>26</v>
      </c>
      <c r="M33" s="33" t="s">
        <v>27</v>
      </c>
      <c r="N33" s="33">
        <v>11376</v>
      </c>
      <c r="O33" s="33" t="s">
        <v>24</v>
      </c>
      <c r="P33" s="34">
        <v>0.62</v>
      </c>
      <c r="Q33" s="33">
        <v>1.6174402250351618</v>
      </c>
    </row>
    <row r="34" spans="1:17">
      <c r="A34" s="31" t="s">
        <v>63</v>
      </c>
      <c r="B34" s="31" t="s">
        <v>18</v>
      </c>
      <c r="C34" s="31" t="s">
        <v>21</v>
      </c>
      <c r="D34" s="31">
        <v>0</v>
      </c>
      <c r="E34" s="31" t="s">
        <v>29</v>
      </c>
      <c r="F34" s="31" t="s">
        <v>21</v>
      </c>
      <c r="G34" s="31">
        <v>3748</v>
      </c>
      <c r="H34" s="31">
        <v>1668</v>
      </c>
      <c r="I34" s="31">
        <v>110</v>
      </c>
      <c r="J34" s="31">
        <v>360</v>
      </c>
      <c r="K34" s="31">
        <v>1</v>
      </c>
      <c r="L34" s="31" t="s">
        <v>34</v>
      </c>
      <c r="M34" s="31" t="s">
        <v>27</v>
      </c>
      <c r="N34" s="31">
        <v>5416</v>
      </c>
      <c r="O34" s="31" t="s">
        <v>24</v>
      </c>
      <c r="P34" s="32">
        <v>0.49</v>
      </c>
      <c r="Q34" s="31">
        <v>2.031019202363368</v>
      </c>
    </row>
    <row r="35" spans="1:17">
      <c r="A35" s="33" t="s">
        <v>64</v>
      </c>
      <c r="B35" s="33" t="s">
        <v>18</v>
      </c>
      <c r="C35" s="33" t="s">
        <v>21</v>
      </c>
      <c r="D35" s="33">
        <v>0</v>
      </c>
      <c r="E35" s="33" t="s">
        <v>20</v>
      </c>
      <c r="F35" s="33" t="s">
        <v>21</v>
      </c>
      <c r="G35" s="33">
        <v>3600</v>
      </c>
      <c r="H35" s="33">
        <v>0</v>
      </c>
      <c r="I35" s="33">
        <v>80</v>
      </c>
      <c r="J35" s="33">
        <v>360</v>
      </c>
      <c r="K35" s="33">
        <v>1</v>
      </c>
      <c r="L35" s="33" t="s">
        <v>26</v>
      </c>
      <c r="M35" s="33" t="s">
        <v>23</v>
      </c>
      <c r="N35" s="33">
        <v>3600</v>
      </c>
      <c r="O35" s="33" t="s">
        <v>24</v>
      </c>
      <c r="P35" s="34">
        <v>0.45</v>
      </c>
      <c r="Q35" s="33">
        <v>2.2222222222222223</v>
      </c>
    </row>
    <row r="36" spans="1:17">
      <c r="A36" s="31" t="s">
        <v>65</v>
      </c>
      <c r="B36" s="31" t="s">
        <v>18</v>
      </c>
      <c r="C36" s="31" t="s">
        <v>21</v>
      </c>
      <c r="D36" s="31">
        <v>0</v>
      </c>
      <c r="E36" s="31" t="s">
        <v>20</v>
      </c>
      <c r="F36" s="31" t="s">
        <v>21</v>
      </c>
      <c r="G36" s="31">
        <v>1800</v>
      </c>
      <c r="H36" s="31">
        <v>1213</v>
      </c>
      <c r="I36" s="31">
        <v>47</v>
      </c>
      <c r="J36" s="31">
        <v>360</v>
      </c>
      <c r="K36" s="31">
        <v>1</v>
      </c>
      <c r="L36" s="31" t="s">
        <v>26</v>
      </c>
      <c r="M36" s="31" t="s">
        <v>27</v>
      </c>
      <c r="N36" s="31">
        <v>3013</v>
      </c>
      <c r="O36" s="31" t="s">
        <v>24</v>
      </c>
      <c r="P36" s="32">
        <v>0.64</v>
      </c>
      <c r="Q36" s="31">
        <v>1.5599070693660804</v>
      </c>
    </row>
    <row r="37" spans="1:17">
      <c r="A37" s="33" t="s">
        <v>66</v>
      </c>
      <c r="B37" s="33" t="s">
        <v>18</v>
      </c>
      <c r="C37" s="33" t="s">
        <v>19</v>
      </c>
      <c r="D37" s="33">
        <v>0</v>
      </c>
      <c r="E37" s="33" t="s">
        <v>20</v>
      </c>
      <c r="F37" s="33" t="s">
        <v>21</v>
      </c>
      <c r="G37" s="33">
        <v>3941</v>
      </c>
      <c r="H37" s="33">
        <v>2336</v>
      </c>
      <c r="I37" s="33">
        <v>134</v>
      </c>
      <c r="J37" s="33">
        <v>360</v>
      </c>
      <c r="K37" s="33">
        <v>1</v>
      </c>
      <c r="L37" s="33" t="s">
        <v>34</v>
      </c>
      <c r="M37" s="33" t="s">
        <v>27</v>
      </c>
      <c r="N37" s="33">
        <v>6277</v>
      </c>
      <c r="O37" s="33" t="s">
        <v>24</v>
      </c>
      <c r="P37" s="34">
        <v>0.47</v>
      </c>
      <c r="Q37" s="33">
        <v>2.1347777600764695</v>
      </c>
    </row>
    <row r="38" spans="1:17">
      <c r="A38" s="31" t="s">
        <v>67</v>
      </c>
      <c r="B38" s="31" t="s">
        <v>18</v>
      </c>
      <c r="C38" s="31" t="s">
        <v>19</v>
      </c>
      <c r="D38" s="31">
        <v>1</v>
      </c>
      <c r="E38" s="31" t="s">
        <v>20</v>
      </c>
      <c r="F38" s="31" t="s">
        <v>21</v>
      </c>
      <c r="G38" s="31">
        <v>5649</v>
      </c>
      <c r="H38" s="31">
        <v>0</v>
      </c>
      <c r="I38" s="31">
        <v>44</v>
      </c>
      <c r="J38" s="31">
        <v>360</v>
      </c>
      <c r="K38" s="31">
        <v>1</v>
      </c>
      <c r="L38" s="31" t="s">
        <v>26</v>
      </c>
      <c r="M38" s="31" t="s">
        <v>27</v>
      </c>
      <c r="N38" s="31">
        <v>5649</v>
      </c>
      <c r="O38" s="31" t="s">
        <v>24</v>
      </c>
      <c r="P38" s="32">
        <v>1.28</v>
      </c>
      <c r="Q38" s="31">
        <v>0.77889892016286066</v>
      </c>
    </row>
    <row r="39" spans="1:17">
      <c r="A39" s="33" t="s">
        <v>68</v>
      </c>
      <c r="B39" s="33" t="s">
        <v>18</v>
      </c>
      <c r="C39" s="33" t="s">
        <v>19</v>
      </c>
      <c r="D39" s="33">
        <v>0</v>
      </c>
      <c r="E39" s="33" t="s">
        <v>20</v>
      </c>
      <c r="F39" s="33" t="s">
        <v>21</v>
      </c>
      <c r="G39" s="33">
        <v>5821</v>
      </c>
      <c r="H39" s="33">
        <v>0</v>
      </c>
      <c r="I39" s="33">
        <v>144</v>
      </c>
      <c r="J39" s="33">
        <v>360</v>
      </c>
      <c r="K39" s="33">
        <v>1</v>
      </c>
      <c r="L39" s="33" t="s">
        <v>26</v>
      </c>
      <c r="M39" s="33" t="s">
        <v>27</v>
      </c>
      <c r="N39" s="33">
        <v>5821</v>
      </c>
      <c r="O39" s="33" t="s">
        <v>24</v>
      </c>
      <c r="P39" s="34">
        <v>0.4</v>
      </c>
      <c r="Q39" s="33">
        <v>2.4738017522762412</v>
      </c>
    </row>
    <row r="40" spans="1:17">
      <c r="A40" s="31" t="s">
        <v>69</v>
      </c>
      <c r="B40" s="31" t="s">
        <v>46</v>
      </c>
      <c r="C40" s="31" t="s">
        <v>19</v>
      </c>
      <c r="D40" s="31">
        <v>0</v>
      </c>
      <c r="E40" s="31" t="s">
        <v>20</v>
      </c>
      <c r="F40" s="31" t="s">
        <v>21</v>
      </c>
      <c r="G40" s="31">
        <v>2645</v>
      </c>
      <c r="H40" s="31">
        <v>3440</v>
      </c>
      <c r="I40" s="31">
        <v>120</v>
      </c>
      <c r="J40" s="31">
        <v>360</v>
      </c>
      <c r="K40" s="31">
        <v>0</v>
      </c>
      <c r="L40" s="31" t="s">
        <v>26</v>
      </c>
      <c r="M40" s="31" t="s">
        <v>23</v>
      </c>
      <c r="N40" s="31">
        <v>6085</v>
      </c>
      <c r="O40" s="31" t="s">
        <v>35</v>
      </c>
      <c r="P40" s="32">
        <v>0.51</v>
      </c>
      <c r="Q40" s="31">
        <v>1.9720624486442069</v>
      </c>
    </row>
    <row r="41" spans="1:17">
      <c r="A41" s="33" t="s">
        <v>70</v>
      </c>
      <c r="B41" s="33" t="s">
        <v>46</v>
      </c>
      <c r="C41" s="33" t="s">
        <v>21</v>
      </c>
      <c r="D41" s="33">
        <v>0</v>
      </c>
      <c r="E41" s="33" t="s">
        <v>20</v>
      </c>
      <c r="F41" s="33" t="s">
        <v>21</v>
      </c>
      <c r="G41" s="33">
        <v>4000</v>
      </c>
      <c r="H41" s="33">
        <v>2275</v>
      </c>
      <c r="I41" s="33">
        <v>144</v>
      </c>
      <c r="J41" s="33">
        <v>360</v>
      </c>
      <c r="K41" s="33">
        <v>1</v>
      </c>
      <c r="L41" s="33" t="s">
        <v>34</v>
      </c>
      <c r="M41" s="33" t="s">
        <v>27</v>
      </c>
      <c r="N41" s="33">
        <v>6275</v>
      </c>
      <c r="O41" s="33" t="s">
        <v>24</v>
      </c>
      <c r="P41" s="34">
        <v>0.44</v>
      </c>
      <c r="Q41" s="33">
        <v>2.2948207171314743</v>
      </c>
    </row>
    <row r="42" spans="1:17">
      <c r="A42" s="31" t="s">
        <v>71</v>
      </c>
      <c r="B42" s="31" t="s">
        <v>46</v>
      </c>
      <c r="C42" s="31" t="s">
        <v>19</v>
      </c>
      <c r="D42" s="31">
        <v>0</v>
      </c>
      <c r="E42" s="31" t="s">
        <v>29</v>
      </c>
      <c r="F42" s="31" t="s">
        <v>21</v>
      </c>
      <c r="G42" s="31">
        <v>1928</v>
      </c>
      <c r="H42" s="31">
        <v>1644</v>
      </c>
      <c r="I42" s="31">
        <v>100</v>
      </c>
      <c r="J42" s="31">
        <v>360</v>
      </c>
      <c r="K42" s="31">
        <v>1</v>
      </c>
      <c r="L42" s="31" t="s">
        <v>34</v>
      </c>
      <c r="M42" s="31" t="s">
        <v>27</v>
      </c>
      <c r="N42" s="31">
        <v>3572</v>
      </c>
      <c r="O42" s="31" t="s">
        <v>24</v>
      </c>
      <c r="P42" s="32">
        <v>0.36</v>
      </c>
      <c r="Q42" s="31">
        <v>2.7995520716685331</v>
      </c>
    </row>
    <row r="43" spans="1:17">
      <c r="A43" s="33" t="s">
        <v>72</v>
      </c>
      <c r="B43" s="33" t="s">
        <v>46</v>
      </c>
      <c r="C43" s="33" t="s">
        <v>21</v>
      </c>
      <c r="D43" s="33">
        <v>0</v>
      </c>
      <c r="E43" s="33" t="s">
        <v>20</v>
      </c>
      <c r="F43" s="33" t="s">
        <v>21</v>
      </c>
      <c r="G43" s="33">
        <v>3086</v>
      </c>
      <c r="H43" s="33">
        <v>0</v>
      </c>
      <c r="I43" s="33">
        <v>120</v>
      </c>
      <c r="J43" s="33">
        <v>360</v>
      </c>
      <c r="K43" s="33">
        <v>1</v>
      </c>
      <c r="L43" s="33" t="s">
        <v>34</v>
      </c>
      <c r="M43" s="33" t="s">
        <v>27</v>
      </c>
      <c r="N43" s="33">
        <v>3086</v>
      </c>
      <c r="O43" s="33" t="s">
        <v>24</v>
      </c>
      <c r="P43" s="34">
        <v>0.26</v>
      </c>
      <c r="Q43" s="33">
        <v>3.8885288399222291</v>
      </c>
    </row>
    <row r="44" spans="1:17">
      <c r="A44" s="31" t="s">
        <v>73</v>
      </c>
      <c r="B44" s="31" t="s">
        <v>46</v>
      </c>
      <c r="C44" s="31" t="s">
        <v>21</v>
      </c>
      <c r="D44" s="31">
        <v>0</v>
      </c>
      <c r="E44" s="31" t="s">
        <v>20</v>
      </c>
      <c r="F44" s="31" t="s">
        <v>21</v>
      </c>
      <c r="G44" s="31">
        <v>4230</v>
      </c>
      <c r="H44" s="31">
        <v>0</v>
      </c>
      <c r="I44" s="31">
        <v>112</v>
      </c>
      <c r="J44" s="31">
        <v>360</v>
      </c>
      <c r="K44" s="31">
        <v>1</v>
      </c>
      <c r="L44" s="31" t="s">
        <v>34</v>
      </c>
      <c r="M44" s="31" t="s">
        <v>23</v>
      </c>
      <c r="N44" s="31">
        <v>4230</v>
      </c>
      <c r="O44" s="31" t="s">
        <v>24</v>
      </c>
      <c r="P44" s="32">
        <v>0.38</v>
      </c>
      <c r="Q44" s="31">
        <v>2.6477541371158391</v>
      </c>
    </row>
    <row r="45" spans="1:17">
      <c r="A45" s="33" t="s">
        <v>74</v>
      </c>
      <c r="B45" s="33" t="s">
        <v>18</v>
      </c>
      <c r="C45" s="33" t="s">
        <v>19</v>
      </c>
      <c r="D45" s="33">
        <v>2</v>
      </c>
      <c r="E45" s="33" t="s">
        <v>20</v>
      </c>
      <c r="F45" s="33" t="s">
        <v>21</v>
      </c>
      <c r="G45" s="33">
        <v>4616</v>
      </c>
      <c r="H45" s="33">
        <v>0</v>
      </c>
      <c r="I45" s="33">
        <v>134</v>
      </c>
      <c r="J45" s="33">
        <v>360</v>
      </c>
      <c r="K45" s="33">
        <v>1</v>
      </c>
      <c r="L45" s="33" t="s">
        <v>26</v>
      </c>
      <c r="M45" s="33" t="s">
        <v>23</v>
      </c>
      <c r="N45" s="33">
        <v>4616</v>
      </c>
      <c r="O45" s="33" t="s">
        <v>24</v>
      </c>
      <c r="P45" s="34">
        <v>0.34</v>
      </c>
      <c r="Q45" s="33">
        <v>2.9029462738301559</v>
      </c>
    </row>
    <row r="46" spans="1:17">
      <c r="A46" s="31" t="s">
        <v>75</v>
      </c>
      <c r="B46" s="31" t="s">
        <v>46</v>
      </c>
      <c r="C46" s="31" t="s">
        <v>19</v>
      </c>
      <c r="D46" s="31">
        <v>1</v>
      </c>
      <c r="E46" s="31" t="s">
        <v>20</v>
      </c>
      <c r="F46" s="31" t="s">
        <v>19</v>
      </c>
      <c r="G46" s="31">
        <v>11500</v>
      </c>
      <c r="H46" s="31">
        <v>0</v>
      </c>
      <c r="I46" s="31">
        <v>286</v>
      </c>
      <c r="J46" s="31">
        <v>360</v>
      </c>
      <c r="K46" s="31">
        <v>0</v>
      </c>
      <c r="L46" s="31" t="s">
        <v>26</v>
      </c>
      <c r="M46" s="31" t="s">
        <v>23</v>
      </c>
      <c r="N46" s="31">
        <v>11500</v>
      </c>
      <c r="O46" s="31" t="s">
        <v>35</v>
      </c>
      <c r="P46" s="32">
        <v>0.4</v>
      </c>
      <c r="Q46" s="31">
        <v>2.4869565217391307</v>
      </c>
    </row>
    <row r="47" spans="1:17">
      <c r="A47" s="33" t="s">
        <v>76</v>
      </c>
      <c r="B47" s="33" t="s">
        <v>18</v>
      </c>
      <c r="C47" s="33" t="s">
        <v>19</v>
      </c>
      <c r="D47" s="33">
        <v>2</v>
      </c>
      <c r="E47" s="33" t="s">
        <v>20</v>
      </c>
      <c r="F47" s="33" t="s">
        <v>21</v>
      </c>
      <c r="G47" s="33">
        <v>2708</v>
      </c>
      <c r="H47" s="33">
        <v>1167</v>
      </c>
      <c r="I47" s="33">
        <v>97</v>
      </c>
      <c r="J47" s="33">
        <v>360</v>
      </c>
      <c r="K47" s="33">
        <v>1</v>
      </c>
      <c r="L47" s="33" t="s">
        <v>34</v>
      </c>
      <c r="M47" s="33" t="s">
        <v>27</v>
      </c>
      <c r="N47" s="33">
        <v>3875</v>
      </c>
      <c r="O47" s="33" t="s">
        <v>24</v>
      </c>
      <c r="P47" s="34">
        <v>0.4</v>
      </c>
      <c r="Q47" s="33">
        <v>2.5032258064516131</v>
      </c>
    </row>
    <row r="48" spans="1:17">
      <c r="A48" s="31" t="s">
        <v>77</v>
      </c>
      <c r="B48" s="31" t="s">
        <v>18</v>
      </c>
      <c r="C48" s="31" t="s">
        <v>19</v>
      </c>
      <c r="D48" s="31">
        <v>0</v>
      </c>
      <c r="E48" s="31" t="s">
        <v>20</v>
      </c>
      <c r="F48" s="31" t="s">
        <v>21</v>
      </c>
      <c r="G48" s="31">
        <v>2132</v>
      </c>
      <c r="H48" s="31">
        <v>1591</v>
      </c>
      <c r="I48" s="31">
        <v>96</v>
      </c>
      <c r="J48" s="31">
        <v>360</v>
      </c>
      <c r="K48" s="31">
        <v>1</v>
      </c>
      <c r="L48" s="31" t="s">
        <v>34</v>
      </c>
      <c r="M48" s="31" t="s">
        <v>27</v>
      </c>
      <c r="N48" s="31">
        <v>3723</v>
      </c>
      <c r="O48" s="31" t="s">
        <v>24</v>
      </c>
      <c r="P48" s="32">
        <v>0.39</v>
      </c>
      <c r="Q48" s="31">
        <v>2.5785656728444803</v>
      </c>
    </row>
    <row r="49" spans="1:17">
      <c r="A49" s="33" t="s">
        <v>78</v>
      </c>
      <c r="B49" s="33" t="s">
        <v>18</v>
      </c>
      <c r="C49" s="33" t="s">
        <v>19</v>
      </c>
      <c r="D49" s="33">
        <v>0</v>
      </c>
      <c r="E49" s="33" t="s">
        <v>20</v>
      </c>
      <c r="F49" s="33" t="s">
        <v>21</v>
      </c>
      <c r="G49" s="33">
        <v>3366</v>
      </c>
      <c r="H49" s="33">
        <v>2200</v>
      </c>
      <c r="I49" s="33">
        <v>135</v>
      </c>
      <c r="J49" s="33">
        <v>360</v>
      </c>
      <c r="K49" s="33">
        <v>1</v>
      </c>
      <c r="L49" s="33" t="s">
        <v>22</v>
      </c>
      <c r="M49" s="33" t="s">
        <v>23</v>
      </c>
      <c r="N49" s="33">
        <v>5566</v>
      </c>
      <c r="O49" s="33" t="s">
        <v>24</v>
      </c>
      <c r="P49" s="34">
        <v>0.41</v>
      </c>
      <c r="Q49" s="33">
        <v>2.4254401724757457</v>
      </c>
    </row>
    <row r="50" spans="1:17">
      <c r="A50" s="31" t="s">
        <v>79</v>
      </c>
      <c r="B50" s="31" t="s">
        <v>18</v>
      </c>
      <c r="C50" s="31" t="s">
        <v>19</v>
      </c>
      <c r="D50" s="31">
        <v>1</v>
      </c>
      <c r="E50" s="31" t="s">
        <v>20</v>
      </c>
      <c r="F50" s="31" t="s">
        <v>21</v>
      </c>
      <c r="G50" s="31">
        <v>8080</v>
      </c>
      <c r="H50" s="31">
        <v>2250</v>
      </c>
      <c r="I50" s="31">
        <v>180</v>
      </c>
      <c r="J50" s="31">
        <v>360</v>
      </c>
      <c r="K50" s="31">
        <v>1</v>
      </c>
      <c r="L50" s="31" t="s">
        <v>26</v>
      </c>
      <c r="M50" s="31" t="s">
        <v>27</v>
      </c>
      <c r="N50" s="31">
        <v>10330</v>
      </c>
      <c r="O50" s="31" t="s">
        <v>24</v>
      </c>
      <c r="P50" s="32">
        <v>0.56999999999999995</v>
      </c>
      <c r="Q50" s="31">
        <v>1.7424975798644726</v>
      </c>
    </row>
    <row r="51" spans="1:17">
      <c r="A51" s="33" t="s">
        <v>80</v>
      </c>
      <c r="B51" s="33" t="s">
        <v>18</v>
      </c>
      <c r="C51" s="33" t="s">
        <v>19</v>
      </c>
      <c r="D51" s="33">
        <v>2</v>
      </c>
      <c r="E51" s="33" t="s">
        <v>29</v>
      </c>
      <c r="F51" s="33" t="s">
        <v>21</v>
      </c>
      <c r="G51" s="33">
        <v>3357</v>
      </c>
      <c r="H51" s="33">
        <v>2859</v>
      </c>
      <c r="I51" s="33">
        <v>144</v>
      </c>
      <c r="J51" s="33">
        <v>360</v>
      </c>
      <c r="K51" s="33">
        <v>1</v>
      </c>
      <c r="L51" s="33" t="s">
        <v>26</v>
      </c>
      <c r="M51" s="33" t="s">
        <v>27</v>
      </c>
      <c r="N51" s="33">
        <v>6216</v>
      </c>
      <c r="O51" s="33" t="s">
        <v>24</v>
      </c>
      <c r="P51" s="34">
        <v>0.43</v>
      </c>
      <c r="Q51" s="33">
        <v>2.3166023166023164</v>
      </c>
    </row>
    <row r="52" spans="1:17">
      <c r="A52" s="31" t="s">
        <v>81</v>
      </c>
      <c r="B52" s="31" t="s">
        <v>18</v>
      </c>
      <c r="C52" s="31" t="s">
        <v>19</v>
      </c>
      <c r="D52" s="31">
        <v>0</v>
      </c>
      <c r="E52" s="31" t="s">
        <v>20</v>
      </c>
      <c r="F52" s="31" t="s">
        <v>21</v>
      </c>
      <c r="G52" s="31">
        <v>2500</v>
      </c>
      <c r="H52" s="31">
        <v>3796</v>
      </c>
      <c r="I52" s="31">
        <v>120</v>
      </c>
      <c r="J52" s="31">
        <v>360</v>
      </c>
      <c r="K52" s="31">
        <v>1</v>
      </c>
      <c r="L52" s="31" t="s">
        <v>26</v>
      </c>
      <c r="M52" s="31" t="s">
        <v>27</v>
      </c>
      <c r="N52" s="31">
        <v>6296</v>
      </c>
      <c r="O52" s="31" t="s">
        <v>24</v>
      </c>
      <c r="P52" s="32">
        <v>0.52</v>
      </c>
      <c r="Q52" s="31">
        <v>1.9059720457433291</v>
      </c>
    </row>
    <row r="53" spans="1:17">
      <c r="A53" s="33" t="s">
        <v>82</v>
      </c>
      <c r="B53" s="33" t="s">
        <v>18</v>
      </c>
      <c r="C53" s="33" t="s">
        <v>19</v>
      </c>
      <c r="D53" s="33">
        <v>3</v>
      </c>
      <c r="E53" s="33" t="s">
        <v>20</v>
      </c>
      <c r="F53" s="33" t="s">
        <v>21</v>
      </c>
      <c r="G53" s="33">
        <v>3029</v>
      </c>
      <c r="H53" s="33">
        <v>0</v>
      </c>
      <c r="I53" s="33">
        <v>99</v>
      </c>
      <c r="J53" s="33">
        <v>360</v>
      </c>
      <c r="K53" s="33">
        <v>1</v>
      </c>
      <c r="L53" s="33" t="s">
        <v>26</v>
      </c>
      <c r="M53" s="33" t="s">
        <v>27</v>
      </c>
      <c r="N53" s="33">
        <v>3029</v>
      </c>
      <c r="O53" s="33" t="s">
        <v>24</v>
      </c>
      <c r="P53" s="34">
        <v>0.31</v>
      </c>
      <c r="Q53" s="33">
        <v>3.2684054143281611</v>
      </c>
    </row>
    <row r="54" spans="1:17">
      <c r="A54" s="31" t="s">
        <v>83</v>
      </c>
      <c r="B54" s="31" t="s">
        <v>18</v>
      </c>
      <c r="C54" s="31" t="s">
        <v>19</v>
      </c>
      <c r="D54" s="31">
        <v>0</v>
      </c>
      <c r="E54" s="31" t="s">
        <v>29</v>
      </c>
      <c r="F54" s="31" t="s">
        <v>19</v>
      </c>
      <c r="G54" s="31">
        <v>2609</v>
      </c>
      <c r="H54" s="31">
        <v>3449</v>
      </c>
      <c r="I54" s="31">
        <v>165</v>
      </c>
      <c r="J54" s="31">
        <v>180</v>
      </c>
      <c r="K54" s="31">
        <v>0</v>
      </c>
      <c r="L54" s="31" t="s">
        <v>22</v>
      </c>
      <c r="M54" s="31" t="s">
        <v>23</v>
      </c>
      <c r="N54" s="31">
        <v>6058</v>
      </c>
      <c r="O54" s="31" t="s">
        <v>35</v>
      </c>
      <c r="P54" s="32">
        <v>0.37</v>
      </c>
      <c r="Q54" s="31">
        <v>2.7236711786068009</v>
      </c>
    </row>
    <row r="55" spans="1:17">
      <c r="A55" s="33" t="s">
        <v>84</v>
      </c>
      <c r="B55" s="33" t="s">
        <v>46</v>
      </c>
      <c r="C55" s="33" t="s">
        <v>21</v>
      </c>
      <c r="D55" s="33">
        <v>0</v>
      </c>
      <c r="E55" s="33" t="s">
        <v>20</v>
      </c>
      <c r="F55" s="33" t="s">
        <v>21</v>
      </c>
      <c r="G55" s="33">
        <v>4166</v>
      </c>
      <c r="H55" s="33">
        <v>0</v>
      </c>
      <c r="I55" s="33">
        <v>116</v>
      </c>
      <c r="J55" s="33">
        <v>360</v>
      </c>
      <c r="K55" s="33">
        <v>0</v>
      </c>
      <c r="L55" s="33" t="s">
        <v>34</v>
      </c>
      <c r="M55" s="33" t="s">
        <v>23</v>
      </c>
      <c r="N55" s="33">
        <v>4166</v>
      </c>
      <c r="O55" s="33" t="s">
        <v>35</v>
      </c>
      <c r="P55" s="34">
        <v>0.36</v>
      </c>
      <c r="Q55" s="33">
        <v>2.7844455112818052</v>
      </c>
    </row>
    <row r="56" spans="1:17">
      <c r="A56" s="31" t="s">
        <v>85</v>
      </c>
      <c r="B56" s="31" t="s">
        <v>18</v>
      </c>
      <c r="C56" s="31" t="s">
        <v>19</v>
      </c>
      <c r="D56" s="31">
        <v>0</v>
      </c>
      <c r="E56" s="31" t="s">
        <v>20</v>
      </c>
      <c r="F56" s="31" t="s">
        <v>21</v>
      </c>
      <c r="G56" s="31">
        <v>5726</v>
      </c>
      <c r="H56" s="31">
        <v>4595</v>
      </c>
      <c r="I56" s="31">
        <v>258</v>
      </c>
      <c r="J56" s="31">
        <v>360</v>
      </c>
      <c r="K56" s="31">
        <v>1</v>
      </c>
      <c r="L56" s="31" t="s">
        <v>34</v>
      </c>
      <c r="M56" s="31" t="s">
        <v>23</v>
      </c>
      <c r="N56" s="31">
        <v>10321</v>
      </c>
      <c r="O56" s="31" t="s">
        <v>24</v>
      </c>
      <c r="P56" s="32">
        <v>0.4</v>
      </c>
      <c r="Q56" s="31">
        <v>2.4997577754093596</v>
      </c>
    </row>
    <row r="57" spans="1:17">
      <c r="A57" s="33" t="s">
        <v>86</v>
      </c>
      <c r="B57" s="33" t="s">
        <v>18</v>
      </c>
      <c r="C57" s="33" t="s">
        <v>21</v>
      </c>
      <c r="D57" s="33">
        <v>0</v>
      </c>
      <c r="E57" s="33" t="s">
        <v>29</v>
      </c>
      <c r="F57" s="33" t="s">
        <v>21</v>
      </c>
      <c r="G57" s="33">
        <v>3200</v>
      </c>
      <c r="H57" s="33">
        <v>2254</v>
      </c>
      <c r="I57" s="33">
        <v>126</v>
      </c>
      <c r="J57" s="33">
        <v>180</v>
      </c>
      <c r="K57" s="33">
        <v>0</v>
      </c>
      <c r="L57" s="33" t="s">
        <v>26</v>
      </c>
      <c r="M57" s="33" t="s">
        <v>23</v>
      </c>
      <c r="N57" s="33">
        <v>5454</v>
      </c>
      <c r="O57" s="33" t="s">
        <v>35</v>
      </c>
      <c r="P57" s="34">
        <v>0.43</v>
      </c>
      <c r="Q57" s="33">
        <v>2.3102310231023102</v>
      </c>
    </row>
    <row r="58" spans="1:17">
      <c r="A58" s="31" t="s">
        <v>87</v>
      </c>
      <c r="B58" s="31" t="s">
        <v>18</v>
      </c>
      <c r="C58" s="31" t="s">
        <v>19</v>
      </c>
      <c r="D58" s="31">
        <v>1</v>
      </c>
      <c r="E58" s="31" t="s">
        <v>20</v>
      </c>
      <c r="F58" s="31" t="s">
        <v>21</v>
      </c>
      <c r="G58" s="31">
        <v>10750</v>
      </c>
      <c r="H58" s="31">
        <v>0</v>
      </c>
      <c r="I58" s="31">
        <v>312</v>
      </c>
      <c r="J58" s="31">
        <v>360</v>
      </c>
      <c r="K58" s="31">
        <v>1</v>
      </c>
      <c r="L58" s="31" t="s">
        <v>26</v>
      </c>
      <c r="M58" s="31" t="s">
        <v>27</v>
      </c>
      <c r="N58" s="31">
        <v>10750</v>
      </c>
      <c r="O58" s="31" t="s">
        <v>24</v>
      </c>
      <c r="P58" s="32">
        <v>0.34</v>
      </c>
      <c r="Q58" s="31">
        <v>2.902325581395349</v>
      </c>
    </row>
    <row r="59" spans="1:17">
      <c r="A59" s="33" t="s">
        <v>88</v>
      </c>
      <c r="B59" s="33" t="s">
        <v>18</v>
      </c>
      <c r="C59" s="33" t="s">
        <v>19</v>
      </c>
      <c r="D59" s="33">
        <v>3</v>
      </c>
      <c r="E59" s="33" t="s">
        <v>29</v>
      </c>
      <c r="F59" s="33" t="s">
        <v>19</v>
      </c>
      <c r="G59" s="33">
        <v>7100</v>
      </c>
      <c r="H59" s="33">
        <v>0</v>
      </c>
      <c r="I59" s="33">
        <v>125</v>
      </c>
      <c r="J59" s="33">
        <v>60</v>
      </c>
      <c r="K59" s="33">
        <v>1</v>
      </c>
      <c r="L59" s="33" t="s">
        <v>26</v>
      </c>
      <c r="M59" s="33" t="s">
        <v>27</v>
      </c>
      <c r="N59" s="33">
        <v>7100</v>
      </c>
      <c r="O59" s="33" t="s">
        <v>24</v>
      </c>
      <c r="P59" s="34">
        <v>0.56999999999999995</v>
      </c>
      <c r="Q59" s="33">
        <v>1.7605633802816902</v>
      </c>
    </row>
    <row r="60" spans="1:17">
      <c r="A60" s="31" t="s">
        <v>89</v>
      </c>
      <c r="B60" s="31" t="s">
        <v>46</v>
      </c>
      <c r="C60" s="31" t="s">
        <v>21</v>
      </c>
      <c r="D60" s="31">
        <v>0</v>
      </c>
      <c r="E60" s="31" t="s">
        <v>20</v>
      </c>
      <c r="F60" s="31" t="s">
        <v>21</v>
      </c>
      <c r="G60" s="31">
        <v>4300</v>
      </c>
      <c r="H60" s="31">
        <v>0</v>
      </c>
      <c r="I60" s="31">
        <v>136</v>
      </c>
      <c r="J60" s="31">
        <v>360</v>
      </c>
      <c r="K60" s="31">
        <v>0</v>
      </c>
      <c r="L60" s="31" t="s">
        <v>34</v>
      </c>
      <c r="M60" s="31" t="s">
        <v>23</v>
      </c>
      <c r="N60" s="31">
        <v>4300</v>
      </c>
      <c r="O60" s="31" t="s">
        <v>35</v>
      </c>
      <c r="P60" s="32">
        <v>0.32</v>
      </c>
      <c r="Q60" s="31">
        <v>3.1627906976744184</v>
      </c>
    </row>
    <row r="61" spans="1:17">
      <c r="A61" s="33" t="s">
        <v>90</v>
      </c>
      <c r="B61" s="33" t="s">
        <v>18</v>
      </c>
      <c r="C61" s="33" t="s">
        <v>19</v>
      </c>
      <c r="D61" s="33">
        <v>0</v>
      </c>
      <c r="E61" s="33" t="s">
        <v>20</v>
      </c>
      <c r="F61" s="33" t="s">
        <v>21</v>
      </c>
      <c r="G61" s="33">
        <v>3208</v>
      </c>
      <c r="H61" s="33">
        <v>3066</v>
      </c>
      <c r="I61" s="33">
        <v>172</v>
      </c>
      <c r="J61" s="33">
        <v>360</v>
      </c>
      <c r="K61" s="33">
        <v>1</v>
      </c>
      <c r="L61" s="33" t="s">
        <v>26</v>
      </c>
      <c r="M61" s="33" t="s">
        <v>27</v>
      </c>
      <c r="N61" s="33">
        <v>6274</v>
      </c>
      <c r="O61" s="33" t="s">
        <v>24</v>
      </c>
      <c r="P61" s="34">
        <v>0.36</v>
      </c>
      <c r="Q61" s="33">
        <v>2.7414727446605038</v>
      </c>
    </row>
    <row r="62" spans="1:17">
      <c r="A62" s="31" t="s">
        <v>91</v>
      </c>
      <c r="B62" s="31" t="s">
        <v>18</v>
      </c>
      <c r="C62" s="31" t="s">
        <v>19</v>
      </c>
      <c r="D62" s="31">
        <v>2</v>
      </c>
      <c r="E62" s="31" t="s">
        <v>29</v>
      </c>
      <c r="F62" s="31" t="s">
        <v>19</v>
      </c>
      <c r="G62" s="31">
        <v>1875</v>
      </c>
      <c r="H62" s="31">
        <v>1875</v>
      </c>
      <c r="I62" s="31">
        <v>97</v>
      </c>
      <c r="J62" s="31">
        <v>360</v>
      </c>
      <c r="K62" s="31">
        <v>1</v>
      </c>
      <c r="L62" s="31" t="s">
        <v>34</v>
      </c>
      <c r="M62" s="31" t="s">
        <v>27</v>
      </c>
      <c r="N62" s="31">
        <v>3750</v>
      </c>
      <c r="O62" s="31" t="s">
        <v>24</v>
      </c>
      <c r="P62" s="32">
        <v>0.39</v>
      </c>
      <c r="Q62" s="31">
        <v>2.5866666666666664</v>
      </c>
    </row>
    <row r="63" spans="1:17">
      <c r="A63" s="33" t="s">
        <v>92</v>
      </c>
      <c r="B63" s="33" t="s">
        <v>18</v>
      </c>
      <c r="C63" s="33" t="s">
        <v>21</v>
      </c>
      <c r="D63" s="33">
        <v>0</v>
      </c>
      <c r="E63" s="33" t="s">
        <v>20</v>
      </c>
      <c r="F63" s="33" t="s">
        <v>21</v>
      </c>
      <c r="G63" s="33">
        <v>3500</v>
      </c>
      <c r="H63" s="33">
        <v>0</v>
      </c>
      <c r="I63" s="33">
        <v>81</v>
      </c>
      <c r="J63" s="33">
        <v>300</v>
      </c>
      <c r="K63" s="33">
        <v>1</v>
      </c>
      <c r="L63" s="33" t="s">
        <v>34</v>
      </c>
      <c r="M63" s="33" t="s">
        <v>27</v>
      </c>
      <c r="N63" s="33">
        <v>3500</v>
      </c>
      <c r="O63" s="33" t="s">
        <v>24</v>
      </c>
      <c r="P63" s="34">
        <v>0.43</v>
      </c>
      <c r="Q63" s="33">
        <v>2.3142857142857141</v>
      </c>
    </row>
    <row r="64" spans="1:17">
      <c r="A64" s="31" t="s">
        <v>93</v>
      </c>
      <c r="B64" s="31" t="s">
        <v>18</v>
      </c>
      <c r="C64" s="31" t="s">
        <v>19</v>
      </c>
      <c r="D64" s="31">
        <v>3</v>
      </c>
      <c r="E64" s="31" t="s">
        <v>20</v>
      </c>
      <c r="F64" s="31" t="s">
        <v>19</v>
      </c>
      <c r="G64" s="31">
        <v>5266</v>
      </c>
      <c r="H64" s="31">
        <v>1774</v>
      </c>
      <c r="I64" s="31">
        <v>187</v>
      </c>
      <c r="J64" s="31">
        <v>360</v>
      </c>
      <c r="K64" s="31">
        <v>1</v>
      </c>
      <c r="L64" s="31" t="s">
        <v>34</v>
      </c>
      <c r="M64" s="31" t="s">
        <v>27</v>
      </c>
      <c r="N64" s="31">
        <v>7040</v>
      </c>
      <c r="O64" s="31" t="s">
        <v>24</v>
      </c>
      <c r="P64" s="32">
        <v>0.38</v>
      </c>
      <c r="Q64" s="31">
        <v>2.65625</v>
      </c>
    </row>
    <row r="65" spans="1:17">
      <c r="A65" s="33" t="s">
        <v>94</v>
      </c>
      <c r="B65" s="33" t="s">
        <v>18</v>
      </c>
      <c r="C65" s="33" t="s">
        <v>21</v>
      </c>
      <c r="D65" s="33">
        <v>0</v>
      </c>
      <c r="E65" s="33" t="s">
        <v>20</v>
      </c>
      <c r="F65" s="33" t="s">
        <v>21</v>
      </c>
      <c r="G65" s="33">
        <v>3750</v>
      </c>
      <c r="H65" s="33">
        <v>0</v>
      </c>
      <c r="I65" s="33">
        <v>113</v>
      </c>
      <c r="J65" s="33">
        <v>480</v>
      </c>
      <c r="K65" s="33">
        <v>1</v>
      </c>
      <c r="L65" s="33" t="s">
        <v>26</v>
      </c>
      <c r="M65" s="33" t="s">
        <v>23</v>
      </c>
      <c r="N65" s="33">
        <v>3750</v>
      </c>
      <c r="O65" s="33" t="s">
        <v>24</v>
      </c>
      <c r="P65" s="34">
        <v>0.33</v>
      </c>
      <c r="Q65" s="33">
        <v>3.0133333333333336</v>
      </c>
    </row>
    <row r="66" spans="1:17">
      <c r="A66" s="31" t="s">
        <v>95</v>
      </c>
      <c r="B66" s="31" t="s">
        <v>18</v>
      </c>
      <c r="C66" s="31" t="s">
        <v>21</v>
      </c>
      <c r="D66" s="31">
        <v>0</v>
      </c>
      <c r="E66" s="31" t="s">
        <v>20</v>
      </c>
      <c r="F66" s="31" t="s">
        <v>21</v>
      </c>
      <c r="G66" s="31">
        <v>3750</v>
      </c>
      <c r="H66" s="31">
        <v>4750</v>
      </c>
      <c r="I66" s="31">
        <v>176</v>
      </c>
      <c r="J66" s="31">
        <v>360</v>
      </c>
      <c r="K66" s="31">
        <v>1</v>
      </c>
      <c r="L66" s="31" t="s">
        <v>26</v>
      </c>
      <c r="M66" s="31" t="s">
        <v>23</v>
      </c>
      <c r="N66" s="31">
        <v>8500</v>
      </c>
      <c r="O66" s="31" t="s">
        <v>24</v>
      </c>
      <c r="P66" s="32">
        <v>0.48</v>
      </c>
      <c r="Q66" s="31">
        <v>2.0705882352941178</v>
      </c>
    </row>
    <row r="67" spans="1:17">
      <c r="A67" s="33" t="s">
        <v>96</v>
      </c>
      <c r="B67" s="33" t="s">
        <v>18</v>
      </c>
      <c r="C67" s="33" t="s">
        <v>19</v>
      </c>
      <c r="D67" s="33">
        <v>1</v>
      </c>
      <c r="E67" s="33" t="s">
        <v>20</v>
      </c>
      <c r="F67" s="33" t="s">
        <v>19</v>
      </c>
      <c r="G67" s="33">
        <v>1000</v>
      </c>
      <c r="H67" s="33">
        <v>3022</v>
      </c>
      <c r="I67" s="33">
        <v>110</v>
      </c>
      <c r="J67" s="33">
        <v>360</v>
      </c>
      <c r="K67" s="33">
        <v>1</v>
      </c>
      <c r="L67" s="33" t="s">
        <v>26</v>
      </c>
      <c r="M67" s="33" t="s">
        <v>23</v>
      </c>
      <c r="N67" s="33">
        <v>4022</v>
      </c>
      <c r="O67" s="33" t="s">
        <v>24</v>
      </c>
      <c r="P67" s="34">
        <v>0.37</v>
      </c>
      <c r="Q67" s="33">
        <v>2.7349577324714072</v>
      </c>
    </row>
    <row r="68" spans="1:17">
      <c r="A68" s="31" t="s">
        <v>97</v>
      </c>
      <c r="B68" s="31" t="s">
        <v>18</v>
      </c>
      <c r="C68" s="31" t="s">
        <v>19</v>
      </c>
      <c r="D68" s="31">
        <v>3</v>
      </c>
      <c r="E68" s="31" t="s">
        <v>20</v>
      </c>
      <c r="F68" s="31" t="s">
        <v>21</v>
      </c>
      <c r="G68" s="31">
        <v>3167</v>
      </c>
      <c r="H68" s="31">
        <v>4000</v>
      </c>
      <c r="I68" s="31">
        <v>180</v>
      </c>
      <c r="J68" s="31">
        <v>300</v>
      </c>
      <c r="K68" s="31">
        <v>0</v>
      </c>
      <c r="L68" s="31" t="s">
        <v>34</v>
      </c>
      <c r="M68" s="31" t="s">
        <v>23</v>
      </c>
      <c r="N68" s="31">
        <v>7167</v>
      </c>
      <c r="O68" s="31" t="s">
        <v>35</v>
      </c>
      <c r="P68" s="32">
        <v>0.4</v>
      </c>
      <c r="Q68" s="31">
        <v>2.5115110925073254</v>
      </c>
    </row>
    <row r="69" spans="1:17">
      <c r="A69" s="33" t="s">
        <v>98</v>
      </c>
      <c r="B69" s="33" t="s">
        <v>46</v>
      </c>
      <c r="C69" s="33" t="s">
        <v>21</v>
      </c>
      <c r="D69" s="33">
        <v>0</v>
      </c>
      <c r="E69" s="33" t="s">
        <v>20</v>
      </c>
      <c r="F69" s="33" t="s">
        <v>21</v>
      </c>
      <c r="G69" s="33">
        <v>3846</v>
      </c>
      <c r="H69" s="33">
        <v>0</v>
      </c>
      <c r="I69" s="33">
        <v>111</v>
      </c>
      <c r="J69" s="33">
        <v>360</v>
      </c>
      <c r="K69" s="33">
        <v>1</v>
      </c>
      <c r="L69" s="33" t="s">
        <v>34</v>
      </c>
      <c r="M69" s="33" t="s">
        <v>27</v>
      </c>
      <c r="N69" s="33">
        <v>3846</v>
      </c>
      <c r="O69" s="33" t="s">
        <v>24</v>
      </c>
      <c r="P69" s="34">
        <v>0.35</v>
      </c>
      <c r="Q69" s="33">
        <v>2.886115444617785</v>
      </c>
    </row>
    <row r="70" spans="1:17">
      <c r="A70" s="31" t="s">
        <v>99</v>
      </c>
      <c r="B70" s="31" t="s">
        <v>46</v>
      </c>
      <c r="C70" s="31" t="s">
        <v>19</v>
      </c>
      <c r="D70" s="31">
        <v>2</v>
      </c>
      <c r="E70" s="31" t="s">
        <v>20</v>
      </c>
      <c r="F70" s="31" t="s">
        <v>21</v>
      </c>
      <c r="G70" s="31">
        <v>1378</v>
      </c>
      <c r="H70" s="31">
        <v>1881</v>
      </c>
      <c r="I70" s="31">
        <v>167</v>
      </c>
      <c r="J70" s="31">
        <v>360</v>
      </c>
      <c r="K70" s="31">
        <v>1</v>
      </c>
      <c r="L70" s="31" t="s">
        <v>26</v>
      </c>
      <c r="M70" s="31" t="s">
        <v>23</v>
      </c>
      <c r="N70" s="31">
        <v>3259</v>
      </c>
      <c r="O70" s="31" t="s">
        <v>24</v>
      </c>
      <c r="P70" s="32">
        <v>0.2</v>
      </c>
      <c r="Q70" s="31">
        <v>5.1242712488493405</v>
      </c>
    </row>
    <row r="71" spans="1:17">
      <c r="A71" s="33" t="s">
        <v>100</v>
      </c>
      <c r="B71" s="33" t="s">
        <v>18</v>
      </c>
      <c r="C71" s="33" t="s">
        <v>19</v>
      </c>
      <c r="D71" s="33">
        <v>1</v>
      </c>
      <c r="E71" s="33" t="s">
        <v>20</v>
      </c>
      <c r="F71" s="33" t="s">
        <v>21</v>
      </c>
      <c r="G71" s="33">
        <v>3988</v>
      </c>
      <c r="H71" s="33">
        <v>0</v>
      </c>
      <c r="I71" s="33">
        <v>50</v>
      </c>
      <c r="J71" s="33">
        <v>240</v>
      </c>
      <c r="K71" s="33">
        <v>1</v>
      </c>
      <c r="L71" s="33" t="s">
        <v>26</v>
      </c>
      <c r="M71" s="33" t="s">
        <v>27</v>
      </c>
      <c r="N71" s="33">
        <v>3988</v>
      </c>
      <c r="O71" s="33" t="s">
        <v>24</v>
      </c>
      <c r="P71" s="34">
        <v>0.8</v>
      </c>
      <c r="Q71" s="33">
        <v>1.2537612838515546</v>
      </c>
    </row>
    <row r="72" spans="1:17">
      <c r="A72" s="31" t="s">
        <v>101</v>
      </c>
      <c r="B72" s="31" t="s">
        <v>18</v>
      </c>
      <c r="C72" s="31" t="s">
        <v>21</v>
      </c>
      <c r="D72" s="31">
        <v>0</v>
      </c>
      <c r="E72" s="31" t="s">
        <v>20</v>
      </c>
      <c r="F72" s="31" t="s">
        <v>21</v>
      </c>
      <c r="G72" s="31">
        <v>2366</v>
      </c>
      <c r="H72" s="31">
        <v>2531</v>
      </c>
      <c r="I72" s="31">
        <v>136</v>
      </c>
      <c r="J72" s="31">
        <v>360</v>
      </c>
      <c r="K72" s="31">
        <v>1</v>
      </c>
      <c r="L72" s="31" t="s">
        <v>34</v>
      </c>
      <c r="M72" s="31" t="s">
        <v>27</v>
      </c>
      <c r="N72" s="31">
        <v>4897</v>
      </c>
      <c r="O72" s="31" t="s">
        <v>24</v>
      </c>
      <c r="P72" s="32">
        <v>0.36</v>
      </c>
      <c r="Q72" s="31">
        <v>2.7772105370635085</v>
      </c>
    </row>
    <row r="73" spans="1:17">
      <c r="A73" s="33" t="s">
        <v>102</v>
      </c>
      <c r="B73" s="33" t="s">
        <v>18</v>
      </c>
      <c r="C73" s="33" t="s">
        <v>19</v>
      </c>
      <c r="D73" s="33">
        <v>0</v>
      </c>
      <c r="E73" s="33" t="s">
        <v>20</v>
      </c>
      <c r="F73" s="33" t="s">
        <v>21</v>
      </c>
      <c r="G73" s="33">
        <v>2500</v>
      </c>
      <c r="H73" s="33">
        <v>2118</v>
      </c>
      <c r="I73" s="33">
        <v>104</v>
      </c>
      <c r="J73" s="33">
        <v>360</v>
      </c>
      <c r="K73" s="33">
        <v>1</v>
      </c>
      <c r="L73" s="33" t="s">
        <v>34</v>
      </c>
      <c r="M73" s="33" t="s">
        <v>27</v>
      </c>
      <c r="N73" s="33">
        <v>4618</v>
      </c>
      <c r="O73" s="33" t="s">
        <v>24</v>
      </c>
      <c r="P73" s="34">
        <v>0.44</v>
      </c>
      <c r="Q73" s="33">
        <v>2.2520571676050238</v>
      </c>
    </row>
    <row r="74" spans="1:17">
      <c r="A74" s="31" t="s">
        <v>103</v>
      </c>
      <c r="B74" s="31" t="s">
        <v>18</v>
      </c>
      <c r="C74" s="31" t="s">
        <v>21</v>
      </c>
      <c r="D74" s="31">
        <v>0</v>
      </c>
      <c r="E74" s="31" t="s">
        <v>20</v>
      </c>
      <c r="F74" s="31" t="s">
        <v>21</v>
      </c>
      <c r="G74" s="31">
        <v>8566</v>
      </c>
      <c r="H74" s="31">
        <v>0</v>
      </c>
      <c r="I74" s="31">
        <v>210</v>
      </c>
      <c r="J74" s="31">
        <v>360</v>
      </c>
      <c r="K74" s="31">
        <v>1</v>
      </c>
      <c r="L74" s="31" t="s">
        <v>26</v>
      </c>
      <c r="M74" s="31" t="s">
        <v>27</v>
      </c>
      <c r="N74" s="31">
        <v>8566</v>
      </c>
      <c r="O74" s="31" t="s">
        <v>24</v>
      </c>
      <c r="P74" s="32">
        <v>0.41</v>
      </c>
      <c r="Q74" s="31">
        <v>2.4515526500116738</v>
      </c>
    </row>
    <row r="75" spans="1:17">
      <c r="A75" s="33" t="s">
        <v>104</v>
      </c>
      <c r="B75" s="33" t="s">
        <v>18</v>
      </c>
      <c r="C75" s="33" t="s">
        <v>19</v>
      </c>
      <c r="D75" s="33">
        <v>0</v>
      </c>
      <c r="E75" s="33" t="s">
        <v>20</v>
      </c>
      <c r="F75" s="33" t="s">
        <v>21</v>
      </c>
      <c r="G75" s="33">
        <v>5695</v>
      </c>
      <c r="H75" s="33">
        <v>4167</v>
      </c>
      <c r="I75" s="33">
        <v>175</v>
      </c>
      <c r="J75" s="33">
        <v>360</v>
      </c>
      <c r="K75" s="33">
        <v>1</v>
      </c>
      <c r="L75" s="33" t="s">
        <v>34</v>
      </c>
      <c r="M75" s="33" t="s">
        <v>27</v>
      </c>
      <c r="N75" s="33">
        <v>9862</v>
      </c>
      <c r="O75" s="33" t="s">
        <v>24</v>
      </c>
      <c r="P75" s="34">
        <v>0.56000000000000005</v>
      </c>
      <c r="Q75" s="33">
        <v>1.7744879334820522</v>
      </c>
    </row>
    <row r="76" spans="1:17">
      <c r="A76" s="31" t="s">
        <v>105</v>
      </c>
      <c r="B76" s="31" t="s">
        <v>18</v>
      </c>
      <c r="C76" s="31" t="s">
        <v>19</v>
      </c>
      <c r="D76" s="31">
        <v>0</v>
      </c>
      <c r="E76" s="31" t="s">
        <v>20</v>
      </c>
      <c r="F76" s="31" t="s">
        <v>21</v>
      </c>
      <c r="G76" s="31">
        <v>2958</v>
      </c>
      <c r="H76" s="31">
        <v>2900</v>
      </c>
      <c r="I76" s="31">
        <v>131</v>
      </c>
      <c r="J76" s="31">
        <v>360</v>
      </c>
      <c r="K76" s="31">
        <v>1</v>
      </c>
      <c r="L76" s="31" t="s">
        <v>34</v>
      </c>
      <c r="M76" s="31" t="s">
        <v>27</v>
      </c>
      <c r="N76" s="31">
        <v>5858</v>
      </c>
      <c r="O76" s="31" t="s">
        <v>24</v>
      </c>
      <c r="P76" s="32">
        <v>0.45</v>
      </c>
      <c r="Q76" s="31">
        <v>2.2362581085694777</v>
      </c>
    </row>
    <row r="77" spans="1:17">
      <c r="A77" s="33" t="s">
        <v>106</v>
      </c>
      <c r="B77" s="33" t="s">
        <v>18</v>
      </c>
      <c r="C77" s="33" t="s">
        <v>19</v>
      </c>
      <c r="D77" s="33">
        <v>2</v>
      </c>
      <c r="E77" s="33" t="s">
        <v>20</v>
      </c>
      <c r="F77" s="33" t="s">
        <v>21</v>
      </c>
      <c r="G77" s="33">
        <v>6250</v>
      </c>
      <c r="H77" s="33">
        <v>5654</v>
      </c>
      <c r="I77" s="33">
        <v>188</v>
      </c>
      <c r="J77" s="33">
        <v>180</v>
      </c>
      <c r="K77" s="33">
        <v>1</v>
      </c>
      <c r="L77" s="33" t="s">
        <v>34</v>
      </c>
      <c r="M77" s="33" t="s">
        <v>27</v>
      </c>
      <c r="N77" s="33">
        <v>11904</v>
      </c>
      <c r="O77" s="33" t="s">
        <v>24</v>
      </c>
      <c r="P77" s="34">
        <v>0.63</v>
      </c>
      <c r="Q77" s="33">
        <v>1.5793010752688172</v>
      </c>
    </row>
    <row r="78" spans="1:17">
      <c r="A78" s="31" t="s">
        <v>107</v>
      </c>
      <c r="B78" s="31" t="s">
        <v>18</v>
      </c>
      <c r="C78" s="31" t="s">
        <v>19</v>
      </c>
      <c r="D78" s="31">
        <v>2</v>
      </c>
      <c r="E78" s="31" t="s">
        <v>29</v>
      </c>
      <c r="F78" s="31" t="s">
        <v>21</v>
      </c>
      <c r="G78" s="31">
        <v>3273</v>
      </c>
      <c r="H78" s="31">
        <v>1820</v>
      </c>
      <c r="I78" s="31">
        <v>81</v>
      </c>
      <c r="J78" s="31">
        <v>360</v>
      </c>
      <c r="K78" s="31">
        <v>1</v>
      </c>
      <c r="L78" s="31" t="s">
        <v>26</v>
      </c>
      <c r="M78" s="31" t="s">
        <v>27</v>
      </c>
      <c r="N78" s="31">
        <v>5093</v>
      </c>
      <c r="O78" s="31" t="s">
        <v>24</v>
      </c>
      <c r="P78" s="32">
        <v>0.63</v>
      </c>
      <c r="Q78" s="31">
        <v>1.5904182210877675</v>
      </c>
    </row>
    <row r="79" spans="1:17">
      <c r="A79" s="33" t="s">
        <v>108</v>
      </c>
      <c r="B79" s="33" t="s">
        <v>18</v>
      </c>
      <c r="C79" s="33" t="s">
        <v>21</v>
      </c>
      <c r="D79" s="33">
        <v>0</v>
      </c>
      <c r="E79" s="33" t="s">
        <v>20</v>
      </c>
      <c r="F79" s="33" t="s">
        <v>21</v>
      </c>
      <c r="G79" s="33">
        <v>4133</v>
      </c>
      <c r="H79" s="33">
        <v>0</v>
      </c>
      <c r="I79" s="33">
        <v>122</v>
      </c>
      <c r="J79" s="33">
        <v>360</v>
      </c>
      <c r="K79" s="33">
        <v>1</v>
      </c>
      <c r="L79" s="33" t="s">
        <v>34</v>
      </c>
      <c r="M79" s="33" t="s">
        <v>27</v>
      </c>
      <c r="N79" s="33">
        <v>4133</v>
      </c>
      <c r="O79" s="33" t="s">
        <v>24</v>
      </c>
      <c r="P79" s="34">
        <v>0.34</v>
      </c>
      <c r="Q79" s="33">
        <v>2.9518509557222359</v>
      </c>
    </row>
    <row r="80" spans="1:17">
      <c r="A80" s="31" t="s">
        <v>109</v>
      </c>
      <c r="B80" s="31" t="s">
        <v>18</v>
      </c>
      <c r="C80" s="31" t="s">
        <v>21</v>
      </c>
      <c r="D80" s="31">
        <v>0</v>
      </c>
      <c r="E80" s="31" t="s">
        <v>29</v>
      </c>
      <c r="F80" s="31" t="s">
        <v>21</v>
      </c>
      <c r="G80" s="31">
        <v>3620</v>
      </c>
      <c r="H80" s="31">
        <v>0</v>
      </c>
      <c r="I80" s="31">
        <v>25</v>
      </c>
      <c r="J80" s="31">
        <v>120</v>
      </c>
      <c r="K80" s="31">
        <v>1</v>
      </c>
      <c r="L80" s="31" t="s">
        <v>34</v>
      </c>
      <c r="M80" s="31" t="s">
        <v>27</v>
      </c>
      <c r="N80" s="31">
        <v>3620</v>
      </c>
      <c r="O80" s="31" t="s">
        <v>24</v>
      </c>
      <c r="P80" s="32">
        <v>1.45</v>
      </c>
      <c r="Q80" s="31">
        <v>0.69060773480662985</v>
      </c>
    </row>
    <row r="81" spans="1:17">
      <c r="A81" s="33" t="s">
        <v>110</v>
      </c>
      <c r="B81" s="33" t="s">
        <v>46</v>
      </c>
      <c r="C81" s="33" t="s">
        <v>19</v>
      </c>
      <c r="D81" s="33">
        <v>0</v>
      </c>
      <c r="E81" s="33" t="s">
        <v>20</v>
      </c>
      <c r="F81" s="33" t="s">
        <v>21</v>
      </c>
      <c r="G81" s="33">
        <v>2484</v>
      </c>
      <c r="H81" s="33">
        <v>2302</v>
      </c>
      <c r="I81" s="33">
        <v>137</v>
      </c>
      <c r="J81" s="33">
        <v>360</v>
      </c>
      <c r="K81" s="33">
        <v>1</v>
      </c>
      <c r="L81" s="33" t="s">
        <v>34</v>
      </c>
      <c r="M81" s="33" t="s">
        <v>27</v>
      </c>
      <c r="N81" s="33">
        <v>4786</v>
      </c>
      <c r="O81" s="33" t="s">
        <v>24</v>
      </c>
      <c r="P81" s="34">
        <v>0.35</v>
      </c>
      <c r="Q81" s="33">
        <v>2.8625156707062267</v>
      </c>
    </row>
    <row r="82" spans="1:17">
      <c r="A82" s="31" t="s">
        <v>111</v>
      </c>
      <c r="B82" s="31" t="s">
        <v>18</v>
      </c>
      <c r="C82" s="31" t="s">
        <v>19</v>
      </c>
      <c r="D82" s="31">
        <v>0</v>
      </c>
      <c r="E82" s="31" t="s">
        <v>20</v>
      </c>
      <c r="F82" s="31" t="s">
        <v>21</v>
      </c>
      <c r="G82" s="31">
        <v>1977</v>
      </c>
      <c r="H82" s="31">
        <v>997</v>
      </c>
      <c r="I82" s="31">
        <v>50</v>
      </c>
      <c r="J82" s="31">
        <v>360</v>
      </c>
      <c r="K82" s="31">
        <v>1</v>
      </c>
      <c r="L82" s="31" t="s">
        <v>34</v>
      </c>
      <c r="M82" s="31" t="s">
        <v>27</v>
      </c>
      <c r="N82" s="31">
        <v>2974</v>
      </c>
      <c r="O82" s="31" t="s">
        <v>24</v>
      </c>
      <c r="P82" s="32">
        <v>0.59</v>
      </c>
      <c r="Q82" s="31">
        <v>1.6812373907195695</v>
      </c>
    </row>
    <row r="83" spans="1:17">
      <c r="A83" s="33" t="s">
        <v>112</v>
      </c>
      <c r="B83" s="33" t="s">
        <v>18</v>
      </c>
      <c r="C83" s="33" t="s">
        <v>19</v>
      </c>
      <c r="D83" s="33">
        <v>0</v>
      </c>
      <c r="E83" s="33" t="s">
        <v>29</v>
      </c>
      <c r="F83" s="33" t="s">
        <v>21</v>
      </c>
      <c r="G83" s="33">
        <v>4188</v>
      </c>
      <c r="H83" s="33">
        <v>0</v>
      </c>
      <c r="I83" s="33">
        <v>115</v>
      </c>
      <c r="J83" s="33">
        <v>180</v>
      </c>
      <c r="K83" s="33">
        <v>1</v>
      </c>
      <c r="L83" s="33" t="s">
        <v>34</v>
      </c>
      <c r="M83" s="33" t="s">
        <v>27</v>
      </c>
      <c r="N83" s="33">
        <v>4188</v>
      </c>
      <c r="O83" s="33" t="s">
        <v>24</v>
      </c>
      <c r="P83" s="34">
        <v>0.36</v>
      </c>
      <c r="Q83" s="33">
        <v>2.7459407831900666</v>
      </c>
    </row>
    <row r="84" spans="1:17">
      <c r="A84" s="31" t="s">
        <v>113</v>
      </c>
      <c r="B84" s="31" t="s">
        <v>18</v>
      </c>
      <c r="C84" s="31" t="s">
        <v>19</v>
      </c>
      <c r="D84" s="31">
        <v>0</v>
      </c>
      <c r="E84" s="31" t="s">
        <v>20</v>
      </c>
      <c r="F84" s="31" t="s">
        <v>21</v>
      </c>
      <c r="G84" s="31">
        <v>1759</v>
      </c>
      <c r="H84" s="31">
        <v>3541</v>
      </c>
      <c r="I84" s="31">
        <v>131</v>
      </c>
      <c r="J84" s="31">
        <v>360</v>
      </c>
      <c r="K84" s="31">
        <v>1</v>
      </c>
      <c r="L84" s="31" t="s">
        <v>34</v>
      </c>
      <c r="M84" s="31" t="s">
        <v>27</v>
      </c>
      <c r="N84" s="31">
        <v>5300</v>
      </c>
      <c r="O84" s="31" t="s">
        <v>24</v>
      </c>
      <c r="P84" s="32">
        <v>0.4</v>
      </c>
      <c r="Q84" s="31">
        <v>2.4716981132075473</v>
      </c>
    </row>
    <row r="85" spans="1:17">
      <c r="A85" s="33" t="s">
        <v>114</v>
      </c>
      <c r="B85" s="33" t="s">
        <v>18</v>
      </c>
      <c r="C85" s="33" t="s">
        <v>19</v>
      </c>
      <c r="D85" s="33">
        <v>2</v>
      </c>
      <c r="E85" s="33" t="s">
        <v>29</v>
      </c>
      <c r="F85" s="33" t="s">
        <v>21</v>
      </c>
      <c r="G85" s="33">
        <v>4288</v>
      </c>
      <c r="H85" s="33">
        <v>3263</v>
      </c>
      <c r="I85" s="33">
        <v>133</v>
      </c>
      <c r="J85" s="33">
        <v>180</v>
      </c>
      <c r="K85" s="33">
        <v>1</v>
      </c>
      <c r="L85" s="33" t="s">
        <v>26</v>
      </c>
      <c r="M85" s="33" t="s">
        <v>27</v>
      </c>
      <c r="N85" s="33">
        <v>7551</v>
      </c>
      <c r="O85" s="33" t="s">
        <v>24</v>
      </c>
      <c r="P85" s="34">
        <v>0.56999999999999995</v>
      </c>
      <c r="Q85" s="33">
        <v>1.761356111773275</v>
      </c>
    </row>
    <row r="86" spans="1:17">
      <c r="A86" s="31" t="s">
        <v>115</v>
      </c>
      <c r="B86" s="31" t="s">
        <v>18</v>
      </c>
      <c r="C86" s="31" t="s">
        <v>21</v>
      </c>
      <c r="D86" s="31">
        <v>0</v>
      </c>
      <c r="E86" s="31" t="s">
        <v>20</v>
      </c>
      <c r="F86" s="31" t="s">
        <v>21</v>
      </c>
      <c r="G86" s="31">
        <v>4843</v>
      </c>
      <c r="H86" s="31">
        <v>3806</v>
      </c>
      <c r="I86" s="31">
        <v>151</v>
      </c>
      <c r="J86" s="31">
        <v>360</v>
      </c>
      <c r="K86" s="31">
        <v>1</v>
      </c>
      <c r="L86" s="31" t="s">
        <v>34</v>
      </c>
      <c r="M86" s="31" t="s">
        <v>27</v>
      </c>
      <c r="N86" s="31">
        <v>8649</v>
      </c>
      <c r="O86" s="31" t="s">
        <v>24</v>
      </c>
      <c r="P86" s="32">
        <v>0.56999999999999995</v>
      </c>
      <c r="Q86" s="31">
        <v>1.7458665741704245</v>
      </c>
    </row>
    <row r="87" spans="1:17">
      <c r="A87" s="33" t="s">
        <v>116</v>
      </c>
      <c r="B87" s="33" t="s">
        <v>18</v>
      </c>
      <c r="C87" s="33" t="s">
        <v>40</v>
      </c>
      <c r="D87" s="33">
        <v>0</v>
      </c>
      <c r="E87" s="33" t="s">
        <v>20</v>
      </c>
      <c r="F87" s="33" t="s">
        <v>21</v>
      </c>
      <c r="G87" s="33">
        <v>3816</v>
      </c>
      <c r="H87" s="33">
        <v>754</v>
      </c>
      <c r="I87" s="33">
        <v>160</v>
      </c>
      <c r="J87" s="33">
        <v>360</v>
      </c>
      <c r="K87" s="33">
        <v>1</v>
      </c>
      <c r="L87" s="33" t="s">
        <v>26</v>
      </c>
      <c r="M87" s="33" t="s">
        <v>27</v>
      </c>
      <c r="N87" s="33">
        <v>4570</v>
      </c>
      <c r="O87" s="33" t="s">
        <v>24</v>
      </c>
      <c r="P87" s="34">
        <v>0.28999999999999998</v>
      </c>
      <c r="Q87" s="33">
        <v>3.5010940919037199</v>
      </c>
    </row>
    <row r="88" spans="1:17">
      <c r="A88" s="31" t="s">
        <v>117</v>
      </c>
      <c r="B88" s="31" t="s">
        <v>18</v>
      </c>
      <c r="C88" s="31" t="s">
        <v>19</v>
      </c>
      <c r="D88" s="31">
        <v>1</v>
      </c>
      <c r="E88" s="31" t="s">
        <v>20</v>
      </c>
      <c r="F88" s="31" t="s">
        <v>21</v>
      </c>
      <c r="G88" s="31">
        <v>3052</v>
      </c>
      <c r="H88" s="31">
        <v>1030</v>
      </c>
      <c r="I88" s="31">
        <v>100</v>
      </c>
      <c r="J88" s="31">
        <v>360</v>
      </c>
      <c r="K88" s="31">
        <v>1</v>
      </c>
      <c r="L88" s="31" t="s">
        <v>26</v>
      </c>
      <c r="M88" s="31" t="s">
        <v>27</v>
      </c>
      <c r="N88" s="31">
        <v>4082</v>
      </c>
      <c r="O88" s="31" t="s">
        <v>24</v>
      </c>
      <c r="P88" s="32">
        <v>0.41</v>
      </c>
      <c r="Q88" s="31">
        <v>2.4497795198432142</v>
      </c>
    </row>
    <row r="89" spans="1:17">
      <c r="A89" s="33" t="s">
        <v>118</v>
      </c>
      <c r="B89" s="33" t="s">
        <v>18</v>
      </c>
      <c r="C89" s="33" t="s">
        <v>19</v>
      </c>
      <c r="D89" s="33">
        <v>2</v>
      </c>
      <c r="E89" s="33" t="s">
        <v>20</v>
      </c>
      <c r="F89" s="33" t="s">
        <v>21</v>
      </c>
      <c r="G89" s="33">
        <v>11417</v>
      </c>
      <c r="H89" s="33">
        <v>1126</v>
      </c>
      <c r="I89" s="33">
        <v>225</v>
      </c>
      <c r="J89" s="33">
        <v>360</v>
      </c>
      <c r="K89" s="33">
        <v>1</v>
      </c>
      <c r="L89" s="33" t="s">
        <v>26</v>
      </c>
      <c r="M89" s="33" t="s">
        <v>27</v>
      </c>
      <c r="N89" s="33">
        <v>12543</v>
      </c>
      <c r="O89" s="33" t="s">
        <v>24</v>
      </c>
      <c r="P89" s="34">
        <v>0.56000000000000005</v>
      </c>
      <c r="Q89" s="33">
        <v>1.793829227457546</v>
      </c>
    </row>
    <row r="90" spans="1:17">
      <c r="A90" s="31" t="s">
        <v>119</v>
      </c>
      <c r="B90" s="31" t="s">
        <v>18</v>
      </c>
      <c r="C90" s="31" t="s">
        <v>21</v>
      </c>
      <c r="D90" s="31">
        <v>0</v>
      </c>
      <c r="E90" s="31" t="s">
        <v>29</v>
      </c>
      <c r="F90" s="31" t="s">
        <v>40</v>
      </c>
      <c r="G90" s="31">
        <v>7333</v>
      </c>
      <c r="H90" s="31">
        <v>0</v>
      </c>
      <c r="I90" s="31">
        <v>120</v>
      </c>
      <c r="J90" s="31">
        <v>360</v>
      </c>
      <c r="K90" s="31">
        <v>1</v>
      </c>
      <c r="L90" s="31" t="s">
        <v>22</v>
      </c>
      <c r="M90" s="31" t="s">
        <v>23</v>
      </c>
      <c r="N90" s="31">
        <v>7333</v>
      </c>
      <c r="O90" s="31" t="s">
        <v>24</v>
      </c>
      <c r="P90" s="32">
        <v>0.61</v>
      </c>
      <c r="Q90" s="31">
        <v>1.6364380199099959</v>
      </c>
    </row>
    <row r="91" spans="1:17">
      <c r="A91" s="33" t="s">
        <v>120</v>
      </c>
      <c r="B91" s="33" t="s">
        <v>18</v>
      </c>
      <c r="C91" s="33" t="s">
        <v>19</v>
      </c>
      <c r="D91" s="33">
        <v>2</v>
      </c>
      <c r="E91" s="33" t="s">
        <v>20</v>
      </c>
      <c r="F91" s="33" t="s">
        <v>21</v>
      </c>
      <c r="G91" s="33">
        <v>3800</v>
      </c>
      <c r="H91" s="33">
        <v>3600</v>
      </c>
      <c r="I91" s="33">
        <v>216</v>
      </c>
      <c r="J91" s="33">
        <v>360</v>
      </c>
      <c r="K91" s="33">
        <v>0</v>
      </c>
      <c r="L91" s="33" t="s">
        <v>26</v>
      </c>
      <c r="M91" s="33" t="s">
        <v>23</v>
      </c>
      <c r="N91" s="33">
        <v>7400</v>
      </c>
      <c r="O91" s="33" t="s">
        <v>35</v>
      </c>
      <c r="P91" s="34">
        <v>0.34</v>
      </c>
      <c r="Q91" s="33">
        <v>2.9189189189189189</v>
      </c>
    </row>
    <row r="92" spans="1:17">
      <c r="A92" s="31" t="s">
        <v>121</v>
      </c>
      <c r="B92" s="31" t="s">
        <v>18</v>
      </c>
      <c r="C92" s="31" t="s">
        <v>19</v>
      </c>
      <c r="D92" s="31">
        <v>3</v>
      </c>
      <c r="E92" s="31" t="s">
        <v>29</v>
      </c>
      <c r="F92" s="31" t="s">
        <v>21</v>
      </c>
      <c r="G92" s="31">
        <v>2071</v>
      </c>
      <c r="H92" s="31">
        <v>754</v>
      </c>
      <c r="I92" s="31">
        <v>94</v>
      </c>
      <c r="J92" s="31">
        <v>480</v>
      </c>
      <c r="K92" s="31">
        <v>1</v>
      </c>
      <c r="L92" s="31" t="s">
        <v>34</v>
      </c>
      <c r="M92" s="31" t="s">
        <v>27</v>
      </c>
      <c r="N92" s="31">
        <v>2825</v>
      </c>
      <c r="O92" s="31" t="s">
        <v>24</v>
      </c>
      <c r="P92" s="32">
        <v>0.3</v>
      </c>
      <c r="Q92" s="31">
        <v>3.3274336283185839</v>
      </c>
    </row>
    <row r="93" spans="1:17">
      <c r="A93" s="33" t="s">
        <v>122</v>
      </c>
      <c r="B93" s="33" t="s">
        <v>18</v>
      </c>
      <c r="C93" s="33" t="s">
        <v>21</v>
      </c>
      <c r="D93" s="33">
        <v>0</v>
      </c>
      <c r="E93" s="33" t="s">
        <v>20</v>
      </c>
      <c r="F93" s="33" t="s">
        <v>21</v>
      </c>
      <c r="G93" s="33">
        <v>5316</v>
      </c>
      <c r="H93" s="33">
        <v>0</v>
      </c>
      <c r="I93" s="33">
        <v>136</v>
      </c>
      <c r="J93" s="33">
        <v>360</v>
      </c>
      <c r="K93" s="33">
        <v>1</v>
      </c>
      <c r="L93" s="33" t="s">
        <v>26</v>
      </c>
      <c r="M93" s="33" t="s">
        <v>27</v>
      </c>
      <c r="N93" s="33">
        <v>5316</v>
      </c>
      <c r="O93" s="33" t="s">
        <v>24</v>
      </c>
      <c r="P93" s="34">
        <v>0.39</v>
      </c>
      <c r="Q93" s="33">
        <v>2.5583145221971408</v>
      </c>
    </row>
    <row r="94" spans="1:17">
      <c r="A94" s="31" t="s">
        <v>123</v>
      </c>
      <c r="B94" s="31" t="s">
        <v>46</v>
      </c>
      <c r="C94" s="31" t="s">
        <v>19</v>
      </c>
      <c r="D94" s="31">
        <v>0</v>
      </c>
      <c r="E94" s="31" t="s">
        <v>20</v>
      </c>
      <c r="F94" s="31" t="s">
        <v>40</v>
      </c>
      <c r="G94" s="31">
        <v>2929</v>
      </c>
      <c r="H94" s="31">
        <v>2333</v>
      </c>
      <c r="I94" s="31">
        <v>139</v>
      </c>
      <c r="J94" s="31">
        <v>360</v>
      </c>
      <c r="K94" s="31">
        <v>1</v>
      </c>
      <c r="L94" s="31" t="s">
        <v>34</v>
      </c>
      <c r="M94" s="31" t="s">
        <v>27</v>
      </c>
      <c r="N94" s="31">
        <v>5262</v>
      </c>
      <c r="O94" s="31" t="s">
        <v>24</v>
      </c>
      <c r="P94" s="32">
        <v>0.38</v>
      </c>
      <c r="Q94" s="31">
        <v>2.6415811478525275</v>
      </c>
    </row>
    <row r="95" spans="1:17">
      <c r="A95" s="33" t="s">
        <v>124</v>
      </c>
      <c r="B95" s="33" t="s">
        <v>18</v>
      </c>
      <c r="C95" s="33" t="s">
        <v>21</v>
      </c>
      <c r="D95" s="33">
        <v>0</v>
      </c>
      <c r="E95" s="33" t="s">
        <v>20</v>
      </c>
      <c r="F95" s="33" t="s">
        <v>40</v>
      </c>
      <c r="G95" s="33">
        <v>5050</v>
      </c>
      <c r="H95" s="33">
        <v>0</v>
      </c>
      <c r="I95" s="33">
        <v>118</v>
      </c>
      <c r="J95" s="33">
        <v>360</v>
      </c>
      <c r="K95" s="33">
        <v>1</v>
      </c>
      <c r="L95" s="33" t="s">
        <v>34</v>
      </c>
      <c r="M95" s="33" t="s">
        <v>27</v>
      </c>
      <c r="N95" s="33">
        <v>5050</v>
      </c>
      <c r="O95" s="33" t="s">
        <v>24</v>
      </c>
      <c r="P95" s="34">
        <v>0.43</v>
      </c>
      <c r="Q95" s="33">
        <v>2.3366336633663365</v>
      </c>
    </row>
    <row r="96" spans="1:17">
      <c r="A96" s="31" t="s">
        <v>125</v>
      </c>
      <c r="B96" s="31" t="s">
        <v>18</v>
      </c>
      <c r="C96" s="31" t="s">
        <v>19</v>
      </c>
      <c r="D96" s="31">
        <v>1</v>
      </c>
      <c r="E96" s="31" t="s">
        <v>20</v>
      </c>
      <c r="F96" s="31" t="s">
        <v>21</v>
      </c>
      <c r="G96" s="31">
        <v>14583</v>
      </c>
      <c r="H96" s="31">
        <v>0</v>
      </c>
      <c r="I96" s="31">
        <v>185</v>
      </c>
      <c r="J96" s="31">
        <v>180</v>
      </c>
      <c r="K96" s="31">
        <v>1</v>
      </c>
      <c r="L96" s="31" t="s">
        <v>22</v>
      </c>
      <c r="M96" s="31" t="s">
        <v>27</v>
      </c>
      <c r="N96" s="31">
        <v>14583</v>
      </c>
      <c r="O96" s="31" t="s">
        <v>24</v>
      </c>
      <c r="P96" s="32">
        <v>0.79</v>
      </c>
      <c r="Q96" s="31">
        <v>1.2686004251525749</v>
      </c>
    </row>
    <row r="97" spans="1:17">
      <c r="A97" s="33" t="s">
        <v>126</v>
      </c>
      <c r="B97" s="33" t="s">
        <v>46</v>
      </c>
      <c r="C97" s="33" t="s">
        <v>19</v>
      </c>
      <c r="D97" s="33">
        <v>0</v>
      </c>
      <c r="E97" s="33" t="s">
        <v>20</v>
      </c>
      <c r="F97" s="33" t="s">
        <v>21</v>
      </c>
      <c r="G97" s="33">
        <v>3167</v>
      </c>
      <c r="H97" s="33">
        <v>2283</v>
      </c>
      <c r="I97" s="33">
        <v>154</v>
      </c>
      <c r="J97" s="33">
        <v>360</v>
      </c>
      <c r="K97" s="33">
        <v>1</v>
      </c>
      <c r="L97" s="33" t="s">
        <v>34</v>
      </c>
      <c r="M97" s="33" t="s">
        <v>27</v>
      </c>
      <c r="N97" s="33">
        <v>5450</v>
      </c>
      <c r="O97" s="33" t="s">
        <v>24</v>
      </c>
      <c r="P97" s="34">
        <v>0.35</v>
      </c>
      <c r="Q97" s="33">
        <v>2.8256880733944953</v>
      </c>
    </row>
    <row r="98" spans="1:17">
      <c r="A98" s="31" t="s">
        <v>127</v>
      </c>
      <c r="B98" s="31" t="s">
        <v>18</v>
      </c>
      <c r="C98" s="31" t="s">
        <v>19</v>
      </c>
      <c r="D98" s="31">
        <v>0</v>
      </c>
      <c r="E98" s="31" t="s">
        <v>20</v>
      </c>
      <c r="F98" s="31" t="s">
        <v>21</v>
      </c>
      <c r="G98" s="31">
        <v>5568</v>
      </c>
      <c r="H98" s="31">
        <v>2142</v>
      </c>
      <c r="I98" s="31">
        <v>175</v>
      </c>
      <c r="J98" s="31">
        <v>360</v>
      </c>
      <c r="K98" s="31">
        <v>1</v>
      </c>
      <c r="L98" s="31" t="s">
        <v>22</v>
      </c>
      <c r="M98" s="31" t="s">
        <v>23</v>
      </c>
      <c r="N98" s="31">
        <v>7710</v>
      </c>
      <c r="O98" s="31" t="s">
        <v>24</v>
      </c>
      <c r="P98" s="32">
        <v>0.44</v>
      </c>
      <c r="Q98" s="31">
        <v>2.2697795071335927</v>
      </c>
    </row>
    <row r="99" spans="1:17">
      <c r="A99" s="33" t="s">
        <v>128</v>
      </c>
      <c r="B99" s="33" t="s">
        <v>46</v>
      </c>
      <c r="C99" s="33" t="s">
        <v>21</v>
      </c>
      <c r="D99" s="33">
        <v>0</v>
      </c>
      <c r="E99" s="33" t="s">
        <v>20</v>
      </c>
      <c r="F99" s="33" t="s">
        <v>21</v>
      </c>
      <c r="G99" s="33">
        <v>10408</v>
      </c>
      <c r="H99" s="33">
        <v>0</v>
      </c>
      <c r="I99" s="33">
        <v>259</v>
      </c>
      <c r="J99" s="33">
        <v>360</v>
      </c>
      <c r="K99" s="33">
        <v>1</v>
      </c>
      <c r="L99" s="33" t="s">
        <v>26</v>
      </c>
      <c r="M99" s="33" t="s">
        <v>27</v>
      </c>
      <c r="N99" s="33">
        <v>10408</v>
      </c>
      <c r="O99" s="33" t="s">
        <v>24</v>
      </c>
      <c r="P99" s="34">
        <v>0.4</v>
      </c>
      <c r="Q99" s="33">
        <v>2.488470407378939</v>
      </c>
    </row>
    <row r="100" spans="1:17">
      <c r="A100" s="31" t="s">
        <v>129</v>
      </c>
      <c r="B100" s="31" t="s">
        <v>18</v>
      </c>
      <c r="C100" s="31" t="s">
        <v>19</v>
      </c>
      <c r="D100" s="31">
        <v>0</v>
      </c>
      <c r="E100" s="31" t="s">
        <v>20</v>
      </c>
      <c r="F100" s="31" t="s">
        <v>21</v>
      </c>
      <c r="G100" s="31">
        <v>5667</v>
      </c>
      <c r="H100" s="31">
        <v>2667</v>
      </c>
      <c r="I100" s="31">
        <v>180</v>
      </c>
      <c r="J100" s="31">
        <v>360</v>
      </c>
      <c r="K100" s="31">
        <v>1</v>
      </c>
      <c r="L100" s="31" t="s">
        <v>22</v>
      </c>
      <c r="M100" s="31" t="s">
        <v>27</v>
      </c>
      <c r="N100" s="31">
        <v>8334</v>
      </c>
      <c r="O100" s="31" t="s">
        <v>24</v>
      </c>
      <c r="P100" s="32">
        <v>0.46</v>
      </c>
      <c r="Q100" s="31">
        <v>2.159827213822894</v>
      </c>
    </row>
    <row r="101" spans="1:17">
      <c r="A101" s="33" t="s">
        <v>130</v>
      </c>
      <c r="B101" s="33" t="s">
        <v>46</v>
      </c>
      <c r="C101" s="33" t="s">
        <v>21</v>
      </c>
      <c r="D101" s="33">
        <v>0</v>
      </c>
      <c r="E101" s="33" t="s">
        <v>20</v>
      </c>
      <c r="F101" s="33" t="s">
        <v>21</v>
      </c>
      <c r="G101" s="33">
        <v>4166</v>
      </c>
      <c r="H101" s="33">
        <v>0</v>
      </c>
      <c r="I101" s="33">
        <v>44</v>
      </c>
      <c r="J101" s="33">
        <v>360</v>
      </c>
      <c r="K101" s="33">
        <v>1</v>
      </c>
      <c r="L101" s="33" t="s">
        <v>34</v>
      </c>
      <c r="M101" s="33" t="s">
        <v>27</v>
      </c>
      <c r="N101" s="33">
        <v>4166</v>
      </c>
      <c r="O101" s="33" t="s">
        <v>24</v>
      </c>
      <c r="P101" s="34">
        <v>0.95</v>
      </c>
      <c r="Q101" s="33">
        <v>1.0561689870379261</v>
      </c>
    </row>
    <row r="102" spans="1:17">
      <c r="A102" s="31" t="s">
        <v>131</v>
      </c>
      <c r="B102" s="31" t="s">
        <v>46</v>
      </c>
      <c r="C102" s="31" t="s">
        <v>21</v>
      </c>
      <c r="D102" s="31">
        <v>0</v>
      </c>
      <c r="E102" s="31" t="s">
        <v>20</v>
      </c>
      <c r="F102" s="31" t="s">
        <v>21</v>
      </c>
      <c r="G102" s="31">
        <v>2137</v>
      </c>
      <c r="H102" s="31">
        <v>8980</v>
      </c>
      <c r="I102" s="31">
        <v>137</v>
      </c>
      <c r="J102" s="31">
        <v>360</v>
      </c>
      <c r="K102" s="31">
        <v>0</v>
      </c>
      <c r="L102" s="31" t="s">
        <v>34</v>
      </c>
      <c r="M102" s="31" t="s">
        <v>27</v>
      </c>
      <c r="N102" s="31">
        <v>11117</v>
      </c>
      <c r="O102" s="31" t="s">
        <v>35</v>
      </c>
      <c r="P102" s="32">
        <v>0.81</v>
      </c>
      <c r="Q102" s="31">
        <v>1.2323468561662321</v>
      </c>
    </row>
    <row r="103" spans="1:17">
      <c r="A103" s="33" t="s">
        <v>132</v>
      </c>
      <c r="B103" s="33" t="s">
        <v>18</v>
      </c>
      <c r="C103" s="33" t="s">
        <v>19</v>
      </c>
      <c r="D103" s="33">
        <v>2</v>
      </c>
      <c r="E103" s="33" t="s">
        <v>20</v>
      </c>
      <c r="F103" s="33" t="s">
        <v>21</v>
      </c>
      <c r="G103" s="33">
        <v>2957</v>
      </c>
      <c r="H103" s="33">
        <v>0</v>
      </c>
      <c r="I103" s="33">
        <v>81</v>
      </c>
      <c r="J103" s="33">
        <v>360</v>
      </c>
      <c r="K103" s="33">
        <v>1</v>
      </c>
      <c r="L103" s="33" t="s">
        <v>34</v>
      </c>
      <c r="M103" s="33" t="s">
        <v>27</v>
      </c>
      <c r="N103" s="33">
        <v>2957</v>
      </c>
      <c r="O103" s="33" t="s">
        <v>24</v>
      </c>
      <c r="P103" s="34">
        <v>0.37</v>
      </c>
      <c r="Q103" s="33">
        <v>2.7392627663172133</v>
      </c>
    </row>
    <row r="104" spans="1:17">
      <c r="A104" s="31" t="s">
        <v>133</v>
      </c>
      <c r="B104" s="31" t="s">
        <v>18</v>
      </c>
      <c r="C104" s="31" t="s">
        <v>19</v>
      </c>
      <c r="D104" s="31">
        <v>0</v>
      </c>
      <c r="E104" s="31" t="s">
        <v>29</v>
      </c>
      <c r="F104" s="31" t="s">
        <v>21</v>
      </c>
      <c r="G104" s="31">
        <v>4300</v>
      </c>
      <c r="H104" s="31">
        <v>2014</v>
      </c>
      <c r="I104" s="31">
        <v>194</v>
      </c>
      <c r="J104" s="31">
        <v>360</v>
      </c>
      <c r="K104" s="31">
        <v>1</v>
      </c>
      <c r="L104" s="31" t="s">
        <v>22</v>
      </c>
      <c r="M104" s="31" t="s">
        <v>27</v>
      </c>
      <c r="N104" s="31">
        <v>6314</v>
      </c>
      <c r="O104" s="31" t="s">
        <v>24</v>
      </c>
      <c r="P104" s="32">
        <v>0.33</v>
      </c>
      <c r="Q104" s="31">
        <v>3.0725372188786824</v>
      </c>
    </row>
    <row r="105" spans="1:17">
      <c r="A105" s="33" t="s">
        <v>134</v>
      </c>
      <c r="B105" s="33" t="s">
        <v>40</v>
      </c>
      <c r="C105" s="33" t="s">
        <v>19</v>
      </c>
      <c r="D105" s="33">
        <v>3</v>
      </c>
      <c r="E105" s="33" t="s">
        <v>20</v>
      </c>
      <c r="F105" s="33" t="s">
        <v>21</v>
      </c>
      <c r="G105" s="33">
        <v>23803</v>
      </c>
      <c r="H105" s="33">
        <v>0</v>
      </c>
      <c r="I105" s="33">
        <v>370</v>
      </c>
      <c r="J105" s="33">
        <v>360</v>
      </c>
      <c r="K105" s="33">
        <v>1</v>
      </c>
      <c r="L105" s="33" t="s">
        <v>22</v>
      </c>
      <c r="M105" s="33" t="s">
        <v>27</v>
      </c>
      <c r="N105" s="33">
        <v>23803</v>
      </c>
      <c r="O105" s="33" t="s">
        <v>24</v>
      </c>
      <c r="P105" s="34">
        <v>0.64</v>
      </c>
      <c r="Q105" s="33">
        <v>1.5544259127000799</v>
      </c>
    </row>
    <row r="106" spans="1:17">
      <c r="A106" s="31" t="s">
        <v>135</v>
      </c>
      <c r="B106" s="31" t="s">
        <v>18</v>
      </c>
      <c r="C106" s="31" t="s">
        <v>19</v>
      </c>
      <c r="D106" s="31">
        <v>1</v>
      </c>
      <c r="E106" s="31" t="s">
        <v>20</v>
      </c>
      <c r="F106" s="31" t="s">
        <v>19</v>
      </c>
      <c r="G106" s="31">
        <v>10513</v>
      </c>
      <c r="H106" s="31">
        <v>3850</v>
      </c>
      <c r="I106" s="31">
        <v>160</v>
      </c>
      <c r="J106" s="31">
        <v>180</v>
      </c>
      <c r="K106" s="31">
        <v>0</v>
      </c>
      <c r="L106" s="31" t="s">
        <v>26</v>
      </c>
      <c r="M106" s="31" t="s">
        <v>23</v>
      </c>
      <c r="N106" s="31">
        <v>14363</v>
      </c>
      <c r="O106" s="31" t="s">
        <v>35</v>
      </c>
      <c r="P106" s="32">
        <v>0.9</v>
      </c>
      <c r="Q106" s="31">
        <v>1.1139734038849822</v>
      </c>
    </row>
    <row r="107" spans="1:17">
      <c r="A107" s="33" t="s">
        <v>136</v>
      </c>
      <c r="B107" s="33" t="s">
        <v>18</v>
      </c>
      <c r="C107" s="33" t="s">
        <v>21</v>
      </c>
      <c r="D107" s="33">
        <v>0</v>
      </c>
      <c r="E107" s="33" t="s">
        <v>20</v>
      </c>
      <c r="F107" s="33" t="s">
        <v>21</v>
      </c>
      <c r="G107" s="33">
        <v>2014</v>
      </c>
      <c r="H107" s="33">
        <v>1929</v>
      </c>
      <c r="I107" s="33">
        <v>74</v>
      </c>
      <c r="J107" s="33">
        <v>360</v>
      </c>
      <c r="K107" s="33">
        <v>1</v>
      </c>
      <c r="L107" s="33" t="s">
        <v>26</v>
      </c>
      <c r="M107" s="33" t="s">
        <v>27</v>
      </c>
      <c r="N107" s="33">
        <v>3943</v>
      </c>
      <c r="O107" s="33" t="s">
        <v>24</v>
      </c>
      <c r="P107" s="34">
        <v>0.53</v>
      </c>
      <c r="Q107" s="33">
        <v>1.8767435962465127</v>
      </c>
    </row>
    <row r="108" spans="1:17">
      <c r="A108" s="31" t="s">
        <v>137</v>
      </c>
      <c r="B108" s="31" t="s">
        <v>18</v>
      </c>
      <c r="C108" s="31" t="s">
        <v>21</v>
      </c>
      <c r="D108" s="31">
        <v>0</v>
      </c>
      <c r="E108" s="31" t="s">
        <v>20</v>
      </c>
      <c r="F108" s="31" t="s">
        <v>21</v>
      </c>
      <c r="G108" s="31">
        <v>2718</v>
      </c>
      <c r="H108" s="31">
        <v>0</v>
      </c>
      <c r="I108" s="31">
        <v>70</v>
      </c>
      <c r="J108" s="31">
        <v>360</v>
      </c>
      <c r="K108" s="31">
        <v>1</v>
      </c>
      <c r="L108" s="31" t="s">
        <v>34</v>
      </c>
      <c r="M108" s="31" t="s">
        <v>27</v>
      </c>
      <c r="N108" s="31">
        <v>2718</v>
      </c>
      <c r="O108" s="31" t="s">
        <v>24</v>
      </c>
      <c r="P108" s="32">
        <v>0.39</v>
      </c>
      <c r="Q108" s="31">
        <v>2.5754231052244299</v>
      </c>
    </row>
    <row r="109" spans="1:17">
      <c r="A109" s="33" t="s">
        <v>138</v>
      </c>
      <c r="B109" s="33" t="s">
        <v>18</v>
      </c>
      <c r="C109" s="33" t="s">
        <v>19</v>
      </c>
      <c r="D109" s="33">
        <v>0</v>
      </c>
      <c r="E109" s="33" t="s">
        <v>20</v>
      </c>
      <c r="F109" s="33" t="s">
        <v>19</v>
      </c>
      <c r="G109" s="33">
        <v>3459</v>
      </c>
      <c r="H109" s="33">
        <v>0</v>
      </c>
      <c r="I109" s="33">
        <v>25</v>
      </c>
      <c r="J109" s="33">
        <v>120</v>
      </c>
      <c r="K109" s="33">
        <v>1</v>
      </c>
      <c r="L109" s="33" t="s">
        <v>34</v>
      </c>
      <c r="M109" s="33" t="s">
        <v>27</v>
      </c>
      <c r="N109" s="33">
        <v>3459</v>
      </c>
      <c r="O109" s="33" t="s">
        <v>24</v>
      </c>
      <c r="P109" s="34">
        <v>1.38</v>
      </c>
      <c r="Q109" s="33">
        <v>0.72275224053194564</v>
      </c>
    </row>
    <row r="110" spans="1:17">
      <c r="A110" s="31" t="s">
        <v>139</v>
      </c>
      <c r="B110" s="31" t="s">
        <v>18</v>
      </c>
      <c r="C110" s="31" t="s">
        <v>21</v>
      </c>
      <c r="D110" s="31">
        <v>0</v>
      </c>
      <c r="E110" s="31" t="s">
        <v>20</v>
      </c>
      <c r="F110" s="31" t="s">
        <v>21</v>
      </c>
      <c r="G110" s="31">
        <v>4895</v>
      </c>
      <c r="H110" s="31">
        <v>0</v>
      </c>
      <c r="I110" s="31">
        <v>102</v>
      </c>
      <c r="J110" s="31">
        <v>360</v>
      </c>
      <c r="K110" s="31">
        <v>1</v>
      </c>
      <c r="L110" s="31" t="s">
        <v>34</v>
      </c>
      <c r="M110" s="31" t="s">
        <v>27</v>
      </c>
      <c r="N110" s="31">
        <v>4895</v>
      </c>
      <c r="O110" s="31" t="s">
        <v>24</v>
      </c>
      <c r="P110" s="32">
        <v>0.48</v>
      </c>
      <c r="Q110" s="31">
        <v>2.0837589376915218</v>
      </c>
    </row>
    <row r="111" spans="1:17">
      <c r="A111" s="33" t="s">
        <v>140</v>
      </c>
      <c r="B111" s="33" t="s">
        <v>18</v>
      </c>
      <c r="C111" s="33" t="s">
        <v>19</v>
      </c>
      <c r="D111" s="33">
        <v>3</v>
      </c>
      <c r="E111" s="33" t="s">
        <v>20</v>
      </c>
      <c r="F111" s="33" t="s">
        <v>21</v>
      </c>
      <c r="G111" s="33">
        <v>4000</v>
      </c>
      <c r="H111" s="33">
        <v>7750</v>
      </c>
      <c r="I111" s="33">
        <v>290</v>
      </c>
      <c r="J111" s="33">
        <v>360</v>
      </c>
      <c r="K111" s="33">
        <v>1</v>
      </c>
      <c r="L111" s="33" t="s">
        <v>34</v>
      </c>
      <c r="M111" s="33" t="s">
        <v>23</v>
      </c>
      <c r="N111" s="33">
        <v>11750</v>
      </c>
      <c r="O111" s="33" t="s">
        <v>24</v>
      </c>
      <c r="P111" s="34">
        <v>0.41</v>
      </c>
      <c r="Q111" s="33">
        <v>2.4680851063829787</v>
      </c>
    </row>
    <row r="112" spans="1:17">
      <c r="A112" s="31" t="s">
        <v>141</v>
      </c>
      <c r="B112" s="31" t="s">
        <v>46</v>
      </c>
      <c r="C112" s="31" t="s">
        <v>19</v>
      </c>
      <c r="D112" s="31">
        <v>0</v>
      </c>
      <c r="E112" s="31" t="s">
        <v>20</v>
      </c>
      <c r="F112" s="31" t="s">
        <v>21</v>
      </c>
      <c r="G112" s="31">
        <v>4583</v>
      </c>
      <c r="H112" s="31">
        <v>0</v>
      </c>
      <c r="I112" s="31">
        <v>84</v>
      </c>
      <c r="J112" s="31">
        <v>360</v>
      </c>
      <c r="K112" s="31">
        <v>1</v>
      </c>
      <c r="L112" s="31" t="s">
        <v>22</v>
      </c>
      <c r="M112" s="31" t="s">
        <v>23</v>
      </c>
      <c r="N112" s="31">
        <v>4583</v>
      </c>
      <c r="O112" s="31" t="s">
        <v>24</v>
      </c>
      <c r="P112" s="32">
        <v>0.55000000000000004</v>
      </c>
      <c r="Q112" s="31">
        <v>1.83286057167794</v>
      </c>
    </row>
    <row r="113" spans="1:17">
      <c r="A113" s="33" t="s">
        <v>142</v>
      </c>
      <c r="B113" s="33" t="s">
        <v>18</v>
      </c>
      <c r="C113" s="33" t="s">
        <v>19</v>
      </c>
      <c r="D113" s="33">
        <v>2</v>
      </c>
      <c r="E113" s="33" t="s">
        <v>20</v>
      </c>
      <c r="F113" s="33" t="s">
        <v>19</v>
      </c>
      <c r="G113" s="33">
        <v>3316</v>
      </c>
      <c r="H113" s="33">
        <v>3500</v>
      </c>
      <c r="I113" s="33">
        <v>88</v>
      </c>
      <c r="J113" s="33">
        <v>360</v>
      </c>
      <c r="K113" s="33">
        <v>1</v>
      </c>
      <c r="L113" s="33" t="s">
        <v>26</v>
      </c>
      <c r="M113" s="33" t="s">
        <v>27</v>
      </c>
      <c r="N113" s="33">
        <v>6816</v>
      </c>
      <c r="O113" s="33" t="s">
        <v>24</v>
      </c>
      <c r="P113" s="34">
        <v>0.77</v>
      </c>
      <c r="Q113" s="33">
        <v>1.2910798122065728</v>
      </c>
    </row>
    <row r="114" spans="1:17">
      <c r="A114" s="31" t="s">
        <v>143</v>
      </c>
      <c r="B114" s="31" t="s">
        <v>18</v>
      </c>
      <c r="C114" s="31" t="s">
        <v>21</v>
      </c>
      <c r="D114" s="31">
        <v>0</v>
      </c>
      <c r="E114" s="31" t="s">
        <v>20</v>
      </c>
      <c r="F114" s="31" t="s">
        <v>21</v>
      </c>
      <c r="G114" s="31">
        <v>14999</v>
      </c>
      <c r="H114" s="31">
        <v>0</v>
      </c>
      <c r="I114" s="31">
        <v>242</v>
      </c>
      <c r="J114" s="31">
        <v>360</v>
      </c>
      <c r="K114" s="31">
        <v>0</v>
      </c>
      <c r="L114" s="31" t="s">
        <v>34</v>
      </c>
      <c r="M114" s="31" t="s">
        <v>23</v>
      </c>
      <c r="N114" s="31">
        <v>14999</v>
      </c>
      <c r="O114" s="31" t="s">
        <v>35</v>
      </c>
      <c r="P114" s="32">
        <v>0.62</v>
      </c>
      <c r="Q114" s="31">
        <v>1.6134408960597373</v>
      </c>
    </row>
    <row r="115" spans="1:17">
      <c r="A115" s="33" t="s">
        <v>144</v>
      </c>
      <c r="B115" s="33" t="s">
        <v>18</v>
      </c>
      <c r="C115" s="33" t="s">
        <v>19</v>
      </c>
      <c r="D115" s="33">
        <v>2</v>
      </c>
      <c r="E115" s="33" t="s">
        <v>29</v>
      </c>
      <c r="F115" s="33" t="s">
        <v>21</v>
      </c>
      <c r="G115" s="33">
        <v>4200</v>
      </c>
      <c r="H115" s="33">
        <v>1430</v>
      </c>
      <c r="I115" s="33">
        <v>129</v>
      </c>
      <c r="J115" s="33">
        <v>360</v>
      </c>
      <c r="K115" s="33">
        <v>1</v>
      </c>
      <c r="L115" s="33" t="s">
        <v>22</v>
      </c>
      <c r="M115" s="33" t="s">
        <v>23</v>
      </c>
      <c r="N115" s="33">
        <v>5630</v>
      </c>
      <c r="O115" s="33" t="s">
        <v>24</v>
      </c>
      <c r="P115" s="34">
        <v>0.44</v>
      </c>
      <c r="Q115" s="33">
        <v>2.2912966252220248</v>
      </c>
    </row>
    <row r="116" spans="1:17">
      <c r="A116" s="31" t="s">
        <v>145</v>
      </c>
      <c r="B116" s="31" t="s">
        <v>18</v>
      </c>
      <c r="C116" s="31" t="s">
        <v>19</v>
      </c>
      <c r="D116" s="31">
        <v>2</v>
      </c>
      <c r="E116" s="31" t="s">
        <v>20</v>
      </c>
      <c r="F116" s="31" t="s">
        <v>21</v>
      </c>
      <c r="G116" s="31">
        <v>5042</v>
      </c>
      <c r="H116" s="31">
        <v>2083</v>
      </c>
      <c r="I116" s="31">
        <v>185</v>
      </c>
      <c r="J116" s="31">
        <v>360</v>
      </c>
      <c r="K116" s="31">
        <v>1</v>
      </c>
      <c r="L116" s="31" t="s">
        <v>22</v>
      </c>
      <c r="M116" s="31" t="s">
        <v>23</v>
      </c>
      <c r="N116" s="31">
        <v>7125</v>
      </c>
      <c r="O116" s="31" t="s">
        <v>24</v>
      </c>
      <c r="P116" s="32">
        <v>0.39</v>
      </c>
      <c r="Q116" s="31">
        <v>2.5964912280701755</v>
      </c>
    </row>
    <row r="117" spans="1:17">
      <c r="A117" s="33" t="s">
        <v>146</v>
      </c>
      <c r="B117" s="33" t="s">
        <v>18</v>
      </c>
      <c r="C117" s="33" t="s">
        <v>21</v>
      </c>
      <c r="D117" s="33">
        <v>0</v>
      </c>
      <c r="E117" s="33" t="s">
        <v>20</v>
      </c>
      <c r="F117" s="33" t="s">
        <v>21</v>
      </c>
      <c r="G117" s="33">
        <v>5417</v>
      </c>
      <c r="H117" s="33">
        <v>0</v>
      </c>
      <c r="I117" s="33">
        <v>168</v>
      </c>
      <c r="J117" s="33">
        <v>360</v>
      </c>
      <c r="K117" s="33">
        <v>1</v>
      </c>
      <c r="L117" s="33" t="s">
        <v>26</v>
      </c>
      <c r="M117" s="33" t="s">
        <v>27</v>
      </c>
      <c r="N117" s="33">
        <v>5417</v>
      </c>
      <c r="O117" s="33" t="s">
        <v>24</v>
      </c>
      <c r="P117" s="34">
        <v>0.32</v>
      </c>
      <c r="Q117" s="33">
        <v>3.1013476093778842</v>
      </c>
    </row>
    <row r="118" spans="1:17">
      <c r="A118" s="31" t="s">
        <v>147</v>
      </c>
      <c r="B118" s="31" t="s">
        <v>18</v>
      </c>
      <c r="C118" s="31" t="s">
        <v>21</v>
      </c>
      <c r="D118" s="31">
        <v>0</v>
      </c>
      <c r="E118" s="31" t="s">
        <v>20</v>
      </c>
      <c r="F118" s="31" t="s">
        <v>19</v>
      </c>
      <c r="G118" s="31">
        <v>6950</v>
      </c>
      <c r="H118" s="31">
        <v>0</v>
      </c>
      <c r="I118" s="31">
        <v>175</v>
      </c>
      <c r="J118" s="31">
        <v>180</v>
      </c>
      <c r="K118" s="31">
        <v>1</v>
      </c>
      <c r="L118" s="31" t="s">
        <v>34</v>
      </c>
      <c r="M118" s="31" t="s">
        <v>27</v>
      </c>
      <c r="N118" s="31">
        <v>6950</v>
      </c>
      <c r="O118" s="31" t="s">
        <v>24</v>
      </c>
      <c r="P118" s="32">
        <v>0.4</v>
      </c>
      <c r="Q118" s="31">
        <v>2.5179856115107913</v>
      </c>
    </row>
    <row r="119" spans="1:17">
      <c r="A119" s="33" t="s">
        <v>148</v>
      </c>
      <c r="B119" s="33" t="s">
        <v>18</v>
      </c>
      <c r="C119" s="33" t="s">
        <v>19</v>
      </c>
      <c r="D119" s="33">
        <v>0</v>
      </c>
      <c r="E119" s="33" t="s">
        <v>20</v>
      </c>
      <c r="F119" s="33" t="s">
        <v>21</v>
      </c>
      <c r="G119" s="33">
        <v>2698</v>
      </c>
      <c r="H119" s="33">
        <v>2034</v>
      </c>
      <c r="I119" s="33">
        <v>122</v>
      </c>
      <c r="J119" s="33">
        <v>360</v>
      </c>
      <c r="K119" s="33">
        <v>1</v>
      </c>
      <c r="L119" s="33" t="s">
        <v>34</v>
      </c>
      <c r="M119" s="33" t="s">
        <v>27</v>
      </c>
      <c r="N119" s="33">
        <v>4732</v>
      </c>
      <c r="O119" s="33" t="s">
        <v>24</v>
      </c>
      <c r="P119" s="34">
        <v>0.39</v>
      </c>
      <c r="Q119" s="33">
        <v>2.5781910397295009</v>
      </c>
    </row>
    <row r="120" spans="1:17">
      <c r="A120" s="31" t="s">
        <v>149</v>
      </c>
      <c r="B120" s="31" t="s">
        <v>18</v>
      </c>
      <c r="C120" s="31" t="s">
        <v>19</v>
      </c>
      <c r="D120" s="31">
        <v>2</v>
      </c>
      <c r="E120" s="31" t="s">
        <v>20</v>
      </c>
      <c r="F120" s="31" t="s">
        <v>21</v>
      </c>
      <c r="G120" s="31">
        <v>11757</v>
      </c>
      <c r="H120" s="31">
        <v>0</v>
      </c>
      <c r="I120" s="31">
        <v>187</v>
      </c>
      <c r="J120" s="31">
        <v>180</v>
      </c>
      <c r="K120" s="31">
        <v>1</v>
      </c>
      <c r="L120" s="31" t="s">
        <v>26</v>
      </c>
      <c r="M120" s="31" t="s">
        <v>27</v>
      </c>
      <c r="N120" s="31">
        <v>11757</v>
      </c>
      <c r="O120" s="31" t="s">
        <v>24</v>
      </c>
      <c r="P120" s="32">
        <v>0.63</v>
      </c>
      <c r="Q120" s="31">
        <v>1.5905418048821978</v>
      </c>
    </row>
    <row r="121" spans="1:17">
      <c r="A121" s="33" t="s">
        <v>150</v>
      </c>
      <c r="B121" s="33" t="s">
        <v>46</v>
      </c>
      <c r="C121" s="33" t="s">
        <v>19</v>
      </c>
      <c r="D121" s="33">
        <v>0</v>
      </c>
      <c r="E121" s="33" t="s">
        <v>20</v>
      </c>
      <c r="F121" s="33" t="s">
        <v>21</v>
      </c>
      <c r="G121" s="33">
        <v>2330</v>
      </c>
      <c r="H121" s="33">
        <v>4486</v>
      </c>
      <c r="I121" s="33">
        <v>100</v>
      </c>
      <c r="J121" s="33">
        <v>360</v>
      </c>
      <c r="K121" s="33">
        <v>1</v>
      </c>
      <c r="L121" s="33" t="s">
        <v>34</v>
      </c>
      <c r="M121" s="33" t="s">
        <v>27</v>
      </c>
      <c r="N121" s="33">
        <v>6816</v>
      </c>
      <c r="O121" s="33" t="s">
        <v>24</v>
      </c>
      <c r="P121" s="34">
        <v>0.68</v>
      </c>
      <c r="Q121" s="33">
        <v>1.4671361502347418</v>
      </c>
    </row>
    <row r="122" spans="1:17">
      <c r="A122" s="31" t="s">
        <v>151</v>
      </c>
      <c r="B122" s="31" t="s">
        <v>46</v>
      </c>
      <c r="C122" s="31" t="s">
        <v>19</v>
      </c>
      <c r="D122" s="31">
        <v>2</v>
      </c>
      <c r="E122" s="31" t="s">
        <v>20</v>
      </c>
      <c r="F122" s="31" t="s">
        <v>21</v>
      </c>
      <c r="G122" s="31">
        <v>14866</v>
      </c>
      <c r="H122" s="31">
        <v>0</v>
      </c>
      <c r="I122" s="31">
        <v>70</v>
      </c>
      <c r="J122" s="31">
        <v>360</v>
      </c>
      <c r="K122" s="31">
        <v>1</v>
      </c>
      <c r="L122" s="31" t="s">
        <v>26</v>
      </c>
      <c r="M122" s="31" t="s">
        <v>27</v>
      </c>
      <c r="N122" s="31">
        <v>14866</v>
      </c>
      <c r="O122" s="31" t="s">
        <v>24</v>
      </c>
      <c r="P122" s="32">
        <v>2.12</v>
      </c>
      <c r="Q122" s="31">
        <v>0.47087313332436437</v>
      </c>
    </row>
    <row r="123" spans="1:17">
      <c r="A123" s="33" t="s">
        <v>152</v>
      </c>
      <c r="B123" s="33" t="s">
        <v>18</v>
      </c>
      <c r="C123" s="33" t="s">
        <v>19</v>
      </c>
      <c r="D123" s="33">
        <v>1</v>
      </c>
      <c r="E123" s="33" t="s">
        <v>20</v>
      </c>
      <c r="F123" s="33" t="s">
        <v>21</v>
      </c>
      <c r="G123" s="33">
        <v>1538</v>
      </c>
      <c r="H123" s="33">
        <v>1425</v>
      </c>
      <c r="I123" s="33">
        <v>30</v>
      </c>
      <c r="J123" s="33">
        <v>360</v>
      </c>
      <c r="K123" s="33">
        <v>1</v>
      </c>
      <c r="L123" s="33" t="s">
        <v>26</v>
      </c>
      <c r="M123" s="33" t="s">
        <v>27</v>
      </c>
      <c r="N123" s="33">
        <v>2963</v>
      </c>
      <c r="O123" s="33" t="s">
        <v>24</v>
      </c>
      <c r="P123" s="34">
        <v>0.99</v>
      </c>
      <c r="Q123" s="33">
        <v>1.0124873439082012</v>
      </c>
    </row>
    <row r="124" spans="1:17">
      <c r="A124" s="31" t="s">
        <v>153</v>
      </c>
      <c r="B124" s="31" t="s">
        <v>46</v>
      </c>
      <c r="C124" s="31" t="s">
        <v>21</v>
      </c>
      <c r="D124" s="31">
        <v>0</v>
      </c>
      <c r="E124" s="31" t="s">
        <v>20</v>
      </c>
      <c r="F124" s="31" t="s">
        <v>21</v>
      </c>
      <c r="G124" s="31">
        <v>10000</v>
      </c>
      <c r="H124" s="31">
        <v>1666</v>
      </c>
      <c r="I124" s="31">
        <v>225</v>
      </c>
      <c r="J124" s="31">
        <v>360</v>
      </c>
      <c r="K124" s="31">
        <v>1</v>
      </c>
      <c r="L124" s="31" t="s">
        <v>22</v>
      </c>
      <c r="M124" s="31" t="s">
        <v>23</v>
      </c>
      <c r="N124" s="31">
        <v>11666</v>
      </c>
      <c r="O124" s="31" t="s">
        <v>24</v>
      </c>
      <c r="P124" s="32">
        <v>0.52</v>
      </c>
      <c r="Q124" s="31">
        <v>1.9286816389507973</v>
      </c>
    </row>
    <row r="125" spans="1:17">
      <c r="A125" s="33" t="s">
        <v>154</v>
      </c>
      <c r="B125" s="33" t="s">
        <v>18</v>
      </c>
      <c r="C125" s="33" t="s">
        <v>19</v>
      </c>
      <c r="D125" s="33">
        <v>0</v>
      </c>
      <c r="E125" s="33" t="s">
        <v>20</v>
      </c>
      <c r="F125" s="33" t="s">
        <v>21</v>
      </c>
      <c r="G125" s="33">
        <v>4860</v>
      </c>
      <c r="H125" s="33">
        <v>830</v>
      </c>
      <c r="I125" s="33">
        <v>125</v>
      </c>
      <c r="J125" s="33">
        <v>360</v>
      </c>
      <c r="K125" s="33">
        <v>1</v>
      </c>
      <c r="L125" s="33" t="s">
        <v>34</v>
      </c>
      <c r="M125" s="33" t="s">
        <v>27</v>
      </c>
      <c r="N125" s="33">
        <v>5690</v>
      </c>
      <c r="O125" s="33" t="s">
        <v>24</v>
      </c>
      <c r="P125" s="34">
        <v>0.46</v>
      </c>
      <c r="Q125" s="33">
        <v>2.1968365553602811</v>
      </c>
    </row>
    <row r="126" spans="1:17">
      <c r="A126" s="31" t="s">
        <v>155</v>
      </c>
      <c r="B126" s="31" t="s">
        <v>18</v>
      </c>
      <c r="C126" s="31" t="s">
        <v>21</v>
      </c>
      <c r="D126" s="31">
        <v>0</v>
      </c>
      <c r="E126" s="31" t="s">
        <v>20</v>
      </c>
      <c r="F126" s="31" t="s">
        <v>21</v>
      </c>
      <c r="G126" s="31">
        <v>6277</v>
      </c>
      <c r="H126" s="31">
        <v>0</v>
      </c>
      <c r="I126" s="31">
        <v>118</v>
      </c>
      <c r="J126" s="31">
        <v>360</v>
      </c>
      <c r="K126" s="31">
        <v>0</v>
      </c>
      <c r="L126" s="31" t="s">
        <v>22</v>
      </c>
      <c r="M126" s="31" t="s">
        <v>23</v>
      </c>
      <c r="N126" s="31">
        <v>6277</v>
      </c>
      <c r="O126" s="31" t="s">
        <v>35</v>
      </c>
      <c r="P126" s="32">
        <v>0.53</v>
      </c>
      <c r="Q126" s="31">
        <v>1.8798789230524133</v>
      </c>
    </row>
    <row r="127" spans="1:17">
      <c r="A127" s="33" t="s">
        <v>156</v>
      </c>
      <c r="B127" s="33" t="s">
        <v>18</v>
      </c>
      <c r="C127" s="33" t="s">
        <v>19</v>
      </c>
      <c r="D127" s="33">
        <v>0</v>
      </c>
      <c r="E127" s="33" t="s">
        <v>20</v>
      </c>
      <c r="F127" s="33" t="s">
        <v>19</v>
      </c>
      <c r="G127" s="33">
        <v>2577</v>
      </c>
      <c r="H127" s="33">
        <v>3750</v>
      </c>
      <c r="I127" s="33">
        <v>152</v>
      </c>
      <c r="J127" s="33">
        <v>360</v>
      </c>
      <c r="K127" s="33">
        <v>1</v>
      </c>
      <c r="L127" s="33" t="s">
        <v>22</v>
      </c>
      <c r="M127" s="33" t="s">
        <v>27</v>
      </c>
      <c r="N127" s="33">
        <v>6327</v>
      </c>
      <c r="O127" s="33" t="s">
        <v>24</v>
      </c>
      <c r="P127" s="34">
        <v>0.42</v>
      </c>
      <c r="Q127" s="33">
        <v>2.4024024024024024</v>
      </c>
    </row>
    <row r="128" spans="1:17">
      <c r="A128" s="31" t="s">
        <v>157</v>
      </c>
      <c r="B128" s="31" t="s">
        <v>18</v>
      </c>
      <c r="C128" s="31" t="s">
        <v>21</v>
      </c>
      <c r="D128" s="31">
        <v>0</v>
      </c>
      <c r="E128" s="31" t="s">
        <v>20</v>
      </c>
      <c r="F128" s="31" t="s">
        <v>21</v>
      </c>
      <c r="G128" s="31">
        <v>9166</v>
      </c>
      <c r="H128" s="31">
        <v>0</v>
      </c>
      <c r="I128" s="31">
        <v>244</v>
      </c>
      <c r="J128" s="31">
        <v>360</v>
      </c>
      <c r="K128" s="31">
        <v>1</v>
      </c>
      <c r="L128" s="31" t="s">
        <v>26</v>
      </c>
      <c r="M128" s="31" t="s">
        <v>23</v>
      </c>
      <c r="N128" s="31">
        <v>9166</v>
      </c>
      <c r="O128" s="31" t="s">
        <v>24</v>
      </c>
      <c r="P128" s="32">
        <v>0.38</v>
      </c>
      <c r="Q128" s="31">
        <v>2.662011782675104</v>
      </c>
    </row>
    <row r="129" spans="1:17">
      <c r="A129" s="33" t="s">
        <v>158</v>
      </c>
      <c r="B129" s="33" t="s">
        <v>18</v>
      </c>
      <c r="C129" s="33" t="s">
        <v>19</v>
      </c>
      <c r="D129" s="33">
        <v>2</v>
      </c>
      <c r="E129" s="33" t="s">
        <v>29</v>
      </c>
      <c r="F129" s="33" t="s">
        <v>21</v>
      </c>
      <c r="G129" s="33">
        <v>2281</v>
      </c>
      <c r="H129" s="33">
        <v>0</v>
      </c>
      <c r="I129" s="33">
        <v>113</v>
      </c>
      <c r="J129" s="33">
        <v>360</v>
      </c>
      <c r="K129" s="33">
        <v>1</v>
      </c>
      <c r="L129" s="33" t="s">
        <v>22</v>
      </c>
      <c r="M129" s="33" t="s">
        <v>23</v>
      </c>
      <c r="N129" s="33">
        <v>2281</v>
      </c>
      <c r="O129" s="33" t="s">
        <v>24</v>
      </c>
      <c r="P129" s="34">
        <v>0.2</v>
      </c>
      <c r="Q129" s="33">
        <v>4.9539675580885572</v>
      </c>
    </row>
    <row r="130" spans="1:17">
      <c r="A130" s="31" t="s">
        <v>159</v>
      </c>
      <c r="B130" s="31" t="s">
        <v>18</v>
      </c>
      <c r="C130" s="31" t="s">
        <v>21</v>
      </c>
      <c r="D130" s="31">
        <v>0</v>
      </c>
      <c r="E130" s="31" t="s">
        <v>20</v>
      </c>
      <c r="F130" s="31" t="s">
        <v>21</v>
      </c>
      <c r="G130" s="31">
        <v>3254</v>
      </c>
      <c r="H130" s="31">
        <v>0</v>
      </c>
      <c r="I130" s="31">
        <v>50</v>
      </c>
      <c r="J130" s="31">
        <v>360</v>
      </c>
      <c r="K130" s="31">
        <v>1</v>
      </c>
      <c r="L130" s="31" t="s">
        <v>26</v>
      </c>
      <c r="M130" s="31" t="s">
        <v>27</v>
      </c>
      <c r="N130" s="31">
        <v>3254</v>
      </c>
      <c r="O130" s="31" t="s">
        <v>24</v>
      </c>
      <c r="P130" s="32">
        <v>0.65</v>
      </c>
      <c r="Q130" s="31">
        <v>1.5365703749231714</v>
      </c>
    </row>
    <row r="131" spans="1:17">
      <c r="A131" s="33" t="s">
        <v>160</v>
      </c>
      <c r="B131" s="33" t="s">
        <v>18</v>
      </c>
      <c r="C131" s="33" t="s">
        <v>19</v>
      </c>
      <c r="D131" s="33">
        <v>3</v>
      </c>
      <c r="E131" s="33" t="s">
        <v>20</v>
      </c>
      <c r="F131" s="33" t="s">
        <v>21</v>
      </c>
      <c r="G131" s="33">
        <v>39999</v>
      </c>
      <c r="H131" s="33">
        <v>0</v>
      </c>
      <c r="I131" s="33">
        <v>600</v>
      </c>
      <c r="J131" s="33">
        <v>180</v>
      </c>
      <c r="K131" s="33">
        <v>0</v>
      </c>
      <c r="L131" s="33" t="s">
        <v>34</v>
      </c>
      <c r="M131" s="33" t="s">
        <v>27</v>
      </c>
      <c r="N131" s="33">
        <v>39999</v>
      </c>
      <c r="O131" s="33" t="s">
        <v>35</v>
      </c>
      <c r="P131" s="34">
        <v>0.67</v>
      </c>
      <c r="Q131" s="33">
        <v>1.5000375009375235</v>
      </c>
    </row>
    <row r="132" spans="1:17">
      <c r="A132" s="31" t="s">
        <v>161</v>
      </c>
      <c r="B132" s="31" t="s">
        <v>18</v>
      </c>
      <c r="C132" s="31" t="s">
        <v>19</v>
      </c>
      <c r="D132" s="31">
        <v>1</v>
      </c>
      <c r="E132" s="31" t="s">
        <v>20</v>
      </c>
      <c r="F132" s="31" t="s">
        <v>21</v>
      </c>
      <c r="G132" s="31">
        <v>9538</v>
      </c>
      <c r="H132" s="31">
        <v>0</v>
      </c>
      <c r="I132" s="31">
        <v>187</v>
      </c>
      <c r="J132" s="31">
        <v>360</v>
      </c>
      <c r="K132" s="31">
        <v>1</v>
      </c>
      <c r="L132" s="31" t="s">
        <v>26</v>
      </c>
      <c r="M132" s="31" t="s">
        <v>27</v>
      </c>
      <c r="N132" s="31">
        <v>9538</v>
      </c>
      <c r="O132" s="31" t="s">
        <v>24</v>
      </c>
      <c r="P132" s="32">
        <v>0.51</v>
      </c>
      <c r="Q132" s="31">
        <v>1.9605787376808557</v>
      </c>
    </row>
    <row r="133" spans="1:17">
      <c r="A133" s="33" t="s">
        <v>162</v>
      </c>
      <c r="B133" s="33" t="s">
        <v>18</v>
      </c>
      <c r="C133" s="33" t="s">
        <v>21</v>
      </c>
      <c r="D133" s="33">
        <v>0</v>
      </c>
      <c r="E133" s="33" t="s">
        <v>20</v>
      </c>
      <c r="F133" s="33" t="s">
        <v>40</v>
      </c>
      <c r="G133" s="33">
        <v>2980</v>
      </c>
      <c r="H133" s="33">
        <v>2083</v>
      </c>
      <c r="I133" s="33">
        <v>120</v>
      </c>
      <c r="J133" s="33">
        <v>360</v>
      </c>
      <c r="K133" s="33">
        <v>1</v>
      </c>
      <c r="L133" s="33" t="s">
        <v>22</v>
      </c>
      <c r="M133" s="33" t="s">
        <v>27</v>
      </c>
      <c r="N133" s="33">
        <v>5063</v>
      </c>
      <c r="O133" s="33" t="s">
        <v>24</v>
      </c>
      <c r="P133" s="34">
        <v>0.42</v>
      </c>
      <c r="Q133" s="33">
        <v>2.3701362828362633</v>
      </c>
    </row>
    <row r="134" spans="1:17">
      <c r="A134" s="31" t="s">
        <v>163</v>
      </c>
      <c r="B134" s="31" t="s">
        <v>18</v>
      </c>
      <c r="C134" s="31" t="s">
        <v>19</v>
      </c>
      <c r="D134" s="31">
        <v>0</v>
      </c>
      <c r="E134" s="31" t="s">
        <v>20</v>
      </c>
      <c r="F134" s="31" t="s">
        <v>21</v>
      </c>
      <c r="G134" s="31">
        <v>4583</v>
      </c>
      <c r="H134" s="31">
        <v>5625</v>
      </c>
      <c r="I134" s="31">
        <v>255</v>
      </c>
      <c r="J134" s="31">
        <v>360</v>
      </c>
      <c r="K134" s="31">
        <v>1</v>
      </c>
      <c r="L134" s="31" t="s">
        <v>34</v>
      </c>
      <c r="M134" s="31" t="s">
        <v>27</v>
      </c>
      <c r="N134" s="31">
        <v>10208</v>
      </c>
      <c r="O134" s="31" t="s">
        <v>24</v>
      </c>
      <c r="P134" s="32">
        <v>0.4</v>
      </c>
      <c r="Q134" s="31">
        <v>2.498040752351097</v>
      </c>
    </row>
    <row r="135" spans="1:17">
      <c r="A135" s="33" t="s">
        <v>164</v>
      </c>
      <c r="B135" s="33" t="s">
        <v>18</v>
      </c>
      <c r="C135" s="33" t="s">
        <v>19</v>
      </c>
      <c r="D135" s="33">
        <v>0</v>
      </c>
      <c r="E135" s="33" t="s">
        <v>29</v>
      </c>
      <c r="F135" s="33" t="s">
        <v>21</v>
      </c>
      <c r="G135" s="33">
        <v>1863</v>
      </c>
      <c r="H135" s="33">
        <v>1041</v>
      </c>
      <c r="I135" s="33">
        <v>98</v>
      </c>
      <c r="J135" s="33">
        <v>360</v>
      </c>
      <c r="K135" s="33">
        <v>1</v>
      </c>
      <c r="L135" s="33" t="s">
        <v>34</v>
      </c>
      <c r="M135" s="33" t="s">
        <v>27</v>
      </c>
      <c r="N135" s="33">
        <v>2904</v>
      </c>
      <c r="O135" s="33" t="s">
        <v>24</v>
      </c>
      <c r="P135" s="34">
        <v>0.3</v>
      </c>
      <c r="Q135" s="33">
        <v>3.3746556473829203</v>
      </c>
    </row>
    <row r="136" spans="1:17">
      <c r="A136" s="31" t="s">
        <v>165</v>
      </c>
      <c r="B136" s="31" t="s">
        <v>18</v>
      </c>
      <c r="C136" s="31" t="s">
        <v>19</v>
      </c>
      <c r="D136" s="31">
        <v>0</v>
      </c>
      <c r="E136" s="31" t="s">
        <v>20</v>
      </c>
      <c r="F136" s="31" t="s">
        <v>21</v>
      </c>
      <c r="G136" s="31">
        <v>7933</v>
      </c>
      <c r="H136" s="31">
        <v>0</v>
      </c>
      <c r="I136" s="31">
        <v>275</v>
      </c>
      <c r="J136" s="31">
        <v>360</v>
      </c>
      <c r="K136" s="31">
        <v>1</v>
      </c>
      <c r="L136" s="31" t="s">
        <v>26</v>
      </c>
      <c r="M136" s="31" t="s">
        <v>23</v>
      </c>
      <c r="N136" s="31">
        <v>7933</v>
      </c>
      <c r="O136" s="31" t="s">
        <v>24</v>
      </c>
      <c r="P136" s="32">
        <v>0.28999999999999998</v>
      </c>
      <c r="Q136" s="31">
        <v>3.466532207235598</v>
      </c>
    </row>
    <row r="137" spans="1:17">
      <c r="A137" s="33" t="s">
        <v>166</v>
      </c>
      <c r="B137" s="33" t="s">
        <v>18</v>
      </c>
      <c r="C137" s="33" t="s">
        <v>19</v>
      </c>
      <c r="D137" s="33">
        <v>1</v>
      </c>
      <c r="E137" s="33" t="s">
        <v>20</v>
      </c>
      <c r="F137" s="33" t="s">
        <v>21</v>
      </c>
      <c r="G137" s="33">
        <v>3089</v>
      </c>
      <c r="H137" s="33">
        <v>1280</v>
      </c>
      <c r="I137" s="33">
        <v>121</v>
      </c>
      <c r="J137" s="33">
        <v>360</v>
      </c>
      <c r="K137" s="33">
        <v>0</v>
      </c>
      <c r="L137" s="33" t="s">
        <v>34</v>
      </c>
      <c r="M137" s="33" t="s">
        <v>23</v>
      </c>
      <c r="N137" s="33">
        <v>4369</v>
      </c>
      <c r="O137" s="33" t="s">
        <v>35</v>
      </c>
      <c r="P137" s="34">
        <v>0.36</v>
      </c>
      <c r="Q137" s="33">
        <v>2.7695124742504005</v>
      </c>
    </row>
    <row r="138" spans="1:17">
      <c r="A138" s="31" t="s">
        <v>167</v>
      </c>
      <c r="B138" s="31" t="s">
        <v>18</v>
      </c>
      <c r="C138" s="31" t="s">
        <v>19</v>
      </c>
      <c r="D138" s="31">
        <v>2</v>
      </c>
      <c r="E138" s="31" t="s">
        <v>20</v>
      </c>
      <c r="F138" s="31" t="s">
        <v>21</v>
      </c>
      <c r="G138" s="31">
        <v>4167</v>
      </c>
      <c r="H138" s="31">
        <v>1447</v>
      </c>
      <c r="I138" s="31">
        <v>158</v>
      </c>
      <c r="J138" s="31">
        <v>360</v>
      </c>
      <c r="K138" s="31">
        <v>1</v>
      </c>
      <c r="L138" s="31" t="s">
        <v>22</v>
      </c>
      <c r="M138" s="31" t="s">
        <v>27</v>
      </c>
      <c r="N138" s="31">
        <v>5614</v>
      </c>
      <c r="O138" s="31" t="s">
        <v>24</v>
      </c>
      <c r="P138" s="32">
        <v>0.36</v>
      </c>
      <c r="Q138" s="31">
        <v>2.814392589953687</v>
      </c>
    </row>
    <row r="139" spans="1:17">
      <c r="A139" s="33" t="s">
        <v>168</v>
      </c>
      <c r="B139" s="33" t="s">
        <v>18</v>
      </c>
      <c r="C139" s="33" t="s">
        <v>19</v>
      </c>
      <c r="D139" s="33">
        <v>0</v>
      </c>
      <c r="E139" s="33" t="s">
        <v>20</v>
      </c>
      <c r="F139" s="33" t="s">
        <v>21</v>
      </c>
      <c r="G139" s="33">
        <v>9323</v>
      </c>
      <c r="H139" s="33">
        <v>0</v>
      </c>
      <c r="I139" s="33">
        <v>75</v>
      </c>
      <c r="J139" s="33">
        <v>180</v>
      </c>
      <c r="K139" s="33">
        <v>1</v>
      </c>
      <c r="L139" s="33" t="s">
        <v>26</v>
      </c>
      <c r="M139" s="33" t="s">
        <v>27</v>
      </c>
      <c r="N139" s="33">
        <v>9323</v>
      </c>
      <c r="O139" s="33" t="s">
        <v>24</v>
      </c>
      <c r="P139" s="34">
        <v>1.24</v>
      </c>
      <c r="Q139" s="33">
        <v>0.80446208302048694</v>
      </c>
    </row>
    <row r="140" spans="1:17">
      <c r="A140" s="31" t="s">
        <v>169</v>
      </c>
      <c r="B140" s="31" t="s">
        <v>46</v>
      </c>
      <c r="C140" s="31" t="s">
        <v>19</v>
      </c>
      <c r="D140" s="31">
        <v>0</v>
      </c>
      <c r="E140" s="31" t="s">
        <v>20</v>
      </c>
      <c r="F140" s="31" t="s">
        <v>21</v>
      </c>
      <c r="G140" s="31">
        <v>4583</v>
      </c>
      <c r="H140" s="31">
        <v>0</v>
      </c>
      <c r="I140" s="31">
        <v>112</v>
      </c>
      <c r="J140" s="31">
        <v>360</v>
      </c>
      <c r="K140" s="31">
        <v>1</v>
      </c>
      <c r="L140" s="31" t="s">
        <v>22</v>
      </c>
      <c r="M140" s="31" t="s">
        <v>23</v>
      </c>
      <c r="N140" s="31">
        <v>4583</v>
      </c>
      <c r="O140" s="31" t="s">
        <v>24</v>
      </c>
      <c r="P140" s="32">
        <v>0.41</v>
      </c>
      <c r="Q140" s="31">
        <v>2.4438140955705867</v>
      </c>
    </row>
    <row r="141" spans="1:17">
      <c r="A141" s="33" t="s">
        <v>170</v>
      </c>
      <c r="B141" s="33" t="s">
        <v>18</v>
      </c>
      <c r="C141" s="33" t="s">
        <v>19</v>
      </c>
      <c r="D141" s="33">
        <v>0</v>
      </c>
      <c r="E141" s="33" t="s">
        <v>20</v>
      </c>
      <c r="F141" s="33" t="s">
        <v>21</v>
      </c>
      <c r="G141" s="33">
        <v>2439</v>
      </c>
      <c r="H141" s="33">
        <v>3333</v>
      </c>
      <c r="I141" s="33">
        <v>129</v>
      </c>
      <c r="J141" s="33">
        <v>360</v>
      </c>
      <c r="K141" s="33">
        <v>1</v>
      </c>
      <c r="L141" s="33" t="s">
        <v>22</v>
      </c>
      <c r="M141" s="33" t="s">
        <v>27</v>
      </c>
      <c r="N141" s="33">
        <v>5772</v>
      </c>
      <c r="O141" s="33" t="s">
        <v>24</v>
      </c>
      <c r="P141" s="34">
        <v>0.45</v>
      </c>
      <c r="Q141" s="33">
        <v>2.2349272349272349</v>
      </c>
    </row>
    <row r="142" spans="1:17">
      <c r="A142" s="31" t="s">
        <v>171</v>
      </c>
      <c r="B142" s="31" t="s">
        <v>18</v>
      </c>
      <c r="C142" s="31" t="s">
        <v>21</v>
      </c>
      <c r="D142" s="31">
        <v>0</v>
      </c>
      <c r="E142" s="31" t="s">
        <v>20</v>
      </c>
      <c r="F142" s="31" t="s">
        <v>21</v>
      </c>
      <c r="G142" s="31">
        <v>2237</v>
      </c>
      <c r="H142" s="31">
        <v>0</v>
      </c>
      <c r="I142" s="31">
        <v>63</v>
      </c>
      <c r="J142" s="31">
        <v>480</v>
      </c>
      <c r="K142" s="31">
        <v>0</v>
      </c>
      <c r="L142" s="31" t="s">
        <v>34</v>
      </c>
      <c r="M142" s="31" t="s">
        <v>23</v>
      </c>
      <c r="N142" s="31">
        <v>2237</v>
      </c>
      <c r="O142" s="31" t="s">
        <v>35</v>
      </c>
      <c r="P142" s="32">
        <v>0.36</v>
      </c>
      <c r="Q142" s="31">
        <v>2.8162717925793475</v>
      </c>
    </row>
    <row r="143" spans="1:17">
      <c r="A143" s="33" t="s">
        <v>172</v>
      </c>
      <c r="B143" s="33" t="s">
        <v>18</v>
      </c>
      <c r="C143" s="33" t="s">
        <v>19</v>
      </c>
      <c r="D143" s="33">
        <v>2</v>
      </c>
      <c r="E143" s="33" t="s">
        <v>20</v>
      </c>
      <c r="F143" s="33" t="s">
        <v>21</v>
      </c>
      <c r="G143" s="33">
        <v>8000</v>
      </c>
      <c r="H143" s="33">
        <v>0</v>
      </c>
      <c r="I143" s="33">
        <v>200</v>
      </c>
      <c r="J143" s="33">
        <v>360</v>
      </c>
      <c r="K143" s="33">
        <v>1</v>
      </c>
      <c r="L143" s="33" t="s">
        <v>34</v>
      </c>
      <c r="M143" s="33" t="s">
        <v>27</v>
      </c>
      <c r="N143" s="33">
        <v>8000</v>
      </c>
      <c r="O143" s="33" t="s">
        <v>24</v>
      </c>
      <c r="P143" s="34">
        <v>0.4</v>
      </c>
      <c r="Q143" s="33">
        <v>2.5</v>
      </c>
    </row>
    <row r="144" spans="1:17">
      <c r="A144" s="31" t="s">
        <v>173</v>
      </c>
      <c r="B144" s="31" t="s">
        <v>18</v>
      </c>
      <c r="C144" s="31" t="s">
        <v>19</v>
      </c>
      <c r="D144" s="31">
        <v>0</v>
      </c>
      <c r="E144" s="31" t="s">
        <v>29</v>
      </c>
      <c r="F144" s="31" t="s">
        <v>40</v>
      </c>
      <c r="G144" s="31">
        <v>1820</v>
      </c>
      <c r="H144" s="31">
        <v>1769</v>
      </c>
      <c r="I144" s="31">
        <v>95</v>
      </c>
      <c r="J144" s="31">
        <v>360</v>
      </c>
      <c r="K144" s="31">
        <v>1</v>
      </c>
      <c r="L144" s="31" t="s">
        <v>22</v>
      </c>
      <c r="M144" s="31" t="s">
        <v>27</v>
      </c>
      <c r="N144" s="31">
        <v>3589</v>
      </c>
      <c r="O144" s="31" t="s">
        <v>24</v>
      </c>
      <c r="P144" s="32">
        <v>0.38</v>
      </c>
      <c r="Q144" s="31">
        <v>2.6469768737809973</v>
      </c>
    </row>
    <row r="145" spans="1:17">
      <c r="A145" s="33" t="s">
        <v>174</v>
      </c>
      <c r="B145" s="33" t="s">
        <v>40</v>
      </c>
      <c r="C145" s="33" t="s">
        <v>19</v>
      </c>
      <c r="D145" s="33">
        <v>3</v>
      </c>
      <c r="E145" s="33" t="s">
        <v>20</v>
      </c>
      <c r="F145" s="33" t="s">
        <v>21</v>
      </c>
      <c r="G145" s="33">
        <v>51763</v>
      </c>
      <c r="H145" s="33">
        <v>0</v>
      </c>
      <c r="I145" s="33">
        <v>700</v>
      </c>
      <c r="J145" s="33">
        <v>300</v>
      </c>
      <c r="K145" s="33">
        <v>1</v>
      </c>
      <c r="L145" s="33" t="s">
        <v>26</v>
      </c>
      <c r="M145" s="33" t="s">
        <v>27</v>
      </c>
      <c r="N145" s="33">
        <v>51763</v>
      </c>
      <c r="O145" s="33" t="s">
        <v>24</v>
      </c>
      <c r="P145" s="34">
        <v>0.74</v>
      </c>
      <c r="Q145" s="33">
        <v>1.3523172922744044</v>
      </c>
    </row>
    <row r="146" spans="1:17">
      <c r="A146" s="31" t="s">
        <v>175</v>
      </c>
      <c r="B146" s="31" t="s">
        <v>18</v>
      </c>
      <c r="C146" s="31" t="s">
        <v>19</v>
      </c>
      <c r="D146" s="31">
        <v>3</v>
      </c>
      <c r="E146" s="31" t="s">
        <v>29</v>
      </c>
      <c r="F146" s="31" t="s">
        <v>21</v>
      </c>
      <c r="G146" s="31">
        <v>3522</v>
      </c>
      <c r="H146" s="31">
        <v>0</v>
      </c>
      <c r="I146" s="31">
        <v>81</v>
      </c>
      <c r="J146" s="31">
        <v>180</v>
      </c>
      <c r="K146" s="31">
        <v>1</v>
      </c>
      <c r="L146" s="31" t="s">
        <v>22</v>
      </c>
      <c r="M146" s="31" t="s">
        <v>23</v>
      </c>
      <c r="N146" s="31">
        <v>3522</v>
      </c>
      <c r="O146" s="31" t="s">
        <v>24</v>
      </c>
      <c r="P146" s="32">
        <v>0.43</v>
      </c>
      <c r="Q146" s="31">
        <v>2.2998296422487225</v>
      </c>
    </row>
    <row r="147" spans="1:17">
      <c r="A147" s="33" t="s">
        <v>176</v>
      </c>
      <c r="B147" s="33" t="s">
        <v>18</v>
      </c>
      <c r="C147" s="33" t="s">
        <v>19</v>
      </c>
      <c r="D147" s="33">
        <v>0</v>
      </c>
      <c r="E147" s="33" t="s">
        <v>20</v>
      </c>
      <c r="F147" s="33" t="s">
        <v>21</v>
      </c>
      <c r="G147" s="33">
        <v>5708</v>
      </c>
      <c r="H147" s="33">
        <v>5625</v>
      </c>
      <c r="I147" s="33">
        <v>187</v>
      </c>
      <c r="J147" s="33">
        <v>360</v>
      </c>
      <c r="K147" s="33">
        <v>1</v>
      </c>
      <c r="L147" s="33" t="s">
        <v>34</v>
      </c>
      <c r="M147" s="33" t="s">
        <v>27</v>
      </c>
      <c r="N147" s="33">
        <v>11333</v>
      </c>
      <c r="O147" s="33" t="s">
        <v>24</v>
      </c>
      <c r="P147" s="34">
        <v>0.61</v>
      </c>
      <c r="Q147" s="33">
        <v>1.6500485308391422</v>
      </c>
    </row>
    <row r="148" spans="1:17">
      <c r="A148" s="31" t="s">
        <v>177</v>
      </c>
      <c r="B148" s="31" t="s">
        <v>18</v>
      </c>
      <c r="C148" s="31" t="s">
        <v>19</v>
      </c>
      <c r="D148" s="31">
        <v>0</v>
      </c>
      <c r="E148" s="31" t="s">
        <v>29</v>
      </c>
      <c r="F148" s="31" t="s">
        <v>19</v>
      </c>
      <c r="G148" s="31">
        <v>4344</v>
      </c>
      <c r="H148" s="31">
        <v>736</v>
      </c>
      <c r="I148" s="31">
        <v>87</v>
      </c>
      <c r="J148" s="31">
        <v>360</v>
      </c>
      <c r="K148" s="31">
        <v>1</v>
      </c>
      <c r="L148" s="31" t="s">
        <v>34</v>
      </c>
      <c r="M148" s="31" t="s">
        <v>23</v>
      </c>
      <c r="N148" s="31">
        <v>5080</v>
      </c>
      <c r="O148" s="31" t="s">
        <v>24</v>
      </c>
      <c r="P148" s="32">
        <v>0.57999999999999996</v>
      </c>
      <c r="Q148" s="31">
        <v>1.7125984251968505</v>
      </c>
    </row>
    <row r="149" spans="1:17">
      <c r="A149" s="33" t="s">
        <v>178</v>
      </c>
      <c r="B149" s="33" t="s">
        <v>18</v>
      </c>
      <c r="C149" s="33" t="s">
        <v>19</v>
      </c>
      <c r="D149" s="33">
        <v>0</v>
      </c>
      <c r="E149" s="33" t="s">
        <v>20</v>
      </c>
      <c r="F149" s="33" t="s">
        <v>21</v>
      </c>
      <c r="G149" s="33">
        <v>3497</v>
      </c>
      <c r="H149" s="33">
        <v>1964</v>
      </c>
      <c r="I149" s="33">
        <v>116</v>
      </c>
      <c r="J149" s="33">
        <v>360</v>
      </c>
      <c r="K149" s="33">
        <v>1</v>
      </c>
      <c r="L149" s="33" t="s">
        <v>22</v>
      </c>
      <c r="M149" s="33" t="s">
        <v>27</v>
      </c>
      <c r="N149" s="33">
        <v>5461</v>
      </c>
      <c r="O149" s="33" t="s">
        <v>24</v>
      </c>
      <c r="P149" s="34">
        <v>0.47</v>
      </c>
      <c r="Q149" s="33">
        <v>2.1241530855154735</v>
      </c>
    </row>
    <row r="150" spans="1:17">
      <c r="A150" s="31" t="s">
        <v>179</v>
      </c>
      <c r="B150" s="31" t="s">
        <v>18</v>
      </c>
      <c r="C150" s="31" t="s">
        <v>19</v>
      </c>
      <c r="D150" s="31">
        <v>2</v>
      </c>
      <c r="E150" s="31" t="s">
        <v>20</v>
      </c>
      <c r="F150" s="31" t="s">
        <v>21</v>
      </c>
      <c r="G150" s="31">
        <v>2045</v>
      </c>
      <c r="H150" s="31">
        <v>1619</v>
      </c>
      <c r="I150" s="31">
        <v>101</v>
      </c>
      <c r="J150" s="31">
        <v>360</v>
      </c>
      <c r="K150" s="31">
        <v>1</v>
      </c>
      <c r="L150" s="31" t="s">
        <v>22</v>
      </c>
      <c r="M150" s="31" t="s">
        <v>27</v>
      </c>
      <c r="N150" s="31">
        <v>3664</v>
      </c>
      <c r="O150" s="31" t="s">
        <v>24</v>
      </c>
      <c r="P150" s="32">
        <v>0.36</v>
      </c>
      <c r="Q150" s="31">
        <v>2.7565502183406112</v>
      </c>
    </row>
    <row r="151" spans="1:17">
      <c r="A151" s="33" t="s">
        <v>180</v>
      </c>
      <c r="B151" s="33" t="s">
        <v>18</v>
      </c>
      <c r="C151" s="33" t="s">
        <v>19</v>
      </c>
      <c r="D151" s="33">
        <v>3</v>
      </c>
      <c r="E151" s="33" t="s">
        <v>20</v>
      </c>
      <c r="F151" s="33" t="s">
        <v>21</v>
      </c>
      <c r="G151" s="33">
        <v>5516</v>
      </c>
      <c r="H151" s="33">
        <v>11300</v>
      </c>
      <c r="I151" s="33">
        <v>495</v>
      </c>
      <c r="J151" s="33">
        <v>360</v>
      </c>
      <c r="K151" s="33">
        <v>0</v>
      </c>
      <c r="L151" s="33" t="s">
        <v>34</v>
      </c>
      <c r="M151" s="33" t="s">
        <v>23</v>
      </c>
      <c r="N151" s="33">
        <v>16816</v>
      </c>
      <c r="O151" s="33" t="s">
        <v>35</v>
      </c>
      <c r="P151" s="34">
        <v>0.34</v>
      </c>
      <c r="Q151" s="33">
        <v>2.9436251189343481</v>
      </c>
    </row>
    <row r="152" spans="1:17">
      <c r="A152" s="31" t="s">
        <v>181</v>
      </c>
      <c r="B152" s="31" t="s">
        <v>18</v>
      </c>
      <c r="C152" s="31" t="s">
        <v>19</v>
      </c>
      <c r="D152" s="31">
        <v>1</v>
      </c>
      <c r="E152" s="31" t="s">
        <v>20</v>
      </c>
      <c r="F152" s="31" t="s">
        <v>21</v>
      </c>
      <c r="G152" s="31">
        <v>3750</v>
      </c>
      <c r="H152" s="31">
        <v>0</v>
      </c>
      <c r="I152" s="31">
        <v>116</v>
      </c>
      <c r="J152" s="31">
        <v>360</v>
      </c>
      <c r="K152" s="31">
        <v>1</v>
      </c>
      <c r="L152" s="31" t="s">
        <v>34</v>
      </c>
      <c r="M152" s="31" t="s">
        <v>27</v>
      </c>
      <c r="N152" s="31">
        <v>3750</v>
      </c>
      <c r="O152" s="31" t="s">
        <v>24</v>
      </c>
      <c r="P152" s="32">
        <v>0.32</v>
      </c>
      <c r="Q152" s="31">
        <v>3.0933333333333333</v>
      </c>
    </row>
    <row r="153" spans="1:17">
      <c r="A153" s="33" t="s">
        <v>182</v>
      </c>
      <c r="B153" s="33" t="s">
        <v>18</v>
      </c>
      <c r="C153" s="33" t="s">
        <v>21</v>
      </c>
      <c r="D153" s="33">
        <v>0</v>
      </c>
      <c r="E153" s="33" t="s">
        <v>29</v>
      </c>
      <c r="F153" s="33" t="s">
        <v>21</v>
      </c>
      <c r="G153" s="33">
        <v>2333</v>
      </c>
      <c r="H153" s="33">
        <v>1451</v>
      </c>
      <c r="I153" s="33">
        <v>102</v>
      </c>
      <c r="J153" s="33">
        <v>480</v>
      </c>
      <c r="K153" s="33">
        <v>0</v>
      </c>
      <c r="L153" s="33" t="s">
        <v>26</v>
      </c>
      <c r="M153" s="33" t="s">
        <v>23</v>
      </c>
      <c r="N153" s="33">
        <v>3784</v>
      </c>
      <c r="O153" s="33" t="s">
        <v>35</v>
      </c>
      <c r="P153" s="34">
        <v>0.37</v>
      </c>
      <c r="Q153" s="33">
        <v>2.6955602536997887</v>
      </c>
    </row>
    <row r="154" spans="1:17">
      <c r="A154" s="31" t="s">
        <v>183</v>
      </c>
      <c r="B154" s="31" t="s">
        <v>18</v>
      </c>
      <c r="C154" s="31" t="s">
        <v>19</v>
      </c>
      <c r="D154" s="31">
        <v>1</v>
      </c>
      <c r="E154" s="31" t="s">
        <v>20</v>
      </c>
      <c r="F154" s="31" t="s">
        <v>21</v>
      </c>
      <c r="G154" s="31">
        <v>6400</v>
      </c>
      <c r="H154" s="31">
        <v>7250</v>
      </c>
      <c r="I154" s="31">
        <v>180</v>
      </c>
      <c r="J154" s="31">
        <v>360</v>
      </c>
      <c r="K154" s="31">
        <v>0</v>
      </c>
      <c r="L154" s="31" t="s">
        <v>26</v>
      </c>
      <c r="M154" s="31" t="s">
        <v>23</v>
      </c>
      <c r="N154" s="31">
        <v>13650</v>
      </c>
      <c r="O154" s="31" t="s">
        <v>35</v>
      </c>
      <c r="P154" s="32">
        <v>0.76</v>
      </c>
      <c r="Q154" s="31">
        <v>1.3186813186813187</v>
      </c>
    </row>
    <row r="155" spans="1:17">
      <c r="A155" s="33" t="s">
        <v>184</v>
      </c>
      <c r="B155" s="33" t="s">
        <v>18</v>
      </c>
      <c r="C155" s="33" t="s">
        <v>19</v>
      </c>
      <c r="D155" s="33">
        <v>0</v>
      </c>
      <c r="E155" s="33" t="s">
        <v>20</v>
      </c>
      <c r="F155" s="33" t="s">
        <v>21</v>
      </c>
      <c r="G155" s="33">
        <v>4600</v>
      </c>
      <c r="H155" s="33">
        <v>0</v>
      </c>
      <c r="I155" s="33">
        <v>73</v>
      </c>
      <c r="J155" s="33">
        <v>180</v>
      </c>
      <c r="K155" s="33">
        <v>1</v>
      </c>
      <c r="L155" s="33" t="s">
        <v>34</v>
      </c>
      <c r="M155" s="33" t="s">
        <v>27</v>
      </c>
      <c r="N155" s="33">
        <v>4600</v>
      </c>
      <c r="O155" s="33" t="s">
        <v>24</v>
      </c>
      <c r="P155" s="34">
        <v>0.63</v>
      </c>
      <c r="Q155" s="33">
        <v>1.5869565217391306</v>
      </c>
    </row>
    <row r="156" spans="1:17">
      <c r="A156" s="31" t="s">
        <v>185</v>
      </c>
      <c r="B156" s="31" t="s">
        <v>18</v>
      </c>
      <c r="C156" s="31" t="s">
        <v>19</v>
      </c>
      <c r="D156" s="31">
        <v>1</v>
      </c>
      <c r="E156" s="31" t="s">
        <v>20</v>
      </c>
      <c r="F156" s="31" t="s">
        <v>21</v>
      </c>
      <c r="G156" s="31">
        <v>33846</v>
      </c>
      <c r="H156" s="31">
        <v>0</v>
      </c>
      <c r="I156" s="31">
        <v>260</v>
      </c>
      <c r="J156" s="31">
        <v>360</v>
      </c>
      <c r="K156" s="31">
        <v>1</v>
      </c>
      <c r="L156" s="31" t="s">
        <v>34</v>
      </c>
      <c r="M156" s="31" t="s">
        <v>23</v>
      </c>
      <c r="N156" s="31">
        <v>33846</v>
      </c>
      <c r="O156" s="31" t="s">
        <v>24</v>
      </c>
      <c r="P156" s="32">
        <v>1.3</v>
      </c>
      <c r="Q156" s="31">
        <v>0.76818530993322698</v>
      </c>
    </row>
    <row r="157" spans="1:17">
      <c r="A157" s="33" t="s">
        <v>186</v>
      </c>
      <c r="B157" s="33" t="s">
        <v>46</v>
      </c>
      <c r="C157" s="33" t="s">
        <v>19</v>
      </c>
      <c r="D157" s="33">
        <v>0</v>
      </c>
      <c r="E157" s="33" t="s">
        <v>20</v>
      </c>
      <c r="F157" s="33" t="s">
        <v>21</v>
      </c>
      <c r="G157" s="33">
        <v>3625</v>
      </c>
      <c r="H157" s="33">
        <v>0</v>
      </c>
      <c r="I157" s="33">
        <v>108</v>
      </c>
      <c r="J157" s="33">
        <v>360</v>
      </c>
      <c r="K157" s="33">
        <v>1</v>
      </c>
      <c r="L157" s="33" t="s">
        <v>34</v>
      </c>
      <c r="M157" s="33" t="s">
        <v>27</v>
      </c>
      <c r="N157" s="33">
        <v>3625</v>
      </c>
      <c r="O157" s="33" t="s">
        <v>24</v>
      </c>
      <c r="P157" s="34">
        <v>0.34</v>
      </c>
      <c r="Q157" s="33">
        <v>2.9793103448275864</v>
      </c>
    </row>
    <row r="158" spans="1:17">
      <c r="A158" s="31" t="s">
        <v>187</v>
      </c>
      <c r="B158" s="31" t="s">
        <v>18</v>
      </c>
      <c r="C158" s="31" t="s">
        <v>19</v>
      </c>
      <c r="D158" s="31">
        <v>0</v>
      </c>
      <c r="E158" s="31" t="s">
        <v>20</v>
      </c>
      <c r="F158" s="31" t="s">
        <v>19</v>
      </c>
      <c r="G158" s="31">
        <v>39147</v>
      </c>
      <c r="H158" s="31">
        <v>4750</v>
      </c>
      <c r="I158" s="31">
        <v>120</v>
      </c>
      <c r="J158" s="31">
        <v>360</v>
      </c>
      <c r="K158" s="31">
        <v>1</v>
      </c>
      <c r="L158" s="31" t="s">
        <v>34</v>
      </c>
      <c r="M158" s="31" t="s">
        <v>27</v>
      </c>
      <c r="N158" s="31">
        <v>43897</v>
      </c>
      <c r="O158" s="31" t="s">
        <v>24</v>
      </c>
      <c r="P158" s="32">
        <v>3.66</v>
      </c>
      <c r="Q158" s="31">
        <v>0.27336720049206092</v>
      </c>
    </row>
    <row r="159" spans="1:17">
      <c r="A159" s="33" t="s">
        <v>188</v>
      </c>
      <c r="B159" s="33" t="s">
        <v>18</v>
      </c>
      <c r="C159" s="33" t="s">
        <v>19</v>
      </c>
      <c r="D159" s="33">
        <v>1</v>
      </c>
      <c r="E159" s="33" t="s">
        <v>20</v>
      </c>
      <c r="F159" s="33" t="s">
        <v>19</v>
      </c>
      <c r="G159" s="33">
        <v>2178</v>
      </c>
      <c r="H159" s="33">
        <v>0</v>
      </c>
      <c r="I159" s="33">
        <v>66</v>
      </c>
      <c r="J159" s="33">
        <v>300</v>
      </c>
      <c r="K159" s="33">
        <v>0</v>
      </c>
      <c r="L159" s="33" t="s">
        <v>22</v>
      </c>
      <c r="M159" s="33" t="s">
        <v>23</v>
      </c>
      <c r="N159" s="33">
        <v>2178</v>
      </c>
      <c r="O159" s="33" t="s">
        <v>35</v>
      </c>
      <c r="P159" s="34">
        <v>0.33</v>
      </c>
      <c r="Q159" s="33">
        <v>3.0303030303030303</v>
      </c>
    </row>
    <row r="160" spans="1:17">
      <c r="A160" s="31" t="s">
        <v>189</v>
      </c>
      <c r="B160" s="31" t="s">
        <v>40</v>
      </c>
      <c r="C160" s="31" t="s">
        <v>19</v>
      </c>
      <c r="D160" s="31">
        <v>0</v>
      </c>
      <c r="E160" s="31" t="s">
        <v>20</v>
      </c>
      <c r="F160" s="31" t="s">
        <v>19</v>
      </c>
      <c r="G160" s="31">
        <v>674</v>
      </c>
      <c r="H160" s="31">
        <v>5296</v>
      </c>
      <c r="I160" s="31">
        <v>168</v>
      </c>
      <c r="J160" s="31">
        <v>360</v>
      </c>
      <c r="K160" s="31">
        <v>1</v>
      </c>
      <c r="L160" s="31" t="s">
        <v>22</v>
      </c>
      <c r="M160" s="31" t="s">
        <v>27</v>
      </c>
      <c r="N160" s="31">
        <v>5970</v>
      </c>
      <c r="O160" s="31" t="s">
        <v>24</v>
      </c>
      <c r="P160" s="32">
        <v>0.36</v>
      </c>
      <c r="Q160" s="31">
        <v>2.8140703517587942</v>
      </c>
    </row>
    <row r="161" spans="1:17">
      <c r="A161" s="33" t="s">
        <v>190</v>
      </c>
      <c r="B161" s="33" t="s">
        <v>18</v>
      </c>
      <c r="C161" s="33" t="s">
        <v>19</v>
      </c>
      <c r="D161" s="33">
        <v>0</v>
      </c>
      <c r="E161" s="33" t="s">
        <v>20</v>
      </c>
      <c r="F161" s="33" t="s">
        <v>21</v>
      </c>
      <c r="G161" s="33">
        <v>9328</v>
      </c>
      <c r="H161" s="33">
        <v>0</v>
      </c>
      <c r="I161" s="33">
        <v>188</v>
      </c>
      <c r="J161" s="33">
        <v>180</v>
      </c>
      <c r="K161" s="33">
        <v>1</v>
      </c>
      <c r="L161" s="33" t="s">
        <v>22</v>
      </c>
      <c r="M161" s="33" t="s">
        <v>27</v>
      </c>
      <c r="N161" s="33">
        <v>9328</v>
      </c>
      <c r="O161" s="33" t="s">
        <v>24</v>
      </c>
      <c r="P161" s="34">
        <v>0.5</v>
      </c>
      <c r="Q161" s="33">
        <v>2.0154373927958833</v>
      </c>
    </row>
    <row r="162" spans="1:17">
      <c r="A162" s="31" t="s">
        <v>191</v>
      </c>
      <c r="B162" s="31" t="s">
        <v>18</v>
      </c>
      <c r="C162" s="31" t="s">
        <v>21</v>
      </c>
      <c r="D162" s="31">
        <v>0</v>
      </c>
      <c r="E162" s="31" t="s">
        <v>29</v>
      </c>
      <c r="F162" s="31" t="s">
        <v>21</v>
      </c>
      <c r="G162" s="31">
        <v>4885</v>
      </c>
      <c r="H162" s="31">
        <v>0</v>
      </c>
      <c r="I162" s="31">
        <v>48</v>
      </c>
      <c r="J162" s="31">
        <v>360</v>
      </c>
      <c r="K162" s="31">
        <v>1</v>
      </c>
      <c r="L162" s="31" t="s">
        <v>22</v>
      </c>
      <c r="M162" s="31" t="s">
        <v>27</v>
      </c>
      <c r="N162" s="31">
        <v>4885</v>
      </c>
      <c r="O162" s="31" t="s">
        <v>24</v>
      </c>
      <c r="P162" s="32">
        <v>1.02</v>
      </c>
      <c r="Q162" s="31">
        <v>0.98259979529170938</v>
      </c>
    </row>
    <row r="163" spans="1:17">
      <c r="A163" s="33" t="s">
        <v>192</v>
      </c>
      <c r="B163" s="33" t="s">
        <v>18</v>
      </c>
      <c r="C163" s="33" t="s">
        <v>21</v>
      </c>
      <c r="D163" s="33">
        <v>0</v>
      </c>
      <c r="E163" s="33" t="s">
        <v>20</v>
      </c>
      <c r="F163" s="33" t="s">
        <v>21</v>
      </c>
      <c r="G163" s="33">
        <v>12000</v>
      </c>
      <c r="H163" s="33">
        <v>0</v>
      </c>
      <c r="I163" s="33">
        <v>164</v>
      </c>
      <c r="J163" s="33">
        <v>360</v>
      </c>
      <c r="K163" s="33">
        <v>1</v>
      </c>
      <c r="L163" s="33" t="s">
        <v>34</v>
      </c>
      <c r="M163" s="33" t="s">
        <v>23</v>
      </c>
      <c r="N163" s="33">
        <v>12000</v>
      </c>
      <c r="O163" s="33" t="s">
        <v>24</v>
      </c>
      <c r="P163" s="34">
        <v>0.73</v>
      </c>
      <c r="Q163" s="33">
        <v>1.3666666666666667</v>
      </c>
    </row>
    <row r="164" spans="1:17">
      <c r="A164" s="31" t="s">
        <v>193</v>
      </c>
      <c r="B164" s="31" t="s">
        <v>18</v>
      </c>
      <c r="C164" s="31" t="s">
        <v>19</v>
      </c>
      <c r="D164" s="31">
        <v>0</v>
      </c>
      <c r="E164" s="31" t="s">
        <v>29</v>
      </c>
      <c r="F164" s="31" t="s">
        <v>21</v>
      </c>
      <c r="G164" s="31">
        <v>6033</v>
      </c>
      <c r="H164" s="31">
        <v>0</v>
      </c>
      <c r="I164" s="31">
        <v>160</v>
      </c>
      <c r="J164" s="31">
        <v>360</v>
      </c>
      <c r="K164" s="31">
        <v>1</v>
      </c>
      <c r="L164" s="31" t="s">
        <v>26</v>
      </c>
      <c r="M164" s="31" t="s">
        <v>23</v>
      </c>
      <c r="N164" s="31">
        <v>6033</v>
      </c>
      <c r="O164" s="31" t="s">
        <v>24</v>
      </c>
      <c r="P164" s="32">
        <v>0.38</v>
      </c>
      <c r="Q164" s="31">
        <v>2.6520802254268192</v>
      </c>
    </row>
    <row r="165" spans="1:17">
      <c r="A165" s="33" t="s">
        <v>194</v>
      </c>
      <c r="B165" s="33" t="s">
        <v>18</v>
      </c>
      <c r="C165" s="33" t="s">
        <v>21</v>
      </c>
      <c r="D165" s="33">
        <v>0</v>
      </c>
      <c r="E165" s="33" t="s">
        <v>20</v>
      </c>
      <c r="F165" s="33" t="s">
        <v>21</v>
      </c>
      <c r="G165" s="33">
        <v>3858</v>
      </c>
      <c r="H165" s="33">
        <v>0</v>
      </c>
      <c r="I165" s="33">
        <v>76</v>
      </c>
      <c r="J165" s="33">
        <v>360</v>
      </c>
      <c r="K165" s="33">
        <v>1</v>
      </c>
      <c r="L165" s="33" t="s">
        <v>34</v>
      </c>
      <c r="M165" s="33" t="s">
        <v>27</v>
      </c>
      <c r="N165" s="33">
        <v>3858</v>
      </c>
      <c r="O165" s="33" t="s">
        <v>24</v>
      </c>
      <c r="P165" s="34">
        <v>0.51</v>
      </c>
      <c r="Q165" s="33">
        <v>1.9699326075686883</v>
      </c>
    </row>
    <row r="166" spans="1:17">
      <c r="A166" s="31" t="s">
        <v>195</v>
      </c>
      <c r="B166" s="31" t="s">
        <v>18</v>
      </c>
      <c r="C166" s="31" t="s">
        <v>21</v>
      </c>
      <c r="D166" s="31">
        <v>0</v>
      </c>
      <c r="E166" s="31" t="s">
        <v>20</v>
      </c>
      <c r="F166" s="31" t="s">
        <v>21</v>
      </c>
      <c r="G166" s="31">
        <v>4191</v>
      </c>
      <c r="H166" s="31">
        <v>0</v>
      </c>
      <c r="I166" s="31">
        <v>120</v>
      </c>
      <c r="J166" s="31">
        <v>360</v>
      </c>
      <c r="K166" s="31">
        <v>1</v>
      </c>
      <c r="L166" s="31" t="s">
        <v>22</v>
      </c>
      <c r="M166" s="31" t="s">
        <v>27</v>
      </c>
      <c r="N166" s="31">
        <v>4191</v>
      </c>
      <c r="O166" s="31" t="s">
        <v>24</v>
      </c>
      <c r="P166" s="32">
        <v>0.35</v>
      </c>
      <c r="Q166" s="31">
        <v>2.863278453829635</v>
      </c>
    </row>
    <row r="167" spans="1:17">
      <c r="A167" s="33" t="s">
        <v>196</v>
      </c>
      <c r="B167" s="33" t="s">
        <v>18</v>
      </c>
      <c r="C167" s="33" t="s">
        <v>19</v>
      </c>
      <c r="D167" s="33">
        <v>1</v>
      </c>
      <c r="E167" s="33" t="s">
        <v>20</v>
      </c>
      <c r="F167" s="33" t="s">
        <v>21</v>
      </c>
      <c r="G167" s="33">
        <v>3125</v>
      </c>
      <c r="H167" s="33">
        <v>2583</v>
      </c>
      <c r="I167" s="33">
        <v>170</v>
      </c>
      <c r="J167" s="33">
        <v>360</v>
      </c>
      <c r="K167" s="33">
        <v>1</v>
      </c>
      <c r="L167" s="33" t="s">
        <v>34</v>
      </c>
      <c r="M167" s="33" t="s">
        <v>23</v>
      </c>
      <c r="N167" s="33">
        <v>5708</v>
      </c>
      <c r="O167" s="33" t="s">
        <v>24</v>
      </c>
      <c r="P167" s="34">
        <v>0.34</v>
      </c>
      <c r="Q167" s="33">
        <v>2.9782761037140855</v>
      </c>
    </row>
    <row r="168" spans="1:17">
      <c r="A168" s="31" t="s">
        <v>197</v>
      </c>
      <c r="B168" s="31" t="s">
        <v>18</v>
      </c>
      <c r="C168" s="31" t="s">
        <v>21</v>
      </c>
      <c r="D168" s="31">
        <v>0</v>
      </c>
      <c r="E168" s="31" t="s">
        <v>20</v>
      </c>
      <c r="F168" s="31" t="s">
        <v>21</v>
      </c>
      <c r="G168" s="31">
        <v>8333</v>
      </c>
      <c r="H168" s="31">
        <v>3750</v>
      </c>
      <c r="I168" s="31">
        <v>187</v>
      </c>
      <c r="J168" s="31">
        <v>360</v>
      </c>
      <c r="K168" s="31">
        <v>1</v>
      </c>
      <c r="L168" s="31" t="s">
        <v>22</v>
      </c>
      <c r="M168" s="31" t="s">
        <v>27</v>
      </c>
      <c r="N168" s="31">
        <v>12083</v>
      </c>
      <c r="O168" s="31" t="s">
        <v>24</v>
      </c>
      <c r="P168" s="32">
        <v>0.65</v>
      </c>
      <c r="Q168" s="31">
        <v>1.5476289001075891</v>
      </c>
    </row>
    <row r="169" spans="1:17">
      <c r="A169" s="33" t="s">
        <v>198</v>
      </c>
      <c r="B169" s="33" t="s">
        <v>18</v>
      </c>
      <c r="C169" s="33" t="s">
        <v>21</v>
      </c>
      <c r="D169" s="33">
        <v>0</v>
      </c>
      <c r="E169" s="33" t="s">
        <v>20</v>
      </c>
      <c r="F169" s="33" t="s">
        <v>19</v>
      </c>
      <c r="G169" s="33">
        <v>11000</v>
      </c>
      <c r="H169" s="33">
        <v>0</v>
      </c>
      <c r="I169" s="33">
        <v>83</v>
      </c>
      <c r="J169" s="33">
        <v>360</v>
      </c>
      <c r="K169" s="33">
        <v>1</v>
      </c>
      <c r="L169" s="33" t="s">
        <v>26</v>
      </c>
      <c r="M169" s="33" t="s">
        <v>23</v>
      </c>
      <c r="N169" s="33">
        <v>11000</v>
      </c>
      <c r="O169" s="33" t="s">
        <v>24</v>
      </c>
      <c r="P169" s="34">
        <v>1.33</v>
      </c>
      <c r="Q169" s="33">
        <v>0.75454545454545452</v>
      </c>
    </row>
    <row r="170" spans="1:17">
      <c r="A170" s="31" t="s">
        <v>199</v>
      </c>
      <c r="B170" s="31" t="s">
        <v>18</v>
      </c>
      <c r="C170" s="31" t="s">
        <v>19</v>
      </c>
      <c r="D170" s="31">
        <v>1</v>
      </c>
      <c r="E170" s="31" t="s">
        <v>29</v>
      </c>
      <c r="F170" s="31" t="s">
        <v>21</v>
      </c>
      <c r="G170" s="31">
        <v>2600</v>
      </c>
      <c r="H170" s="31">
        <v>2500</v>
      </c>
      <c r="I170" s="31">
        <v>90</v>
      </c>
      <c r="J170" s="31">
        <v>360</v>
      </c>
      <c r="K170" s="31">
        <v>1</v>
      </c>
      <c r="L170" s="31" t="s">
        <v>34</v>
      </c>
      <c r="M170" s="31" t="s">
        <v>27</v>
      </c>
      <c r="N170" s="31">
        <v>5100</v>
      </c>
      <c r="O170" s="31" t="s">
        <v>24</v>
      </c>
      <c r="P170" s="32">
        <v>0.56999999999999995</v>
      </c>
      <c r="Q170" s="31">
        <v>1.7647058823529411</v>
      </c>
    </row>
    <row r="171" spans="1:17">
      <c r="A171" s="33" t="s">
        <v>200</v>
      </c>
      <c r="B171" s="33" t="s">
        <v>18</v>
      </c>
      <c r="C171" s="33" t="s">
        <v>21</v>
      </c>
      <c r="D171" s="33">
        <v>2</v>
      </c>
      <c r="E171" s="33" t="s">
        <v>20</v>
      </c>
      <c r="F171" s="33" t="s">
        <v>21</v>
      </c>
      <c r="G171" s="33">
        <v>4923</v>
      </c>
      <c r="H171" s="33">
        <v>0</v>
      </c>
      <c r="I171" s="33">
        <v>166</v>
      </c>
      <c r="J171" s="33">
        <v>360</v>
      </c>
      <c r="K171" s="33">
        <v>0</v>
      </c>
      <c r="L171" s="33" t="s">
        <v>34</v>
      </c>
      <c r="M171" s="33" t="s">
        <v>27</v>
      </c>
      <c r="N171" s="33">
        <v>4923</v>
      </c>
      <c r="O171" s="33" t="s">
        <v>35</v>
      </c>
      <c r="P171" s="34">
        <v>0.3</v>
      </c>
      <c r="Q171" s="33">
        <v>3.3719276863700993</v>
      </c>
    </row>
    <row r="172" spans="1:17">
      <c r="A172" s="31" t="s">
        <v>201</v>
      </c>
      <c r="B172" s="31" t="s">
        <v>18</v>
      </c>
      <c r="C172" s="31" t="s">
        <v>19</v>
      </c>
      <c r="D172" s="31">
        <v>1</v>
      </c>
      <c r="E172" s="31" t="s">
        <v>29</v>
      </c>
      <c r="F172" s="31" t="s">
        <v>21</v>
      </c>
      <c r="G172" s="31">
        <v>3500</v>
      </c>
      <c r="H172" s="31">
        <v>1083</v>
      </c>
      <c r="I172" s="31">
        <v>135</v>
      </c>
      <c r="J172" s="31">
        <v>360</v>
      </c>
      <c r="K172" s="31">
        <v>1</v>
      </c>
      <c r="L172" s="31" t="s">
        <v>26</v>
      </c>
      <c r="M172" s="31" t="s">
        <v>27</v>
      </c>
      <c r="N172" s="31">
        <v>4583</v>
      </c>
      <c r="O172" s="31" t="s">
        <v>24</v>
      </c>
      <c r="P172" s="32">
        <v>0.34</v>
      </c>
      <c r="Q172" s="31">
        <v>2.9456687759109754</v>
      </c>
    </row>
    <row r="173" spans="1:17">
      <c r="A173" s="33" t="s">
        <v>202</v>
      </c>
      <c r="B173" s="33" t="s">
        <v>18</v>
      </c>
      <c r="C173" s="33" t="s">
        <v>19</v>
      </c>
      <c r="D173" s="33">
        <v>2</v>
      </c>
      <c r="E173" s="33" t="s">
        <v>29</v>
      </c>
      <c r="F173" s="33" t="s">
        <v>21</v>
      </c>
      <c r="G173" s="33">
        <v>3917</v>
      </c>
      <c r="H173" s="33">
        <v>0</v>
      </c>
      <c r="I173" s="33">
        <v>124</v>
      </c>
      <c r="J173" s="33">
        <v>360</v>
      </c>
      <c r="K173" s="33">
        <v>1</v>
      </c>
      <c r="L173" s="33" t="s">
        <v>34</v>
      </c>
      <c r="M173" s="33" t="s">
        <v>27</v>
      </c>
      <c r="N173" s="33">
        <v>3917</v>
      </c>
      <c r="O173" s="33" t="s">
        <v>24</v>
      </c>
      <c r="P173" s="34">
        <v>0.32</v>
      </c>
      <c r="Q173" s="33">
        <v>3.165688026550932</v>
      </c>
    </row>
    <row r="174" spans="1:17">
      <c r="A174" s="31" t="s">
        <v>203</v>
      </c>
      <c r="B174" s="31" t="s">
        <v>46</v>
      </c>
      <c r="C174" s="31" t="s">
        <v>21</v>
      </c>
      <c r="D174" s="31">
        <v>0</v>
      </c>
      <c r="E174" s="31" t="s">
        <v>29</v>
      </c>
      <c r="F174" s="31" t="s">
        <v>21</v>
      </c>
      <c r="G174" s="31">
        <v>4408</v>
      </c>
      <c r="H174" s="31">
        <v>0</v>
      </c>
      <c r="I174" s="31">
        <v>120</v>
      </c>
      <c r="J174" s="31">
        <v>360</v>
      </c>
      <c r="K174" s="31">
        <v>1</v>
      </c>
      <c r="L174" s="31" t="s">
        <v>34</v>
      </c>
      <c r="M174" s="31" t="s">
        <v>27</v>
      </c>
      <c r="N174" s="31">
        <v>4408</v>
      </c>
      <c r="O174" s="31" t="s">
        <v>24</v>
      </c>
      <c r="P174" s="32">
        <v>0.37</v>
      </c>
      <c r="Q174" s="31">
        <v>2.7223230490018149</v>
      </c>
    </row>
    <row r="175" spans="1:17">
      <c r="A175" s="33" t="s">
        <v>204</v>
      </c>
      <c r="B175" s="33" t="s">
        <v>46</v>
      </c>
      <c r="C175" s="33" t="s">
        <v>21</v>
      </c>
      <c r="D175" s="33">
        <v>0</v>
      </c>
      <c r="E175" s="33" t="s">
        <v>20</v>
      </c>
      <c r="F175" s="33" t="s">
        <v>21</v>
      </c>
      <c r="G175" s="33">
        <v>3244</v>
      </c>
      <c r="H175" s="33">
        <v>0</v>
      </c>
      <c r="I175" s="33">
        <v>80</v>
      </c>
      <c r="J175" s="33">
        <v>360</v>
      </c>
      <c r="K175" s="33">
        <v>1</v>
      </c>
      <c r="L175" s="33" t="s">
        <v>26</v>
      </c>
      <c r="M175" s="33" t="s">
        <v>27</v>
      </c>
      <c r="N175" s="33">
        <v>3244</v>
      </c>
      <c r="O175" s="33" t="s">
        <v>24</v>
      </c>
      <c r="P175" s="34">
        <v>0.41</v>
      </c>
      <c r="Q175" s="33">
        <v>2.466091245376079</v>
      </c>
    </row>
    <row r="176" spans="1:17">
      <c r="A176" s="31" t="s">
        <v>205</v>
      </c>
      <c r="B176" s="31" t="s">
        <v>18</v>
      </c>
      <c r="C176" s="31" t="s">
        <v>21</v>
      </c>
      <c r="D176" s="31">
        <v>0</v>
      </c>
      <c r="E176" s="31" t="s">
        <v>29</v>
      </c>
      <c r="F176" s="31" t="s">
        <v>21</v>
      </c>
      <c r="G176" s="31">
        <v>3975</v>
      </c>
      <c r="H176" s="31">
        <v>2531</v>
      </c>
      <c r="I176" s="31">
        <v>55</v>
      </c>
      <c r="J176" s="31">
        <v>360</v>
      </c>
      <c r="K176" s="31">
        <v>1</v>
      </c>
      <c r="L176" s="31" t="s">
        <v>22</v>
      </c>
      <c r="M176" s="31" t="s">
        <v>27</v>
      </c>
      <c r="N176" s="31">
        <v>6506</v>
      </c>
      <c r="O176" s="31" t="s">
        <v>24</v>
      </c>
      <c r="P176" s="32">
        <v>1.18</v>
      </c>
      <c r="Q176" s="31">
        <v>0.84537350138333844</v>
      </c>
    </row>
    <row r="177" spans="1:17">
      <c r="A177" s="33" t="s">
        <v>206</v>
      </c>
      <c r="B177" s="33" t="s">
        <v>18</v>
      </c>
      <c r="C177" s="33" t="s">
        <v>21</v>
      </c>
      <c r="D177" s="33">
        <v>0</v>
      </c>
      <c r="E177" s="33" t="s">
        <v>20</v>
      </c>
      <c r="F177" s="33" t="s">
        <v>21</v>
      </c>
      <c r="G177" s="33">
        <v>2479</v>
      </c>
      <c r="H177" s="33">
        <v>0</v>
      </c>
      <c r="I177" s="33">
        <v>59</v>
      </c>
      <c r="J177" s="33">
        <v>360</v>
      </c>
      <c r="K177" s="33">
        <v>1</v>
      </c>
      <c r="L177" s="33" t="s">
        <v>26</v>
      </c>
      <c r="M177" s="33" t="s">
        <v>27</v>
      </c>
      <c r="N177" s="33">
        <v>2479</v>
      </c>
      <c r="O177" s="33" t="s">
        <v>24</v>
      </c>
      <c r="P177" s="34">
        <v>0.42</v>
      </c>
      <c r="Q177" s="33">
        <v>2.3799919322307383</v>
      </c>
    </row>
    <row r="178" spans="1:17">
      <c r="A178" s="31" t="s">
        <v>207</v>
      </c>
      <c r="B178" s="31" t="s">
        <v>18</v>
      </c>
      <c r="C178" s="31" t="s">
        <v>21</v>
      </c>
      <c r="D178" s="31">
        <v>0</v>
      </c>
      <c r="E178" s="31" t="s">
        <v>20</v>
      </c>
      <c r="F178" s="31" t="s">
        <v>21</v>
      </c>
      <c r="G178" s="31">
        <v>3418</v>
      </c>
      <c r="H178" s="31">
        <v>0</v>
      </c>
      <c r="I178" s="31">
        <v>127</v>
      </c>
      <c r="J178" s="31">
        <v>360</v>
      </c>
      <c r="K178" s="31">
        <v>1</v>
      </c>
      <c r="L178" s="31" t="s">
        <v>34</v>
      </c>
      <c r="M178" s="31" t="s">
        <v>23</v>
      </c>
      <c r="N178" s="31">
        <v>3418</v>
      </c>
      <c r="O178" s="31" t="s">
        <v>24</v>
      </c>
      <c r="P178" s="32">
        <v>0.27</v>
      </c>
      <c r="Q178" s="31">
        <v>3.7156231714452899</v>
      </c>
    </row>
    <row r="179" spans="1:17">
      <c r="A179" s="33" t="s">
        <v>208</v>
      </c>
      <c r="B179" s="33" t="s">
        <v>46</v>
      </c>
      <c r="C179" s="33" t="s">
        <v>21</v>
      </c>
      <c r="D179" s="33">
        <v>0</v>
      </c>
      <c r="E179" s="33" t="s">
        <v>20</v>
      </c>
      <c r="F179" s="33" t="s">
        <v>21</v>
      </c>
      <c r="G179" s="33">
        <v>10000</v>
      </c>
      <c r="H179" s="33">
        <v>0</v>
      </c>
      <c r="I179" s="33">
        <v>214</v>
      </c>
      <c r="J179" s="33">
        <v>360</v>
      </c>
      <c r="K179" s="33">
        <v>1</v>
      </c>
      <c r="L179" s="33" t="s">
        <v>34</v>
      </c>
      <c r="M179" s="33" t="s">
        <v>23</v>
      </c>
      <c r="N179" s="33">
        <v>10000</v>
      </c>
      <c r="O179" s="33" t="s">
        <v>24</v>
      </c>
      <c r="P179" s="34">
        <v>0.47</v>
      </c>
      <c r="Q179" s="33">
        <v>2.1399999999999997</v>
      </c>
    </row>
    <row r="180" spans="1:17">
      <c r="A180" s="31" t="s">
        <v>209</v>
      </c>
      <c r="B180" s="31" t="s">
        <v>18</v>
      </c>
      <c r="C180" s="31" t="s">
        <v>19</v>
      </c>
      <c r="D180" s="31">
        <v>3</v>
      </c>
      <c r="E180" s="31" t="s">
        <v>20</v>
      </c>
      <c r="F180" s="31" t="s">
        <v>21</v>
      </c>
      <c r="G180" s="31">
        <v>3430</v>
      </c>
      <c r="H180" s="31">
        <v>1250</v>
      </c>
      <c r="I180" s="31">
        <v>128</v>
      </c>
      <c r="J180" s="31">
        <v>360</v>
      </c>
      <c r="K180" s="31">
        <v>0</v>
      </c>
      <c r="L180" s="31" t="s">
        <v>34</v>
      </c>
      <c r="M180" s="31" t="s">
        <v>23</v>
      </c>
      <c r="N180" s="31">
        <v>4680</v>
      </c>
      <c r="O180" s="31" t="s">
        <v>35</v>
      </c>
      <c r="P180" s="32">
        <v>0.37</v>
      </c>
      <c r="Q180" s="31">
        <v>2.7350427350427351</v>
      </c>
    </row>
    <row r="181" spans="1:17">
      <c r="A181" s="33" t="s">
        <v>210</v>
      </c>
      <c r="B181" s="33" t="s">
        <v>18</v>
      </c>
      <c r="C181" s="33" t="s">
        <v>19</v>
      </c>
      <c r="D181" s="33">
        <v>1</v>
      </c>
      <c r="E181" s="33" t="s">
        <v>20</v>
      </c>
      <c r="F181" s="33" t="s">
        <v>19</v>
      </c>
      <c r="G181" s="33">
        <v>7787</v>
      </c>
      <c r="H181" s="33">
        <v>0</v>
      </c>
      <c r="I181" s="33">
        <v>240</v>
      </c>
      <c r="J181" s="33">
        <v>360</v>
      </c>
      <c r="K181" s="33">
        <v>1</v>
      </c>
      <c r="L181" s="33" t="s">
        <v>26</v>
      </c>
      <c r="M181" s="33" t="s">
        <v>27</v>
      </c>
      <c r="N181" s="33">
        <v>7787</v>
      </c>
      <c r="O181" s="33" t="s">
        <v>24</v>
      </c>
      <c r="P181" s="34">
        <v>0.32</v>
      </c>
      <c r="Q181" s="33">
        <v>3.0820598433286244</v>
      </c>
    </row>
    <row r="182" spans="1:17">
      <c r="A182" s="31" t="s">
        <v>211</v>
      </c>
      <c r="B182" s="31" t="s">
        <v>18</v>
      </c>
      <c r="C182" s="31" t="s">
        <v>19</v>
      </c>
      <c r="D182" s="31">
        <v>3</v>
      </c>
      <c r="E182" s="31" t="s">
        <v>29</v>
      </c>
      <c r="F182" s="31" t="s">
        <v>19</v>
      </c>
      <c r="G182" s="31">
        <v>5703</v>
      </c>
      <c r="H182" s="31">
        <v>0</v>
      </c>
      <c r="I182" s="31">
        <v>130</v>
      </c>
      <c r="J182" s="31">
        <v>360</v>
      </c>
      <c r="K182" s="31">
        <v>1</v>
      </c>
      <c r="L182" s="31" t="s">
        <v>22</v>
      </c>
      <c r="M182" s="31" t="s">
        <v>27</v>
      </c>
      <c r="N182" s="31">
        <v>5703</v>
      </c>
      <c r="O182" s="31" t="s">
        <v>24</v>
      </c>
      <c r="P182" s="32">
        <v>0.44</v>
      </c>
      <c r="Q182" s="31">
        <v>2.279502016482553</v>
      </c>
    </row>
    <row r="183" spans="1:17">
      <c r="A183" s="33" t="s">
        <v>212</v>
      </c>
      <c r="B183" s="33" t="s">
        <v>18</v>
      </c>
      <c r="C183" s="33" t="s">
        <v>19</v>
      </c>
      <c r="D183" s="33">
        <v>0</v>
      </c>
      <c r="E183" s="33" t="s">
        <v>20</v>
      </c>
      <c r="F183" s="33" t="s">
        <v>21</v>
      </c>
      <c r="G183" s="33">
        <v>3173</v>
      </c>
      <c r="H183" s="33">
        <v>3021</v>
      </c>
      <c r="I183" s="33">
        <v>137</v>
      </c>
      <c r="J183" s="33">
        <v>360</v>
      </c>
      <c r="K183" s="33">
        <v>1</v>
      </c>
      <c r="L183" s="33" t="s">
        <v>26</v>
      </c>
      <c r="M183" s="33" t="s">
        <v>27</v>
      </c>
      <c r="N183" s="33">
        <v>6194</v>
      </c>
      <c r="O183" s="33" t="s">
        <v>24</v>
      </c>
      <c r="P183" s="34">
        <v>0.45</v>
      </c>
      <c r="Q183" s="33">
        <v>2.2118178882789796</v>
      </c>
    </row>
    <row r="184" spans="1:17">
      <c r="A184" s="31" t="s">
        <v>213</v>
      </c>
      <c r="B184" s="31" t="s">
        <v>18</v>
      </c>
      <c r="C184" s="31" t="s">
        <v>19</v>
      </c>
      <c r="D184" s="31">
        <v>3</v>
      </c>
      <c r="E184" s="31" t="s">
        <v>29</v>
      </c>
      <c r="F184" s="31" t="s">
        <v>21</v>
      </c>
      <c r="G184" s="31">
        <v>3850</v>
      </c>
      <c r="H184" s="31">
        <v>983</v>
      </c>
      <c r="I184" s="31">
        <v>100</v>
      </c>
      <c r="J184" s="31">
        <v>360</v>
      </c>
      <c r="K184" s="31">
        <v>1</v>
      </c>
      <c r="L184" s="31" t="s">
        <v>34</v>
      </c>
      <c r="M184" s="31" t="s">
        <v>27</v>
      </c>
      <c r="N184" s="31">
        <v>4833</v>
      </c>
      <c r="O184" s="31" t="s">
        <v>24</v>
      </c>
      <c r="P184" s="32">
        <v>0.48</v>
      </c>
      <c r="Q184" s="31">
        <v>2.0691082143596109</v>
      </c>
    </row>
    <row r="185" spans="1:17">
      <c r="A185" s="33" t="s">
        <v>214</v>
      </c>
      <c r="B185" s="33" t="s">
        <v>18</v>
      </c>
      <c r="C185" s="33" t="s">
        <v>19</v>
      </c>
      <c r="D185" s="33">
        <v>0</v>
      </c>
      <c r="E185" s="33" t="s">
        <v>20</v>
      </c>
      <c r="F185" s="33" t="s">
        <v>21</v>
      </c>
      <c r="G185" s="33">
        <v>150</v>
      </c>
      <c r="H185" s="33">
        <v>1800</v>
      </c>
      <c r="I185" s="33">
        <v>135</v>
      </c>
      <c r="J185" s="33">
        <v>360</v>
      </c>
      <c r="K185" s="33">
        <v>1</v>
      </c>
      <c r="L185" s="33" t="s">
        <v>22</v>
      </c>
      <c r="M185" s="33" t="s">
        <v>23</v>
      </c>
      <c r="N185" s="33">
        <v>1950</v>
      </c>
      <c r="O185" s="33" t="s">
        <v>24</v>
      </c>
      <c r="P185" s="34">
        <v>0.14000000000000001</v>
      </c>
      <c r="Q185" s="33">
        <v>6.9230769230769234</v>
      </c>
    </row>
    <row r="186" spans="1:17">
      <c r="A186" s="31" t="s">
        <v>215</v>
      </c>
      <c r="B186" s="31" t="s">
        <v>18</v>
      </c>
      <c r="C186" s="31" t="s">
        <v>19</v>
      </c>
      <c r="D186" s="31">
        <v>0</v>
      </c>
      <c r="E186" s="31" t="s">
        <v>20</v>
      </c>
      <c r="F186" s="31" t="s">
        <v>21</v>
      </c>
      <c r="G186" s="31">
        <v>3727</v>
      </c>
      <c r="H186" s="31">
        <v>1775</v>
      </c>
      <c r="I186" s="31">
        <v>131</v>
      </c>
      <c r="J186" s="31">
        <v>360</v>
      </c>
      <c r="K186" s="31">
        <v>1</v>
      </c>
      <c r="L186" s="31" t="s">
        <v>34</v>
      </c>
      <c r="M186" s="31" t="s">
        <v>27</v>
      </c>
      <c r="N186" s="31">
        <v>5502</v>
      </c>
      <c r="O186" s="31" t="s">
        <v>24</v>
      </c>
      <c r="P186" s="32">
        <v>0.42</v>
      </c>
      <c r="Q186" s="31">
        <v>2.3809523809523809</v>
      </c>
    </row>
    <row r="187" spans="1:17">
      <c r="A187" s="33" t="s">
        <v>216</v>
      </c>
      <c r="B187" s="33" t="s">
        <v>18</v>
      </c>
      <c r="C187" s="33" t="s">
        <v>19</v>
      </c>
      <c r="D187" s="33">
        <v>2</v>
      </c>
      <c r="E187" s="33" t="s">
        <v>20</v>
      </c>
      <c r="F187" s="33" t="s">
        <v>40</v>
      </c>
      <c r="G187" s="33">
        <v>5000</v>
      </c>
      <c r="H187" s="33">
        <v>0</v>
      </c>
      <c r="I187" s="33">
        <v>72</v>
      </c>
      <c r="J187" s="33">
        <v>360</v>
      </c>
      <c r="K187" s="33">
        <v>0</v>
      </c>
      <c r="L187" s="33" t="s">
        <v>34</v>
      </c>
      <c r="M187" s="33" t="s">
        <v>23</v>
      </c>
      <c r="N187" s="33">
        <v>5000</v>
      </c>
      <c r="O187" s="33" t="s">
        <v>35</v>
      </c>
      <c r="P187" s="34">
        <v>0.69</v>
      </c>
      <c r="Q187" s="33">
        <v>1.44</v>
      </c>
    </row>
    <row r="188" spans="1:17">
      <c r="A188" s="31" t="s">
        <v>217</v>
      </c>
      <c r="B188" s="31" t="s">
        <v>18</v>
      </c>
      <c r="C188" s="31" t="s">
        <v>19</v>
      </c>
      <c r="D188" s="31">
        <v>0</v>
      </c>
      <c r="E188" s="31" t="s">
        <v>20</v>
      </c>
      <c r="F188" s="31" t="s">
        <v>21</v>
      </c>
      <c r="G188" s="31">
        <v>2221</v>
      </c>
      <c r="H188" s="31">
        <v>0</v>
      </c>
      <c r="I188" s="31">
        <v>60</v>
      </c>
      <c r="J188" s="31">
        <v>360</v>
      </c>
      <c r="K188" s="31">
        <v>0</v>
      </c>
      <c r="L188" s="31" t="s">
        <v>26</v>
      </c>
      <c r="M188" s="31" t="s">
        <v>23</v>
      </c>
      <c r="N188" s="31">
        <v>2221</v>
      </c>
      <c r="O188" s="31" t="s">
        <v>35</v>
      </c>
      <c r="P188" s="32">
        <v>0.37</v>
      </c>
      <c r="Q188" s="31">
        <v>2.70148581719946</v>
      </c>
    </row>
    <row r="189" spans="1:17">
      <c r="A189" s="33" t="s">
        <v>218</v>
      </c>
      <c r="B189" s="33" t="s">
        <v>18</v>
      </c>
      <c r="C189" s="33" t="s">
        <v>19</v>
      </c>
      <c r="D189" s="33">
        <v>2</v>
      </c>
      <c r="E189" s="33" t="s">
        <v>20</v>
      </c>
      <c r="F189" s="33" t="s">
        <v>21</v>
      </c>
      <c r="G189" s="33">
        <v>4009</v>
      </c>
      <c r="H189" s="33">
        <v>1717</v>
      </c>
      <c r="I189" s="33">
        <v>116</v>
      </c>
      <c r="J189" s="33">
        <v>360</v>
      </c>
      <c r="K189" s="33">
        <v>1</v>
      </c>
      <c r="L189" s="33" t="s">
        <v>34</v>
      </c>
      <c r="M189" s="33" t="s">
        <v>27</v>
      </c>
      <c r="N189" s="33">
        <v>5726</v>
      </c>
      <c r="O189" s="33" t="s">
        <v>24</v>
      </c>
      <c r="P189" s="34">
        <v>0.49</v>
      </c>
      <c r="Q189" s="33">
        <v>2.0258470136220748</v>
      </c>
    </row>
    <row r="190" spans="1:17">
      <c r="A190" s="31" t="s">
        <v>219</v>
      </c>
      <c r="B190" s="31" t="s">
        <v>18</v>
      </c>
      <c r="C190" s="31" t="s">
        <v>21</v>
      </c>
      <c r="D190" s="31">
        <v>0</v>
      </c>
      <c r="E190" s="31" t="s">
        <v>20</v>
      </c>
      <c r="F190" s="31" t="s">
        <v>21</v>
      </c>
      <c r="G190" s="31">
        <v>2971</v>
      </c>
      <c r="H190" s="31">
        <v>2791</v>
      </c>
      <c r="I190" s="31">
        <v>144</v>
      </c>
      <c r="J190" s="31">
        <v>360</v>
      </c>
      <c r="K190" s="31">
        <v>1</v>
      </c>
      <c r="L190" s="31" t="s">
        <v>34</v>
      </c>
      <c r="M190" s="31" t="s">
        <v>27</v>
      </c>
      <c r="N190" s="31">
        <v>5762</v>
      </c>
      <c r="O190" s="31" t="s">
        <v>24</v>
      </c>
      <c r="P190" s="32">
        <v>0.4</v>
      </c>
      <c r="Q190" s="31">
        <v>2.4991322457480045</v>
      </c>
    </row>
    <row r="191" spans="1:17">
      <c r="A191" s="33" t="s">
        <v>220</v>
      </c>
      <c r="B191" s="33" t="s">
        <v>18</v>
      </c>
      <c r="C191" s="33" t="s">
        <v>19</v>
      </c>
      <c r="D191" s="33">
        <v>0</v>
      </c>
      <c r="E191" s="33" t="s">
        <v>20</v>
      </c>
      <c r="F191" s="33" t="s">
        <v>21</v>
      </c>
      <c r="G191" s="33">
        <v>6250</v>
      </c>
      <c r="H191" s="33">
        <v>0</v>
      </c>
      <c r="I191" s="33">
        <v>128</v>
      </c>
      <c r="J191" s="33">
        <v>360</v>
      </c>
      <c r="K191" s="33">
        <v>1</v>
      </c>
      <c r="L191" s="33" t="s">
        <v>34</v>
      </c>
      <c r="M191" s="33" t="s">
        <v>27</v>
      </c>
      <c r="N191" s="33">
        <v>6250</v>
      </c>
      <c r="O191" s="33" t="s">
        <v>24</v>
      </c>
      <c r="P191" s="34">
        <v>0.49</v>
      </c>
      <c r="Q191" s="33">
        <v>2.048</v>
      </c>
    </row>
    <row r="192" spans="1:17">
      <c r="A192" s="31" t="s">
        <v>221</v>
      </c>
      <c r="B192" s="31" t="s">
        <v>18</v>
      </c>
      <c r="C192" s="31" t="s">
        <v>19</v>
      </c>
      <c r="D192" s="31">
        <v>0</v>
      </c>
      <c r="E192" s="31" t="s">
        <v>20</v>
      </c>
      <c r="F192" s="31" t="s">
        <v>21</v>
      </c>
      <c r="G192" s="31">
        <v>3250</v>
      </c>
      <c r="H192" s="31">
        <v>0</v>
      </c>
      <c r="I192" s="31">
        <v>170</v>
      </c>
      <c r="J192" s="31">
        <v>360</v>
      </c>
      <c r="K192" s="31">
        <v>1</v>
      </c>
      <c r="L192" s="31" t="s">
        <v>22</v>
      </c>
      <c r="M192" s="31" t="s">
        <v>23</v>
      </c>
      <c r="N192" s="31">
        <v>3250</v>
      </c>
      <c r="O192" s="31" t="s">
        <v>24</v>
      </c>
      <c r="P192" s="32">
        <v>0.19</v>
      </c>
      <c r="Q192" s="31">
        <v>5.2307692307692308</v>
      </c>
    </row>
    <row r="193" spans="1:17">
      <c r="A193" s="33" t="s">
        <v>222</v>
      </c>
      <c r="B193" s="33" t="s">
        <v>18</v>
      </c>
      <c r="C193" s="33" t="s">
        <v>19</v>
      </c>
      <c r="D193" s="33">
        <v>0</v>
      </c>
      <c r="E193" s="33" t="s">
        <v>29</v>
      </c>
      <c r="F193" s="33" t="s">
        <v>19</v>
      </c>
      <c r="G193" s="33">
        <v>4735</v>
      </c>
      <c r="H193" s="33">
        <v>0</v>
      </c>
      <c r="I193" s="33">
        <v>138</v>
      </c>
      <c r="J193" s="33">
        <v>360</v>
      </c>
      <c r="K193" s="33">
        <v>1</v>
      </c>
      <c r="L193" s="33" t="s">
        <v>26</v>
      </c>
      <c r="M193" s="33" t="s">
        <v>23</v>
      </c>
      <c r="N193" s="33">
        <v>4735</v>
      </c>
      <c r="O193" s="33" t="s">
        <v>24</v>
      </c>
      <c r="P193" s="34">
        <v>0.34</v>
      </c>
      <c r="Q193" s="33">
        <v>2.9144667370644139</v>
      </c>
    </row>
    <row r="194" spans="1:17">
      <c r="A194" s="31" t="s">
        <v>223</v>
      </c>
      <c r="B194" s="31" t="s">
        <v>18</v>
      </c>
      <c r="C194" s="31" t="s">
        <v>19</v>
      </c>
      <c r="D194" s="31">
        <v>2</v>
      </c>
      <c r="E194" s="31" t="s">
        <v>20</v>
      </c>
      <c r="F194" s="31" t="s">
        <v>21</v>
      </c>
      <c r="G194" s="31">
        <v>6250</v>
      </c>
      <c r="H194" s="31">
        <v>1695</v>
      </c>
      <c r="I194" s="31">
        <v>210</v>
      </c>
      <c r="J194" s="31">
        <v>360</v>
      </c>
      <c r="K194" s="31">
        <v>1</v>
      </c>
      <c r="L194" s="31" t="s">
        <v>34</v>
      </c>
      <c r="M194" s="31" t="s">
        <v>27</v>
      </c>
      <c r="N194" s="31">
        <v>7945</v>
      </c>
      <c r="O194" s="31" t="s">
        <v>24</v>
      </c>
      <c r="P194" s="32">
        <v>0.38</v>
      </c>
      <c r="Q194" s="31">
        <v>2.643171806167401</v>
      </c>
    </row>
    <row r="195" spans="1:17">
      <c r="A195" s="33" t="s">
        <v>224</v>
      </c>
      <c r="B195" s="33" t="s">
        <v>18</v>
      </c>
      <c r="C195" s="33" t="s">
        <v>40</v>
      </c>
      <c r="D195" s="33">
        <v>0</v>
      </c>
      <c r="E195" s="33" t="s">
        <v>20</v>
      </c>
      <c r="F195" s="33" t="s">
        <v>21</v>
      </c>
      <c r="G195" s="33">
        <v>4758</v>
      </c>
      <c r="H195" s="33">
        <v>0</v>
      </c>
      <c r="I195" s="33">
        <v>158</v>
      </c>
      <c r="J195" s="33">
        <v>480</v>
      </c>
      <c r="K195" s="33">
        <v>1</v>
      </c>
      <c r="L195" s="33" t="s">
        <v>34</v>
      </c>
      <c r="M195" s="33" t="s">
        <v>27</v>
      </c>
      <c r="N195" s="33">
        <v>4758</v>
      </c>
      <c r="O195" s="33" t="s">
        <v>24</v>
      </c>
      <c r="P195" s="34">
        <v>0.3</v>
      </c>
      <c r="Q195" s="33">
        <v>3.3207229928541402</v>
      </c>
    </row>
    <row r="196" spans="1:17">
      <c r="A196" s="31" t="s">
        <v>225</v>
      </c>
      <c r="B196" s="31" t="s">
        <v>18</v>
      </c>
      <c r="C196" s="31" t="s">
        <v>21</v>
      </c>
      <c r="D196" s="31">
        <v>0</v>
      </c>
      <c r="E196" s="31" t="s">
        <v>20</v>
      </c>
      <c r="F196" s="31" t="s">
        <v>19</v>
      </c>
      <c r="G196" s="31">
        <v>6400</v>
      </c>
      <c r="H196" s="31">
        <v>0</v>
      </c>
      <c r="I196" s="31">
        <v>200</v>
      </c>
      <c r="J196" s="31">
        <v>360</v>
      </c>
      <c r="K196" s="31">
        <v>1</v>
      </c>
      <c r="L196" s="31" t="s">
        <v>22</v>
      </c>
      <c r="M196" s="31" t="s">
        <v>27</v>
      </c>
      <c r="N196" s="31">
        <v>6400</v>
      </c>
      <c r="O196" s="31" t="s">
        <v>24</v>
      </c>
      <c r="P196" s="32">
        <v>0.32</v>
      </c>
      <c r="Q196" s="31">
        <v>3.125</v>
      </c>
    </row>
    <row r="197" spans="1:17">
      <c r="A197" s="33" t="s">
        <v>226</v>
      </c>
      <c r="B197" s="33" t="s">
        <v>18</v>
      </c>
      <c r="C197" s="33" t="s">
        <v>19</v>
      </c>
      <c r="D197" s="33">
        <v>1</v>
      </c>
      <c r="E197" s="33" t="s">
        <v>20</v>
      </c>
      <c r="F197" s="33" t="s">
        <v>21</v>
      </c>
      <c r="G197" s="33">
        <v>2491</v>
      </c>
      <c r="H197" s="33">
        <v>2054</v>
      </c>
      <c r="I197" s="33">
        <v>104</v>
      </c>
      <c r="J197" s="33">
        <v>360</v>
      </c>
      <c r="K197" s="33">
        <v>1</v>
      </c>
      <c r="L197" s="33" t="s">
        <v>34</v>
      </c>
      <c r="M197" s="33" t="s">
        <v>27</v>
      </c>
      <c r="N197" s="33">
        <v>4545</v>
      </c>
      <c r="O197" s="33" t="s">
        <v>24</v>
      </c>
      <c r="P197" s="34">
        <v>0.44</v>
      </c>
      <c r="Q197" s="33">
        <v>2.2882288228822882</v>
      </c>
    </row>
    <row r="198" spans="1:17">
      <c r="A198" s="31" t="s">
        <v>227</v>
      </c>
      <c r="B198" s="31" t="s">
        <v>18</v>
      </c>
      <c r="C198" s="31" t="s">
        <v>19</v>
      </c>
      <c r="D198" s="31">
        <v>0</v>
      </c>
      <c r="E198" s="31" t="s">
        <v>20</v>
      </c>
      <c r="F198" s="31" t="s">
        <v>40</v>
      </c>
      <c r="G198" s="31">
        <v>3716</v>
      </c>
      <c r="H198" s="31">
        <v>0</v>
      </c>
      <c r="I198" s="31">
        <v>42</v>
      </c>
      <c r="J198" s="31">
        <v>180</v>
      </c>
      <c r="K198" s="31">
        <v>1</v>
      </c>
      <c r="L198" s="31" t="s">
        <v>22</v>
      </c>
      <c r="M198" s="31" t="s">
        <v>27</v>
      </c>
      <c r="N198" s="31">
        <v>3716</v>
      </c>
      <c r="O198" s="31" t="s">
        <v>24</v>
      </c>
      <c r="P198" s="32">
        <v>0.88</v>
      </c>
      <c r="Q198" s="31">
        <v>1.1302475780409043</v>
      </c>
    </row>
    <row r="199" spans="1:17">
      <c r="A199" s="33" t="s">
        <v>228</v>
      </c>
      <c r="B199" s="33" t="s">
        <v>46</v>
      </c>
      <c r="C199" s="33" t="s">
        <v>21</v>
      </c>
      <c r="D199" s="33">
        <v>0</v>
      </c>
      <c r="E199" s="33" t="s">
        <v>20</v>
      </c>
      <c r="F199" s="33" t="s">
        <v>21</v>
      </c>
      <c r="G199" s="33">
        <v>8333</v>
      </c>
      <c r="H199" s="33">
        <v>0</v>
      </c>
      <c r="I199" s="33">
        <v>280</v>
      </c>
      <c r="J199" s="33">
        <v>360</v>
      </c>
      <c r="K199" s="33">
        <v>1</v>
      </c>
      <c r="L199" s="33" t="s">
        <v>34</v>
      </c>
      <c r="M199" s="33" t="s">
        <v>27</v>
      </c>
      <c r="N199" s="33">
        <v>8333</v>
      </c>
      <c r="O199" s="33" t="s">
        <v>24</v>
      </c>
      <c r="P199" s="34">
        <v>0.3</v>
      </c>
      <c r="Q199" s="33">
        <v>3.3601344053762152</v>
      </c>
    </row>
    <row r="200" spans="1:17">
      <c r="A200" s="31" t="s">
        <v>229</v>
      </c>
      <c r="B200" s="31" t="s">
        <v>18</v>
      </c>
      <c r="C200" s="31" t="s">
        <v>19</v>
      </c>
      <c r="D200" s="31">
        <v>1</v>
      </c>
      <c r="E200" s="31" t="s">
        <v>20</v>
      </c>
      <c r="F200" s="31" t="s">
        <v>21</v>
      </c>
      <c r="G200" s="31">
        <v>3155</v>
      </c>
      <c r="H200" s="31">
        <v>1779</v>
      </c>
      <c r="I200" s="31">
        <v>140</v>
      </c>
      <c r="J200" s="31">
        <v>360</v>
      </c>
      <c r="K200" s="31">
        <v>1</v>
      </c>
      <c r="L200" s="31" t="s">
        <v>34</v>
      </c>
      <c r="M200" s="31" t="s">
        <v>27</v>
      </c>
      <c r="N200" s="31">
        <v>4934</v>
      </c>
      <c r="O200" s="31" t="s">
        <v>24</v>
      </c>
      <c r="P200" s="32">
        <v>0.35</v>
      </c>
      <c r="Q200" s="31">
        <v>2.8374543980543168</v>
      </c>
    </row>
    <row r="201" spans="1:17">
      <c r="A201" s="33" t="s">
        <v>230</v>
      </c>
      <c r="B201" s="33" t="s">
        <v>18</v>
      </c>
      <c r="C201" s="33" t="s">
        <v>19</v>
      </c>
      <c r="D201" s="33">
        <v>1</v>
      </c>
      <c r="E201" s="33" t="s">
        <v>20</v>
      </c>
      <c r="F201" s="33" t="s">
        <v>21</v>
      </c>
      <c r="G201" s="33">
        <v>5500</v>
      </c>
      <c r="H201" s="33">
        <v>1260</v>
      </c>
      <c r="I201" s="33">
        <v>170</v>
      </c>
      <c r="J201" s="33">
        <v>360</v>
      </c>
      <c r="K201" s="33">
        <v>1</v>
      </c>
      <c r="L201" s="33" t="s">
        <v>22</v>
      </c>
      <c r="M201" s="33" t="s">
        <v>27</v>
      </c>
      <c r="N201" s="33">
        <v>6760</v>
      </c>
      <c r="O201" s="33" t="s">
        <v>24</v>
      </c>
      <c r="P201" s="34">
        <v>0.4</v>
      </c>
      <c r="Q201" s="33">
        <v>2.5147928994082842</v>
      </c>
    </row>
    <row r="202" spans="1:17">
      <c r="A202" s="31" t="s">
        <v>231</v>
      </c>
      <c r="B202" s="31" t="s">
        <v>46</v>
      </c>
      <c r="C202" s="31" t="s">
        <v>21</v>
      </c>
      <c r="D202" s="31">
        <v>1</v>
      </c>
      <c r="E202" s="31" t="s">
        <v>20</v>
      </c>
      <c r="F202" s="31" t="s">
        <v>21</v>
      </c>
      <c r="G202" s="31">
        <v>3812</v>
      </c>
      <c r="H202" s="31">
        <v>0</v>
      </c>
      <c r="I202" s="31">
        <v>112</v>
      </c>
      <c r="J202" s="31">
        <v>360</v>
      </c>
      <c r="K202" s="31">
        <v>1</v>
      </c>
      <c r="L202" s="31" t="s">
        <v>22</v>
      </c>
      <c r="M202" s="31" t="s">
        <v>27</v>
      </c>
      <c r="N202" s="31">
        <v>3812</v>
      </c>
      <c r="O202" s="31" t="s">
        <v>24</v>
      </c>
      <c r="P202" s="32">
        <v>0.34</v>
      </c>
      <c r="Q202" s="31">
        <v>2.9380902413431267</v>
      </c>
    </row>
    <row r="203" spans="1:17">
      <c r="A203" s="33" t="s">
        <v>232</v>
      </c>
      <c r="B203" s="33" t="s">
        <v>18</v>
      </c>
      <c r="C203" s="33" t="s">
        <v>19</v>
      </c>
      <c r="D203" s="33">
        <v>1</v>
      </c>
      <c r="E203" s="33" t="s">
        <v>20</v>
      </c>
      <c r="F203" s="33" t="s">
        <v>21</v>
      </c>
      <c r="G203" s="33">
        <v>3315</v>
      </c>
      <c r="H203" s="33">
        <v>0</v>
      </c>
      <c r="I203" s="33">
        <v>96</v>
      </c>
      <c r="J203" s="33">
        <v>360</v>
      </c>
      <c r="K203" s="33">
        <v>1</v>
      </c>
      <c r="L203" s="33" t="s">
        <v>34</v>
      </c>
      <c r="M203" s="33" t="s">
        <v>27</v>
      </c>
      <c r="N203" s="33">
        <v>3315</v>
      </c>
      <c r="O203" s="33" t="s">
        <v>24</v>
      </c>
      <c r="P203" s="34">
        <v>0.35</v>
      </c>
      <c r="Q203" s="33">
        <v>2.8959276018099547</v>
      </c>
    </row>
    <row r="204" spans="1:17">
      <c r="A204" s="31" t="s">
        <v>233</v>
      </c>
      <c r="B204" s="31" t="s">
        <v>18</v>
      </c>
      <c r="C204" s="31" t="s">
        <v>19</v>
      </c>
      <c r="D204" s="31">
        <v>2</v>
      </c>
      <c r="E204" s="31" t="s">
        <v>20</v>
      </c>
      <c r="F204" s="31" t="s">
        <v>21</v>
      </c>
      <c r="G204" s="31">
        <v>5819</v>
      </c>
      <c r="H204" s="31">
        <v>5000</v>
      </c>
      <c r="I204" s="31">
        <v>120</v>
      </c>
      <c r="J204" s="31">
        <v>360</v>
      </c>
      <c r="K204" s="31">
        <v>1</v>
      </c>
      <c r="L204" s="31" t="s">
        <v>22</v>
      </c>
      <c r="M204" s="31" t="s">
        <v>27</v>
      </c>
      <c r="N204" s="31">
        <v>10819</v>
      </c>
      <c r="O204" s="31" t="s">
        <v>24</v>
      </c>
      <c r="P204" s="32">
        <v>0.9</v>
      </c>
      <c r="Q204" s="31">
        <v>1.109159811442832</v>
      </c>
    </row>
    <row r="205" spans="1:17">
      <c r="A205" s="33" t="s">
        <v>234</v>
      </c>
      <c r="B205" s="33" t="s">
        <v>18</v>
      </c>
      <c r="C205" s="33" t="s">
        <v>19</v>
      </c>
      <c r="D205" s="33">
        <v>1</v>
      </c>
      <c r="E205" s="33" t="s">
        <v>29</v>
      </c>
      <c r="F205" s="33" t="s">
        <v>21</v>
      </c>
      <c r="G205" s="33">
        <v>2510</v>
      </c>
      <c r="H205" s="33">
        <v>1983</v>
      </c>
      <c r="I205" s="33">
        <v>140</v>
      </c>
      <c r="J205" s="33">
        <v>180</v>
      </c>
      <c r="K205" s="33">
        <v>1</v>
      </c>
      <c r="L205" s="33" t="s">
        <v>26</v>
      </c>
      <c r="M205" s="33" t="s">
        <v>23</v>
      </c>
      <c r="N205" s="33">
        <v>4493</v>
      </c>
      <c r="O205" s="33" t="s">
        <v>24</v>
      </c>
      <c r="P205" s="34">
        <v>0.32</v>
      </c>
      <c r="Q205" s="33">
        <v>3.1159581571333184</v>
      </c>
    </row>
    <row r="206" spans="1:17">
      <c r="A206" s="31" t="s">
        <v>235</v>
      </c>
      <c r="B206" s="31" t="s">
        <v>18</v>
      </c>
      <c r="C206" s="31" t="s">
        <v>21</v>
      </c>
      <c r="D206" s="31">
        <v>0</v>
      </c>
      <c r="E206" s="31" t="s">
        <v>20</v>
      </c>
      <c r="F206" s="31" t="s">
        <v>21</v>
      </c>
      <c r="G206" s="31">
        <v>2965</v>
      </c>
      <c r="H206" s="31">
        <v>5701</v>
      </c>
      <c r="I206" s="31">
        <v>155</v>
      </c>
      <c r="J206" s="31">
        <v>60</v>
      </c>
      <c r="K206" s="31">
        <v>1</v>
      </c>
      <c r="L206" s="31" t="s">
        <v>26</v>
      </c>
      <c r="M206" s="31" t="s">
        <v>27</v>
      </c>
      <c r="N206" s="31">
        <v>8666</v>
      </c>
      <c r="O206" s="31" t="s">
        <v>24</v>
      </c>
      <c r="P206" s="32">
        <v>0.56000000000000005</v>
      </c>
      <c r="Q206" s="31">
        <v>1.7885991230094624</v>
      </c>
    </row>
    <row r="207" spans="1:17">
      <c r="A207" s="33" t="s">
        <v>236</v>
      </c>
      <c r="B207" s="33" t="s">
        <v>18</v>
      </c>
      <c r="C207" s="33" t="s">
        <v>19</v>
      </c>
      <c r="D207" s="33">
        <v>2</v>
      </c>
      <c r="E207" s="33" t="s">
        <v>20</v>
      </c>
      <c r="F207" s="33" t="s">
        <v>19</v>
      </c>
      <c r="G207" s="33">
        <v>6250</v>
      </c>
      <c r="H207" s="33">
        <v>1300</v>
      </c>
      <c r="I207" s="33">
        <v>108</v>
      </c>
      <c r="J207" s="33">
        <v>360</v>
      </c>
      <c r="K207" s="33">
        <v>1</v>
      </c>
      <c r="L207" s="33" t="s">
        <v>22</v>
      </c>
      <c r="M207" s="33" t="s">
        <v>27</v>
      </c>
      <c r="N207" s="33">
        <v>7550</v>
      </c>
      <c r="O207" s="33" t="s">
        <v>24</v>
      </c>
      <c r="P207" s="34">
        <v>0.7</v>
      </c>
      <c r="Q207" s="33">
        <v>1.4304635761589404</v>
      </c>
    </row>
    <row r="208" spans="1:17">
      <c r="A208" s="31" t="s">
        <v>237</v>
      </c>
      <c r="B208" s="31" t="s">
        <v>18</v>
      </c>
      <c r="C208" s="31" t="s">
        <v>19</v>
      </c>
      <c r="D208" s="31">
        <v>0</v>
      </c>
      <c r="E208" s="31" t="s">
        <v>29</v>
      </c>
      <c r="F208" s="31" t="s">
        <v>21</v>
      </c>
      <c r="G208" s="31">
        <v>3406</v>
      </c>
      <c r="H208" s="31">
        <v>4417</v>
      </c>
      <c r="I208" s="31">
        <v>123</v>
      </c>
      <c r="J208" s="31">
        <v>360</v>
      </c>
      <c r="K208" s="31">
        <v>1</v>
      </c>
      <c r="L208" s="31" t="s">
        <v>34</v>
      </c>
      <c r="M208" s="31" t="s">
        <v>27</v>
      </c>
      <c r="N208" s="31">
        <v>7823</v>
      </c>
      <c r="O208" s="31" t="s">
        <v>24</v>
      </c>
      <c r="P208" s="32">
        <v>0.64</v>
      </c>
      <c r="Q208" s="31">
        <v>1.5722868464783331</v>
      </c>
    </row>
    <row r="209" spans="1:17">
      <c r="A209" s="33" t="s">
        <v>238</v>
      </c>
      <c r="B209" s="33" t="s">
        <v>18</v>
      </c>
      <c r="C209" s="33" t="s">
        <v>21</v>
      </c>
      <c r="D209" s="33">
        <v>0</v>
      </c>
      <c r="E209" s="33" t="s">
        <v>20</v>
      </c>
      <c r="F209" s="33" t="s">
        <v>19</v>
      </c>
      <c r="G209" s="33">
        <v>6050</v>
      </c>
      <c r="H209" s="33">
        <v>4333</v>
      </c>
      <c r="I209" s="33">
        <v>120</v>
      </c>
      <c r="J209" s="33">
        <v>180</v>
      </c>
      <c r="K209" s="33">
        <v>1</v>
      </c>
      <c r="L209" s="33" t="s">
        <v>26</v>
      </c>
      <c r="M209" s="33" t="s">
        <v>23</v>
      </c>
      <c r="N209" s="33">
        <v>10383</v>
      </c>
      <c r="O209" s="33" t="s">
        <v>24</v>
      </c>
      <c r="P209" s="34">
        <v>0.87</v>
      </c>
      <c r="Q209" s="33">
        <v>1.1557353366079168</v>
      </c>
    </row>
    <row r="210" spans="1:17">
      <c r="A210" s="31" t="s">
        <v>239</v>
      </c>
      <c r="B210" s="31" t="s">
        <v>18</v>
      </c>
      <c r="C210" s="31" t="s">
        <v>19</v>
      </c>
      <c r="D210" s="31">
        <v>2</v>
      </c>
      <c r="E210" s="31" t="s">
        <v>20</v>
      </c>
      <c r="F210" s="31" t="s">
        <v>21</v>
      </c>
      <c r="G210" s="31">
        <v>9703</v>
      </c>
      <c r="H210" s="31">
        <v>0</v>
      </c>
      <c r="I210" s="31">
        <v>112</v>
      </c>
      <c r="J210" s="31">
        <v>360</v>
      </c>
      <c r="K210" s="31">
        <v>1</v>
      </c>
      <c r="L210" s="31" t="s">
        <v>26</v>
      </c>
      <c r="M210" s="31" t="s">
        <v>27</v>
      </c>
      <c r="N210" s="31">
        <v>9703</v>
      </c>
      <c r="O210" s="31" t="s">
        <v>24</v>
      </c>
      <c r="P210" s="32">
        <v>0.87</v>
      </c>
      <c r="Q210" s="31">
        <v>1.1542821807688344</v>
      </c>
    </row>
    <row r="211" spans="1:17">
      <c r="A211" s="33" t="s">
        <v>240</v>
      </c>
      <c r="B211" s="33" t="s">
        <v>18</v>
      </c>
      <c r="C211" s="33" t="s">
        <v>19</v>
      </c>
      <c r="D211" s="33">
        <v>1</v>
      </c>
      <c r="E211" s="33" t="s">
        <v>29</v>
      </c>
      <c r="F211" s="33" t="s">
        <v>21</v>
      </c>
      <c r="G211" s="33">
        <v>6608</v>
      </c>
      <c r="H211" s="33">
        <v>0</v>
      </c>
      <c r="I211" s="33">
        <v>137</v>
      </c>
      <c r="J211" s="33">
        <v>180</v>
      </c>
      <c r="K211" s="33">
        <v>1</v>
      </c>
      <c r="L211" s="33" t="s">
        <v>26</v>
      </c>
      <c r="M211" s="33" t="s">
        <v>27</v>
      </c>
      <c r="N211" s="33">
        <v>6608</v>
      </c>
      <c r="O211" s="33" t="s">
        <v>24</v>
      </c>
      <c r="P211" s="34">
        <v>0.48</v>
      </c>
      <c r="Q211" s="33">
        <v>2.0732445520581115</v>
      </c>
    </row>
    <row r="212" spans="1:17">
      <c r="A212" s="31" t="s">
        <v>241</v>
      </c>
      <c r="B212" s="31" t="s">
        <v>18</v>
      </c>
      <c r="C212" s="31" t="s">
        <v>19</v>
      </c>
      <c r="D212" s="31">
        <v>1</v>
      </c>
      <c r="E212" s="31" t="s">
        <v>20</v>
      </c>
      <c r="F212" s="31" t="s">
        <v>21</v>
      </c>
      <c r="G212" s="31">
        <v>2882</v>
      </c>
      <c r="H212" s="31">
        <v>1843</v>
      </c>
      <c r="I212" s="31">
        <v>123</v>
      </c>
      <c r="J212" s="31">
        <v>480</v>
      </c>
      <c r="K212" s="31">
        <v>1</v>
      </c>
      <c r="L212" s="31" t="s">
        <v>34</v>
      </c>
      <c r="M212" s="31" t="s">
        <v>27</v>
      </c>
      <c r="N212" s="31">
        <v>4725</v>
      </c>
      <c r="O212" s="31" t="s">
        <v>24</v>
      </c>
      <c r="P212" s="32">
        <v>0.38</v>
      </c>
      <c r="Q212" s="31">
        <v>2.6031746031746033</v>
      </c>
    </row>
    <row r="213" spans="1:17">
      <c r="A213" s="33" t="s">
        <v>242</v>
      </c>
      <c r="B213" s="33" t="s">
        <v>18</v>
      </c>
      <c r="C213" s="33" t="s">
        <v>19</v>
      </c>
      <c r="D213" s="33">
        <v>0</v>
      </c>
      <c r="E213" s="33" t="s">
        <v>20</v>
      </c>
      <c r="F213" s="33" t="s">
        <v>21</v>
      </c>
      <c r="G213" s="33">
        <v>1809</v>
      </c>
      <c r="H213" s="33">
        <v>1868</v>
      </c>
      <c r="I213" s="33">
        <v>90</v>
      </c>
      <c r="J213" s="33">
        <v>360</v>
      </c>
      <c r="K213" s="33">
        <v>1</v>
      </c>
      <c r="L213" s="33" t="s">
        <v>26</v>
      </c>
      <c r="M213" s="33" t="s">
        <v>27</v>
      </c>
      <c r="N213" s="33">
        <v>3677</v>
      </c>
      <c r="O213" s="33" t="s">
        <v>24</v>
      </c>
      <c r="P213" s="34">
        <v>0.41</v>
      </c>
      <c r="Q213" s="33">
        <v>2.4476475387544192</v>
      </c>
    </row>
    <row r="214" spans="1:17">
      <c r="A214" s="31" t="s">
        <v>243</v>
      </c>
      <c r="B214" s="31" t="s">
        <v>18</v>
      </c>
      <c r="C214" s="31" t="s">
        <v>19</v>
      </c>
      <c r="D214" s="31">
        <v>0</v>
      </c>
      <c r="E214" s="31" t="s">
        <v>29</v>
      </c>
      <c r="F214" s="31" t="s">
        <v>21</v>
      </c>
      <c r="G214" s="31">
        <v>1668</v>
      </c>
      <c r="H214" s="31">
        <v>3890</v>
      </c>
      <c r="I214" s="31">
        <v>201</v>
      </c>
      <c r="J214" s="31">
        <v>360</v>
      </c>
      <c r="K214" s="31">
        <v>0</v>
      </c>
      <c r="L214" s="31" t="s">
        <v>34</v>
      </c>
      <c r="M214" s="31" t="s">
        <v>23</v>
      </c>
      <c r="N214" s="31">
        <v>5558</v>
      </c>
      <c r="O214" s="31" t="s">
        <v>35</v>
      </c>
      <c r="P214" s="32">
        <v>0.28000000000000003</v>
      </c>
      <c r="Q214" s="31">
        <v>3.6164087801367399</v>
      </c>
    </row>
    <row r="215" spans="1:17">
      <c r="A215" s="33" t="s">
        <v>244</v>
      </c>
      <c r="B215" s="33" t="s">
        <v>46</v>
      </c>
      <c r="C215" s="33" t="s">
        <v>21</v>
      </c>
      <c r="D215" s="33">
        <v>2</v>
      </c>
      <c r="E215" s="33" t="s">
        <v>20</v>
      </c>
      <c r="F215" s="33" t="s">
        <v>21</v>
      </c>
      <c r="G215" s="33">
        <v>3427</v>
      </c>
      <c r="H215" s="33">
        <v>0</v>
      </c>
      <c r="I215" s="33">
        <v>138</v>
      </c>
      <c r="J215" s="33">
        <v>360</v>
      </c>
      <c r="K215" s="33">
        <v>1</v>
      </c>
      <c r="L215" s="33" t="s">
        <v>26</v>
      </c>
      <c r="M215" s="33" t="s">
        <v>23</v>
      </c>
      <c r="N215" s="33">
        <v>3427</v>
      </c>
      <c r="O215" s="33" t="s">
        <v>24</v>
      </c>
      <c r="P215" s="34">
        <v>0.25</v>
      </c>
      <c r="Q215" s="33">
        <v>4.0268456375838921</v>
      </c>
    </row>
    <row r="216" spans="1:17">
      <c r="A216" s="31" t="s">
        <v>245</v>
      </c>
      <c r="B216" s="31" t="s">
        <v>18</v>
      </c>
      <c r="C216" s="31" t="s">
        <v>21</v>
      </c>
      <c r="D216" s="31">
        <v>0</v>
      </c>
      <c r="E216" s="31" t="s">
        <v>29</v>
      </c>
      <c r="F216" s="31" t="s">
        <v>19</v>
      </c>
      <c r="G216" s="31">
        <v>2583</v>
      </c>
      <c r="H216" s="31">
        <v>2167</v>
      </c>
      <c r="I216" s="31">
        <v>104</v>
      </c>
      <c r="J216" s="31">
        <v>360</v>
      </c>
      <c r="K216" s="31">
        <v>1</v>
      </c>
      <c r="L216" s="31" t="s">
        <v>22</v>
      </c>
      <c r="M216" s="31" t="s">
        <v>27</v>
      </c>
      <c r="N216" s="31">
        <v>4750</v>
      </c>
      <c r="O216" s="31" t="s">
        <v>24</v>
      </c>
      <c r="P216" s="32">
        <v>0.46</v>
      </c>
      <c r="Q216" s="31">
        <v>2.189473684210526</v>
      </c>
    </row>
    <row r="217" spans="1:17">
      <c r="A217" s="33" t="s">
        <v>246</v>
      </c>
      <c r="B217" s="33" t="s">
        <v>18</v>
      </c>
      <c r="C217" s="33" t="s">
        <v>19</v>
      </c>
      <c r="D217" s="33">
        <v>1</v>
      </c>
      <c r="E217" s="33" t="s">
        <v>29</v>
      </c>
      <c r="F217" s="33" t="s">
        <v>21</v>
      </c>
      <c r="G217" s="33">
        <v>2661</v>
      </c>
      <c r="H217" s="33">
        <v>7101</v>
      </c>
      <c r="I217" s="33">
        <v>279</v>
      </c>
      <c r="J217" s="33">
        <v>180</v>
      </c>
      <c r="K217" s="33">
        <v>1</v>
      </c>
      <c r="L217" s="33" t="s">
        <v>34</v>
      </c>
      <c r="M217" s="33" t="s">
        <v>27</v>
      </c>
      <c r="N217" s="33">
        <v>9762</v>
      </c>
      <c r="O217" s="33" t="s">
        <v>24</v>
      </c>
      <c r="P217" s="34">
        <v>0.35</v>
      </c>
      <c r="Q217" s="33">
        <v>2.8580208973570991</v>
      </c>
    </row>
    <row r="218" spans="1:17">
      <c r="A218" s="31" t="s">
        <v>247</v>
      </c>
      <c r="B218" s="31" t="s">
        <v>18</v>
      </c>
      <c r="C218" s="31" t="s">
        <v>21</v>
      </c>
      <c r="D218" s="31">
        <v>0</v>
      </c>
      <c r="E218" s="31" t="s">
        <v>20</v>
      </c>
      <c r="F218" s="31" t="s">
        <v>19</v>
      </c>
      <c r="G218" s="31">
        <v>16250</v>
      </c>
      <c r="H218" s="31">
        <v>0</v>
      </c>
      <c r="I218" s="31">
        <v>192</v>
      </c>
      <c r="J218" s="31">
        <v>360</v>
      </c>
      <c r="K218" s="31">
        <v>0</v>
      </c>
      <c r="L218" s="31" t="s">
        <v>26</v>
      </c>
      <c r="M218" s="31" t="s">
        <v>23</v>
      </c>
      <c r="N218" s="31">
        <v>16250</v>
      </c>
      <c r="O218" s="31" t="s">
        <v>35</v>
      </c>
      <c r="P218" s="32">
        <v>0.85</v>
      </c>
      <c r="Q218" s="31">
        <v>1.1815384615384614</v>
      </c>
    </row>
    <row r="219" spans="1:17">
      <c r="A219" s="33" t="s">
        <v>248</v>
      </c>
      <c r="B219" s="33" t="s">
        <v>46</v>
      </c>
      <c r="C219" s="33" t="s">
        <v>21</v>
      </c>
      <c r="D219" s="33">
        <v>3</v>
      </c>
      <c r="E219" s="33" t="s">
        <v>20</v>
      </c>
      <c r="F219" s="33" t="s">
        <v>21</v>
      </c>
      <c r="G219" s="33">
        <v>3083</v>
      </c>
      <c r="H219" s="33">
        <v>0</v>
      </c>
      <c r="I219" s="33">
        <v>255</v>
      </c>
      <c r="J219" s="33">
        <v>360</v>
      </c>
      <c r="K219" s="33">
        <v>1</v>
      </c>
      <c r="L219" s="33" t="s">
        <v>22</v>
      </c>
      <c r="M219" s="33" t="s">
        <v>27</v>
      </c>
      <c r="N219" s="33">
        <v>3083</v>
      </c>
      <c r="O219" s="33" t="s">
        <v>24</v>
      </c>
      <c r="P219" s="34">
        <v>0.12</v>
      </c>
      <c r="Q219" s="33">
        <v>8.2711644502108346</v>
      </c>
    </row>
    <row r="220" spans="1:17">
      <c r="A220" s="31" t="s">
        <v>249</v>
      </c>
      <c r="B220" s="31" t="s">
        <v>18</v>
      </c>
      <c r="C220" s="31" t="s">
        <v>21</v>
      </c>
      <c r="D220" s="31">
        <v>0</v>
      </c>
      <c r="E220" s="31" t="s">
        <v>29</v>
      </c>
      <c r="F220" s="31" t="s">
        <v>21</v>
      </c>
      <c r="G220" s="31">
        <v>6045</v>
      </c>
      <c r="H220" s="31">
        <v>0</v>
      </c>
      <c r="I220" s="31">
        <v>115</v>
      </c>
      <c r="J220" s="31">
        <v>360</v>
      </c>
      <c r="K220" s="31">
        <v>0</v>
      </c>
      <c r="L220" s="31" t="s">
        <v>22</v>
      </c>
      <c r="M220" s="31" t="s">
        <v>23</v>
      </c>
      <c r="N220" s="31">
        <v>6045</v>
      </c>
      <c r="O220" s="31" t="s">
        <v>35</v>
      </c>
      <c r="P220" s="32">
        <v>0.53</v>
      </c>
      <c r="Q220" s="31">
        <v>1.9023986765922249</v>
      </c>
    </row>
    <row r="221" spans="1:17">
      <c r="A221" s="33" t="s">
        <v>250</v>
      </c>
      <c r="B221" s="33" t="s">
        <v>18</v>
      </c>
      <c r="C221" s="33" t="s">
        <v>19</v>
      </c>
      <c r="D221" s="33">
        <v>3</v>
      </c>
      <c r="E221" s="33" t="s">
        <v>20</v>
      </c>
      <c r="F221" s="33" t="s">
        <v>21</v>
      </c>
      <c r="G221" s="33">
        <v>5250</v>
      </c>
      <c r="H221" s="33">
        <v>0</v>
      </c>
      <c r="I221" s="33">
        <v>94</v>
      </c>
      <c r="J221" s="33">
        <v>360</v>
      </c>
      <c r="K221" s="33">
        <v>1</v>
      </c>
      <c r="L221" s="33" t="s">
        <v>26</v>
      </c>
      <c r="M221" s="33" t="s">
        <v>23</v>
      </c>
      <c r="N221" s="33">
        <v>5250</v>
      </c>
      <c r="O221" s="33" t="s">
        <v>24</v>
      </c>
      <c r="P221" s="34">
        <v>0.56000000000000005</v>
      </c>
      <c r="Q221" s="33">
        <v>1.7904761904761906</v>
      </c>
    </row>
    <row r="222" spans="1:17">
      <c r="A222" s="31" t="s">
        <v>251</v>
      </c>
      <c r="B222" s="31" t="s">
        <v>18</v>
      </c>
      <c r="C222" s="31" t="s">
        <v>19</v>
      </c>
      <c r="D222" s="31">
        <v>0</v>
      </c>
      <c r="E222" s="31" t="s">
        <v>20</v>
      </c>
      <c r="F222" s="31" t="s">
        <v>21</v>
      </c>
      <c r="G222" s="31">
        <v>14683</v>
      </c>
      <c r="H222" s="31">
        <v>2100</v>
      </c>
      <c r="I222" s="31">
        <v>304</v>
      </c>
      <c r="J222" s="31">
        <v>360</v>
      </c>
      <c r="K222" s="31">
        <v>1</v>
      </c>
      <c r="L222" s="31" t="s">
        <v>22</v>
      </c>
      <c r="M222" s="31" t="s">
        <v>23</v>
      </c>
      <c r="N222" s="31">
        <v>16783</v>
      </c>
      <c r="O222" s="31" t="s">
        <v>24</v>
      </c>
      <c r="P222" s="32">
        <v>0.55000000000000004</v>
      </c>
      <c r="Q222" s="31">
        <v>1.8113567300244295</v>
      </c>
    </row>
    <row r="223" spans="1:17">
      <c r="A223" s="33" t="s">
        <v>252</v>
      </c>
      <c r="B223" s="33" t="s">
        <v>18</v>
      </c>
      <c r="C223" s="33" t="s">
        <v>21</v>
      </c>
      <c r="D223" s="33">
        <v>0</v>
      </c>
      <c r="E223" s="33" t="s">
        <v>20</v>
      </c>
      <c r="F223" s="33" t="s">
        <v>21</v>
      </c>
      <c r="G223" s="33">
        <v>2060</v>
      </c>
      <c r="H223" s="33">
        <v>2209</v>
      </c>
      <c r="I223" s="33">
        <v>134</v>
      </c>
      <c r="J223" s="33">
        <v>360</v>
      </c>
      <c r="K223" s="33">
        <v>1</v>
      </c>
      <c r="L223" s="33" t="s">
        <v>34</v>
      </c>
      <c r="M223" s="33" t="s">
        <v>27</v>
      </c>
      <c r="N223" s="33">
        <v>4269</v>
      </c>
      <c r="O223" s="33" t="s">
        <v>24</v>
      </c>
      <c r="P223" s="34">
        <v>0.32</v>
      </c>
      <c r="Q223" s="33">
        <v>3.1389084094635749</v>
      </c>
    </row>
    <row r="224" spans="1:17">
      <c r="A224" s="31" t="s">
        <v>253</v>
      </c>
      <c r="B224" s="31" t="s">
        <v>46</v>
      </c>
      <c r="C224" s="31" t="s">
        <v>21</v>
      </c>
      <c r="D224" s="31">
        <v>1</v>
      </c>
      <c r="E224" s="31" t="s">
        <v>20</v>
      </c>
      <c r="F224" s="31" t="s">
        <v>21</v>
      </c>
      <c r="G224" s="31">
        <v>3481</v>
      </c>
      <c r="H224" s="31">
        <v>0</v>
      </c>
      <c r="I224" s="31">
        <v>155</v>
      </c>
      <c r="J224" s="31">
        <v>36</v>
      </c>
      <c r="K224" s="31">
        <v>1</v>
      </c>
      <c r="L224" s="31" t="s">
        <v>34</v>
      </c>
      <c r="M224" s="31" t="s">
        <v>23</v>
      </c>
      <c r="N224" s="31">
        <v>3481</v>
      </c>
      <c r="O224" s="31" t="s">
        <v>24</v>
      </c>
      <c r="P224" s="32">
        <v>0.22</v>
      </c>
      <c r="Q224" s="31">
        <v>4.4527434645216895</v>
      </c>
    </row>
    <row r="225" spans="1:17">
      <c r="A225" s="33" t="s">
        <v>254</v>
      </c>
      <c r="B225" s="33" t="s">
        <v>46</v>
      </c>
      <c r="C225" s="33" t="s">
        <v>21</v>
      </c>
      <c r="D225" s="33">
        <v>0</v>
      </c>
      <c r="E225" s="33" t="s">
        <v>20</v>
      </c>
      <c r="F225" s="33" t="s">
        <v>21</v>
      </c>
      <c r="G225" s="33">
        <v>7200</v>
      </c>
      <c r="H225" s="33">
        <v>0</v>
      </c>
      <c r="I225" s="33">
        <v>120</v>
      </c>
      <c r="J225" s="33">
        <v>360</v>
      </c>
      <c r="K225" s="33">
        <v>1</v>
      </c>
      <c r="L225" s="33" t="s">
        <v>22</v>
      </c>
      <c r="M225" s="33" t="s">
        <v>27</v>
      </c>
      <c r="N225" s="33">
        <v>7200</v>
      </c>
      <c r="O225" s="33" t="s">
        <v>24</v>
      </c>
      <c r="P225" s="34">
        <v>0.6</v>
      </c>
      <c r="Q225" s="33">
        <v>1.6666666666666667</v>
      </c>
    </row>
    <row r="226" spans="1:17">
      <c r="A226" s="31" t="s">
        <v>255</v>
      </c>
      <c r="B226" s="31" t="s">
        <v>18</v>
      </c>
      <c r="C226" s="31" t="s">
        <v>21</v>
      </c>
      <c r="D226" s="31">
        <v>0</v>
      </c>
      <c r="E226" s="31" t="s">
        <v>20</v>
      </c>
      <c r="F226" s="31" t="s">
        <v>19</v>
      </c>
      <c r="G226" s="31">
        <v>5166</v>
      </c>
      <c r="H226" s="31">
        <v>0</v>
      </c>
      <c r="I226" s="31">
        <v>128</v>
      </c>
      <c r="J226" s="31">
        <v>360</v>
      </c>
      <c r="K226" s="31">
        <v>1</v>
      </c>
      <c r="L226" s="31" t="s">
        <v>34</v>
      </c>
      <c r="M226" s="31" t="s">
        <v>27</v>
      </c>
      <c r="N226" s="31">
        <v>5166</v>
      </c>
      <c r="O226" s="31" t="s">
        <v>24</v>
      </c>
      <c r="P226" s="32">
        <v>0.4</v>
      </c>
      <c r="Q226" s="31">
        <v>2.4777390631049165</v>
      </c>
    </row>
    <row r="227" spans="1:17">
      <c r="A227" s="33" t="s">
        <v>256</v>
      </c>
      <c r="B227" s="33" t="s">
        <v>18</v>
      </c>
      <c r="C227" s="33" t="s">
        <v>21</v>
      </c>
      <c r="D227" s="33">
        <v>0</v>
      </c>
      <c r="E227" s="33" t="s">
        <v>20</v>
      </c>
      <c r="F227" s="33" t="s">
        <v>21</v>
      </c>
      <c r="G227" s="33">
        <v>4095</v>
      </c>
      <c r="H227" s="33">
        <v>3447</v>
      </c>
      <c r="I227" s="33">
        <v>151</v>
      </c>
      <c r="J227" s="33">
        <v>360</v>
      </c>
      <c r="K227" s="33">
        <v>1</v>
      </c>
      <c r="L227" s="33" t="s">
        <v>22</v>
      </c>
      <c r="M227" s="33" t="s">
        <v>27</v>
      </c>
      <c r="N227" s="33">
        <v>7542</v>
      </c>
      <c r="O227" s="33" t="s">
        <v>24</v>
      </c>
      <c r="P227" s="34">
        <v>0.5</v>
      </c>
      <c r="Q227" s="33">
        <v>2.0021214531954388</v>
      </c>
    </row>
    <row r="228" spans="1:17">
      <c r="A228" s="31" t="s">
        <v>257</v>
      </c>
      <c r="B228" s="31" t="s">
        <v>18</v>
      </c>
      <c r="C228" s="31" t="s">
        <v>19</v>
      </c>
      <c r="D228" s="31">
        <v>2</v>
      </c>
      <c r="E228" s="31" t="s">
        <v>20</v>
      </c>
      <c r="F228" s="31" t="s">
        <v>21</v>
      </c>
      <c r="G228" s="31">
        <v>4708</v>
      </c>
      <c r="H228" s="31">
        <v>1387</v>
      </c>
      <c r="I228" s="31">
        <v>150</v>
      </c>
      <c r="J228" s="31">
        <v>360</v>
      </c>
      <c r="K228" s="31">
        <v>1</v>
      </c>
      <c r="L228" s="31" t="s">
        <v>34</v>
      </c>
      <c r="M228" s="31" t="s">
        <v>27</v>
      </c>
      <c r="N228" s="31">
        <v>6095</v>
      </c>
      <c r="O228" s="31" t="s">
        <v>24</v>
      </c>
      <c r="P228" s="32">
        <v>0.41</v>
      </c>
      <c r="Q228" s="31">
        <v>2.4610336341263328</v>
      </c>
    </row>
    <row r="229" spans="1:17">
      <c r="A229" s="33" t="s">
        <v>258</v>
      </c>
      <c r="B229" s="33" t="s">
        <v>18</v>
      </c>
      <c r="C229" s="33" t="s">
        <v>19</v>
      </c>
      <c r="D229" s="33">
        <v>3</v>
      </c>
      <c r="E229" s="33" t="s">
        <v>20</v>
      </c>
      <c r="F229" s="33" t="s">
        <v>21</v>
      </c>
      <c r="G229" s="33">
        <v>4333</v>
      </c>
      <c r="H229" s="33">
        <v>1811</v>
      </c>
      <c r="I229" s="33">
        <v>160</v>
      </c>
      <c r="J229" s="33">
        <v>360</v>
      </c>
      <c r="K229" s="33">
        <v>0</v>
      </c>
      <c r="L229" s="33" t="s">
        <v>26</v>
      </c>
      <c r="M229" s="33" t="s">
        <v>27</v>
      </c>
      <c r="N229" s="33">
        <v>6144</v>
      </c>
      <c r="O229" s="33" t="s">
        <v>35</v>
      </c>
      <c r="P229" s="34">
        <v>0.38</v>
      </c>
      <c r="Q229" s="33">
        <v>2.604166666666667</v>
      </c>
    </row>
    <row r="230" spans="1:17">
      <c r="A230" s="31" t="s">
        <v>259</v>
      </c>
      <c r="B230" s="31" t="s">
        <v>46</v>
      </c>
      <c r="C230" s="31" t="s">
        <v>21</v>
      </c>
      <c r="D230" s="31">
        <v>0</v>
      </c>
      <c r="E230" s="31" t="s">
        <v>20</v>
      </c>
      <c r="F230" s="31" t="s">
        <v>40</v>
      </c>
      <c r="G230" s="31">
        <v>3418</v>
      </c>
      <c r="H230" s="31">
        <v>0</v>
      </c>
      <c r="I230" s="31">
        <v>135</v>
      </c>
      <c r="J230" s="31">
        <v>360</v>
      </c>
      <c r="K230" s="31">
        <v>1</v>
      </c>
      <c r="L230" s="31" t="s">
        <v>22</v>
      </c>
      <c r="M230" s="31" t="s">
        <v>23</v>
      </c>
      <c r="N230" s="31">
        <v>3418</v>
      </c>
      <c r="O230" s="31" t="s">
        <v>24</v>
      </c>
      <c r="P230" s="32">
        <v>0.25</v>
      </c>
      <c r="Q230" s="31">
        <v>3.9496781743709768</v>
      </c>
    </row>
    <row r="231" spans="1:17">
      <c r="A231" s="33" t="s">
        <v>260</v>
      </c>
      <c r="B231" s="33" t="s">
        <v>46</v>
      </c>
      <c r="C231" s="33" t="s">
        <v>21</v>
      </c>
      <c r="D231" s="33">
        <v>1</v>
      </c>
      <c r="E231" s="33" t="s">
        <v>20</v>
      </c>
      <c r="F231" s="33" t="s">
        <v>21</v>
      </c>
      <c r="G231" s="33">
        <v>2876</v>
      </c>
      <c r="H231" s="33">
        <v>1560</v>
      </c>
      <c r="I231" s="33">
        <v>90</v>
      </c>
      <c r="J231" s="33">
        <v>360</v>
      </c>
      <c r="K231" s="33">
        <v>1</v>
      </c>
      <c r="L231" s="33" t="s">
        <v>26</v>
      </c>
      <c r="M231" s="33" t="s">
        <v>27</v>
      </c>
      <c r="N231" s="33">
        <v>4436</v>
      </c>
      <c r="O231" s="33" t="s">
        <v>24</v>
      </c>
      <c r="P231" s="34">
        <v>0.49</v>
      </c>
      <c r="Q231" s="33">
        <v>2.028854824165915</v>
      </c>
    </row>
    <row r="232" spans="1:17">
      <c r="A232" s="31" t="s">
        <v>261</v>
      </c>
      <c r="B232" s="31" t="s">
        <v>46</v>
      </c>
      <c r="C232" s="31" t="s">
        <v>21</v>
      </c>
      <c r="D232" s="31">
        <v>0</v>
      </c>
      <c r="E232" s="31" t="s">
        <v>20</v>
      </c>
      <c r="F232" s="31" t="s">
        <v>21</v>
      </c>
      <c r="G232" s="31">
        <v>3237</v>
      </c>
      <c r="H232" s="31">
        <v>0</v>
      </c>
      <c r="I232" s="31">
        <v>30</v>
      </c>
      <c r="J232" s="31">
        <v>360</v>
      </c>
      <c r="K232" s="31">
        <v>1</v>
      </c>
      <c r="L232" s="31" t="s">
        <v>26</v>
      </c>
      <c r="M232" s="31" t="s">
        <v>27</v>
      </c>
      <c r="N232" s="31">
        <v>3237</v>
      </c>
      <c r="O232" s="31" t="s">
        <v>24</v>
      </c>
      <c r="P232" s="32">
        <v>1.08</v>
      </c>
      <c r="Q232" s="31">
        <v>0.92678405931417973</v>
      </c>
    </row>
    <row r="233" spans="1:17">
      <c r="A233" s="33" t="s">
        <v>262</v>
      </c>
      <c r="B233" s="33" t="s">
        <v>18</v>
      </c>
      <c r="C233" s="33" t="s">
        <v>19</v>
      </c>
      <c r="D233" s="33">
        <v>0</v>
      </c>
      <c r="E233" s="33" t="s">
        <v>20</v>
      </c>
      <c r="F233" s="33" t="s">
        <v>21</v>
      </c>
      <c r="G233" s="33">
        <v>11146</v>
      </c>
      <c r="H233" s="33">
        <v>0</v>
      </c>
      <c r="I233" s="33">
        <v>136</v>
      </c>
      <c r="J233" s="33">
        <v>360</v>
      </c>
      <c r="K233" s="33">
        <v>1</v>
      </c>
      <c r="L233" s="33" t="s">
        <v>26</v>
      </c>
      <c r="M233" s="33" t="s">
        <v>27</v>
      </c>
      <c r="N233" s="33">
        <v>11146</v>
      </c>
      <c r="O233" s="33" t="s">
        <v>24</v>
      </c>
      <c r="P233" s="34">
        <v>0.82</v>
      </c>
      <c r="Q233" s="33">
        <v>1.2201686703750225</v>
      </c>
    </row>
    <row r="234" spans="1:17">
      <c r="A234" s="31" t="s">
        <v>263</v>
      </c>
      <c r="B234" s="31" t="s">
        <v>18</v>
      </c>
      <c r="C234" s="31" t="s">
        <v>21</v>
      </c>
      <c r="D234" s="31">
        <v>0</v>
      </c>
      <c r="E234" s="31" t="s">
        <v>20</v>
      </c>
      <c r="F234" s="31" t="s">
        <v>21</v>
      </c>
      <c r="G234" s="31">
        <v>2833</v>
      </c>
      <c r="H234" s="31">
        <v>1857</v>
      </c>
      <c r="I234" s="31">
        <v>126</v>
      </c>
      <c r="J234" s="31">
        <v>360</v>
      </c>
      <c r="K234" s="31">
        <v>1</v>
      </c>
      <c r="L234" s="31" t="s">
        <v>22</v>
      </c>
      <c r="M234" s="31" t="s">
        <v>27</v>
      </c>
      <c r="N234" s="31">
        <v>4690</v>
      </c>
      <c r="O234" s="31" t="s">
        <v>24</v>
      </c>
      <c r="P234" s="32">
        <v>0.37</v>
      </c>
      <c r="Q234" s="31">
        <v>2.6865671641791042</v>
      </c>
    </row>
    <row r="235" spans="1:17">
      <c r="A235" s="33" t="s">
        <v>264</v>
      </c>
      <c r="B235" s="33" t="s">
        <v>18</v>
      </c>
      <c r="C235" s="33" t="s">
        <v>19</v>
      </c>
      <c r="D235" s="33">
        <v>0</v>
      </c>
      <c r="E235" s="33" t="s">
        <v>20</v>
      </c>
      <c r="F235" s="33" t="s">
        <v>21</v>
      </c>
      <c r="G235" s="33">
        <v>2620</v>
      </c>
      <c r="H235" s="33">
        <v>2223</v>
      </c>
      <c r="I235" s="33">
        <v>150</v>
      </c>
      <c r="J235" s="33">
        <v>360</v>
      </c>
      <c r="K235" s="33">
        <v>1</v>
      </c>
      <c r="L235" s="33" t="s">
        <v>34</v>
      </c>
      <c r="M235" s="33" t="s">
        <v>27</v>
      </c>
      <c r="N235" s="33">
        <v>4843</v>
      </c>
      <c r="O235" s="33" t="s">
        <v>24</v>
      </c>
      <c r="P235" s="34">
        <v>0.32</v>
      </c>
      <c r="Q235" s="33">
        <v>3.0972537683254182</v>
      </c>
    </row>
    <row r="236" spans="1:17">
      <c r="A236" s="31" t="s">
        <v>265</v>
      </c>
      <c r="B236" s="31" t="s">
        <v>18</v>
      </c>
      <c r="C236" s="31" t="s">
        <v>19</v>
      </c>
      <c r="D236" s="31">
        <v>2</v>
      </c>
      <c r="E236" s="31" t="s">
        <v>20</v>
      </c>
      <c r="F236" s="31" t="s">
        <v>21</v>
      </c>
      <c r="G236" s="31">
        <v>3900</v>
      </c>
      <c r="H236" s="31">
        <v>0</v>
      </c>
      <c r="I236" s="31">
        <v>90</v>
      </c>
      <c r="J236" s="31">
        <v>360</v>
      </c>
      <c r="K236" s="31">
        <v>1</v>
      </c>
      <c r="L236" s="31" t="s">
        <v>34</v>
      </c>
      <c r="M236" s="31" t="s">
        <v>27</v>
      </c>
      <c r="N236" s="31">
        <v>3900</v>
      </c>
      <c r="O236" s="31" t="s">
        <v>24</v>
      </c>
      <c r="P236" s="32">
        <v>0.43</v>
      </c>
      <c r="Q236" s="31">
        <v>2.3076923076923079</v>
      </c>
    </row>
    <row r="237" spans="1:17">
      <c r="A237" s="33" t="s">
        <v>266</v>
      </c>
      <c r="B237" s="33" t="s">
        <v>18</v>
      </c>
      <c r="C237" s="33" t="s">
        <v>19</v>
      </c>
      <c r="D237" s="33">
        <v>1</v>
      </c>
      <c r="E237" s="33" t="s">
        <v>20</v>
      </c>
      <c r="F237" s="33" t="s">
        <v>21</v>
      </c>
      <c r="G237" s="33">
        <v>2750</v>
      </c>
      <c r="H237" s="33">
        <v>1842</v>
      </c>
      <c r="I237" s="33">
        <v>115</v>
      </c>
      <c r="J237" s="33">
        <v>360</v>
      </c>
      <c r="K237" s="33">
        <v>1</v>
      </c>
      <c r="L237" s="33" t="s">
        <v>34</v>
      </c>
      <c r="M237" s="33" t="s">
        <v>27</v>
      </c>
      <c r="N237" s="33">
        <v>4592</v>
      </c>
      <c r="O237" s="33" t="s">
        <v>24</v>
      </c>
      <c r="P237" s="34">
        <v>0.4</v>
      </c>
      <c r="Q237" s="33">
        <v>2.504355400696864</v>
      </c>
    </row>
    <row r="238" spans="1:17">
      <c r="A238" s="31" t="s">
        <v>267</v>
      </c>
      <c r="B238" s="31" t="s">
        <v>18</v>
      </c>
      <c r="C238" s="31" t="s">
        <v>19</v>
      </c>
      <c r="D238" s="31">
        <v>0</v>
      </c>
      <c r="E238" s="31" t="s">
        <v>20</v>
      </c>
      <c r="F238" s="31" t="s">
        <v>21</v>
      </c>
      <c r="G238" s="31">
        <v>3993</v>
      </c>
      <c r="H238" s="31">
        <v>3274</v>
      </c>
      <c r="I238" s="31">
        <v>207</v>
      </c>
      <c r="J238" s="31">
        <v>360</v>
      </c>
      <c r="K238" s="31">
        <v>1</v>
      </c>
      <c r="L238" s="31" t="s">
        <v>34</v>
      </c>
      <c r="M238" s="31" t="s">
        <v>27</v>
      </c>
      <c r="N238" s="31">
        <v>7267</v>
      </c>
      <c r="O238" s="31" t="s">
        <v>24</v>
      </c>
      <c r="P238" s="32">
        <v>0.35</v>
      </c>
      <c r="Q238" s="31">
        <v>2.848493188385854</v>
      </c>
    </row>
    <row r="239" spans="1:17">
      <c r="A239" s="33" t="s">
        <v>268</v>
      </c>
      <c r="B239" s="33" t="s">
        <v>18</v>
      </c>
      <c r="C239" s="33" t="s">
        <v>19</v>
      </c>
      <c r="D239" s="33">
        <v>0</v>
      </c>
      <c r="E239" s="33" t="s">
        <v>20</v>
      </c>
      <c r="F239" s="33" t="s">
        <v>21</v>
      </c>
      <c r="G239" s="33">
        <v>3103</v>
      </c>
      <c r="H239" s="33">
        <v>1300</v>
      </c>
      <c r="I239" s="33">
        <v>80</v>
      </c>
      <c r="J239" s="33">
        <v>360</v>
      </c>
      <c r="K239" s="33">
        <v>1</v>
      </c>
      <c r="L239" s="33" t="s">
        <v>26</v>
      </c>
      <c r="M239" s="33" t="s">
        <v>27</v>
      </c>
      <c r="N239" s="33">
        <v>4403</v>
      </c>
      <c r="O239" s="33" t="s">
        <v>24</v>
      </c>
      <c r="P239" s="34">
        <v>0.55000000000000004</v>
      </c>
      <c r="Q239" s="33">
        <v>1.8169429934135819</v>
      </c>
    </row>
    <row r="240" spans="1:17">
      <c r="A240" s="31" t="s">
        <v>269</v>
      </c>
      <c r="B240" s="31" t="s">
        <v>18</v>
      </c>
      <c r="C240" s="31" t="s">
        <v>19</v>
      </c>
      <c r="D240" s="31">
        <v>0</v>
      </c>
      <c r="E240" s="31" t="s">
        <v>20</v>
      </c>
      <c r="F240" s="31" t="s">
        <v>21</v>
      </c>
      <c r="G240" s="31">
        <v>14583</v>
      </c>
      <c r="H240" s="31">
        <v>0</v>
      </c>
      <c r="I240" s="31">
        <v>436</v>
      </c>
      <c r="J240" s="31">
        <v>360</v>
      </c>
      <c r="K240" s="31">
        <v>1</v>
      </c>
      <c r="L240" s="31" t="s">
        <v>34</v>
      </c>
      <c r="M240" s="31" t="s">
        <v>27</v>
      </c>
      <c r="N240" s="31">
        <v>14583</v>
      </c>
      <c r="O240" s="31" t="s">
        <v>24</v>
      </c>
      <c r="P240" s="32">
        <v>0.33</v>
      </c>
      <c r="Q240" s="31">
        <v>2.9897826236028253</v>
      </c>
    </row>
    <row r="241" spans="1:17">
      <c r="A241" s="33" t="s">
        <v>270</v>
      </c>
      <c r="B241" s="33" t="s">
        <v>18</v>
      </c>
      <c r="C241" s="33" t="s">
        <v>21</v>
      </c>
      <c r="D241" s="33">
        <v>1</v>
      </c>
      <c r="E241" s="33" t="s">
        <v>29</v>
      </c>
      <c r="F241" s="33" t="s">
        <v>19</v>
      </c>
      <c r="G241" s="33">
        <v>4053</v>
      </c>
      <c r="H241" s="33">
        <v>2426</v>
      </c>
      <c r="I241" s="33">
        <v>158</v>
      </c>
      <c r="J241" s="33">
        <v>360</v>
      </c>
      <c r="K241" s="33">
        <v>0</v>
      </c>
      <c r="L241" s="33" t="s">
        <v>26</v>
      </c>
      <c r="M241" s="33" t="s">
        <v>23</v>
      </c>
      <c r="N241" s="33">
        <v>6479</v>
      </c>
      <c r="O241" s="33" t="s">
        <v>35</v>
      </c>
      <c r="P241" s="34">
        <v>0.41</v>
      </c>
      <c r="Q241" s="33">
        <v>2.4386479394968359</v>
      </c>
    </row>
    <row r="242" spans="1:17">
      <c r="A242" s="31" t="s">
        <v>271</v>
      </c>
      <c r="B242" s="31" t="s">
        <v>18</v>
      </c>
      <c r="C242" s="31" t="s">
        <v>19</v>
      </c>
      <c r="D242" s="31">
        <v>0</v>
      </c>
      <c r="E242" s="31" t="s">
        <v>20</v>
      </c>
      <c r="F242" s="31" t="s">
        <v>21</v>
      </c>
      <c r="G242" s="31">
        <v>3927</v>
      </c>
      <c r="H242" s="31">
        <v>800</v>
      </c>
      <c r="I242" s="31">
        <v>112</v>
      </c>
      <c r="J242" s="31">
        <v>360</v>
      </c>
      <c r="K242" s="31">
        <v>1</v>
      </c>
      <c r="L242" s="31" t="s">
        <v>34</v>
      </c>
      <c r="M242" s="31" t="s">
        <v>27</v>
      </c>
      <c r="N242" s="31">
        <v>4727</v>
      </c>
      <c r="O242" s="31" t="s">
        <v>24</v>
      </c>
      <c r="P242" s="32">
        <v>0.42</v>
      </c>
      <c r="Q242" s="31">
        <v>2.3693674635075102</v>
      </c>
    </row>
    <row r="243" spans="1:17">
      <c r="A243" s="33" t="s">
        <v>272</v>
      </c>
      <c r="B243" s="33" t="s">
        <v>18</v>
      </c>
      <c r="C243" s="33" t="s">
        <v>19</v>
      </c>
      <c r="D243" s="33">
        <v>2</v>
      </c>
      <c r="E243" s="33" t="s">
        <v>20</v>
      </c>
      <c r="F243" s="33" t="s">
        <v>21</v>
      </c>
      <c r="G243" s="33">
        <v>2301</v>
      </c>
      <c r="H243" s="33">
        <v>986</v>
      </c>
      <c r="I243" s="33">
        <v>78</v>
      </c>
      <c r="J243" s="33">
        <v>180</v>
      </c>
      <c r="K243" s="33">
        <v>1</v>
      </c>
      <c r="L243" s="33" t="s">
        <v>26</v>
      </c>
      <c r="M243" s="33" t="s">
        <v>27</v>
      </c>
      <c r="N243" s="33">
        <v>3287</v>
      </c>
      <c r="O243" s="33" t="s">
        <v>24</v>
      </c>
      <c r="P243" s="34">
        <v>0.42</v>
      </c>
      <c r="Q243" s="33">
        <v>2.3729844843322181</v>
      </c>
    </row>
    <row r="244" spans="1:17">
      <c r="A244" s="31" t="s">
        <v>273</v>
      </c>
      <c r="B244" s="31" t="s">
        <v>46</v>
      </c>
      <c r="C244" s="31" t="s">
        <v>21</v>
      </c>
      <c r="D244" s="31">
        <v>0</v>
      </c>
      <c r="E244" s="31" t="s">
        <v>20</v>
      </c>
      <c r="F244" s="31" t="s">
        <v>21</v>
      </c>
      <c r="G244" s="31">
        <v>1811</v>
      </c>
      <c r="H244" s="31">
        <v>1666</v>
      </c>
      <c r="I244" s="31">
        <v>54</v>
      </c>
      <c r="J244" s="31">
        <v>360</v>
      </c>
      <c r="K244" s="31">
        <v>1</v>
      </c>
      <c r="L244" s="31" t="s">
        <v>26</v>
      </c>
      <c r="M244" s="31" t="s">
        <v>27</v>
      </c>
      <c r="N244" s="31">
        <v>3477</v>
      </c>
      <c r="O244" s="31" t="s">
        <v>24</v>
      </c>
      <c r="P244" s="32">
        <v>0.64</v>
      </c>
      <c r="Q244" s="31">
        <v>1.5530629853321829</v>
      </c>
    </row>
    <row r="245" spans="1:17">
      <c r="A245" s="33" t="s">
        <v>274</v>
      </c>
      <c r="B245" s="33" t="s">
        <v>18</v>
      </c>
      <c r="C245" s="33" t="s">
        <v>21</v>
      </c>
      <c r="D245" s="33">
        <v>0</v>
      </c>
      <c r="E245" s="33" t="s">
        <v>20</v>
      </c>
      <c r="F245" s="33" t="s">
        <v>21</v>
      </c>
      <c r="G245" s="33">
        <v>3158</v>
      </c>
      <c r="H245" s="33">
        <v>3053</v>
      </c>
      <c r="I245" s="33">
        <v>89</v>
      </c>
      <c r="J245" s="33">
        <v>360</v>
      </c>
      <c r="K245" s="33">
        <v>1</v>
      </c>
      <c r="L245" s="33" t="s">
        <v>22</v>
      </c>
      <c r="M245" s="33" t="s">
        <v>27</v>
      </c>
      <c r="N245" s="33">
        <v>6211</v>
      </c>
      <c r="O245" s="33" t="s">
        <v>24</v>
      </c>
      <c r="P245" s="34">
        <v>0.7</v>
      </c>
      <c r="Q245" s="33">
        <v>1.4329415553051039</v>
      </c>
    </row>
    <row r="246" spans="1:17">
      <c r="A246" s="31" t="s">
        <v>275</v>
      </c>
      <c r="B246" s="31" t="s">
        <v>46</v>
      </c>
      <c r="C246" s="31" t="s">
        <v>21</v>
      </c>
      <c r="D246" s="31">
        <v>0</v>
      </c>
      <c r="E246" s="31" t="s">
        <v>20</v>
      </c>
      <c r="F246" s="31" t="s">
        <v>19</v>
      </c>
      <c r="G246" s="31">
        <v>2600</v>
      </c>
      <c r="H246" s="31">
        <v>1717</v>
      </c>
      <c r="I246" s="31">
        <v>99</v>
      </c>
      <c r="J246" s="31">
        <v>300</v>
      </c>
      <c r="K246" s="31">
        <v>1</v>
      </c>
      <c r="L246" s="31" t="s">
        <v>34</v>
      </c>
      <c r="M246" s="31" t="s">
        <v>23</v>
      </c>
      <c r="N246" s="31">
        <v>4317</v>
      </c>
      <c r="O246" s="31" t="s">
        <v>24</v>
      </c>
      <c r="P246" s="32">
        <v>0.44</v>
      </c>
      <c r="Q246" s="31">
        <v>2.2932592077831826</v>
      </c>
    </row>
    <row r="247" spans="1:17">
      <c r="A247" s="33" t="s">
        <v>276</v>
      </c>
      <c r="B247" s="33" t="s">
        <v>18</v>
      </c>
      <c r="C247" s="33" t="s">
        <v>19</v>
      </c>
      <c r="D247" s="33">
        <v>0</v>
      </c>
      <c r="E247" s="33" t="s">
        <v>20</v>
      </c>
      <c r="F247" s="33" t="s">
        <v>21</v>
      </c>
      <c r="G247" s="33">
        <v>3704</v>
      </c>
      <c r="H247" s="33">
        <v>2000</v>
      </c>
      <c r="I247" s="33">
        <v>120</v>
      </c>
      <c r="J247" s="33">
        <v>360</v>
      </c>
      <c r="K247" s="33">
        <v>1</v>
      </c>
      <c r="L247" s="33" t="s">
        <v>22</v>
      </c>
      <c r="M247" s="33" t="s">
        <v>27</v>
      </c>
      <c r="N247" s="33">
        <v>5704</v>
      </c>
      <c r="O247" s="33" t="s">
        <v>24</v>
      </c>
      <c r="P247" s="34">
        <v>0.48</v>
      </c>
      <c r="Q247" s="33">
        <v>2.1037868162692845</v>
      </c>
    </row>
    <row r="248" spans="1:17">
      <c r="A248" s="31" t="s">
        <v>277</v>
      </c>
      <c r="B248" s="31" t="s">
        <v>46</v>
      </c>
      <c r="C248" s="31" t="s">
        <v>21</v>
      </c>
      <c r="D248" s="31">
        <v>0</v>
      </c>
      <c r="E248" s="31" t="s">
        <v>20</v>
      </c>
      <c r="F248" s="31" t="s">
        <v>21</v>
      </c>
      <c r="G248" s="31">
        <v>4124</v>
      </c>
      <c r="H248" s="31">
        <v>0</v>
      </c>
      <c r="I248" s="31">
        <v>115</v>
      </c>
      <c r="J248" s="31">
        <v>360</v>
      </c>
      <c r="K248" s="31">
        <v>1</v>
      </c>
      <c r="L248" s="31" t="s">
        <v>34</v>
      </c>
      <c r="M248" s="31" t="s">
        <v>27</v>
      </c>
      <c r="N248" s="31">
        <v>4124</v>
      </c>
      <c r="O248" s="31" t="s">
        <v>24</v>
      </c>
      <c r="P248" s="32">
        <v>0.36</v>
      </c>
      <c r="Q248" s="31">
        <v>2.7885548011639187</v>
      </c>
    </row>
    <row r="249" spans="1:17">
      <c r="A249" s="33" t="s">
        <v>278</v>
      </c>
      <c r="B249" s="33" t="s">
        <v>18</v>
      </c>
      <c r="C249" s="33" t="s">
        <v>21</v>
      </c>
      <c r="D249" s="33">
        <v>0</v>
      </c>
      <c r="E249" s="33" t="s">
        <v>20</v>
      </c>
      <c r="F249" s="33" t="s">
        <v>21</v>
      </c>
      <c r="G249" s="33">
        <v>9508</v>
      </c>
      <c r="H249" s="33">
        <v>0</v>
      </c>
      <c r="I249" s="33">
        <v>187</v>
      </c>
      <c r="J249" s="33">
        <v>360</v>
      </c>
      <c r="K249" s="33">
        <v>1</v>
      </c>
      <c r="L249" s="33" t="s">
        <v>22</v>
      </c>
      <c r="M249" s="33" t="s">
        <v>27</v>
      </c>
      <c r="N249" s="33">
        <v>9508</v>
      </c>
      <c r="O249" s="33" t="s">
        <v>24</v>
      </c>
      <c r="P249" s="34">
        <v>0.51</v>
      </c>
      <c r="Q249" s="33">
        <v>1.9667648296171645</v>
      </c>
    </row>
    <row r="250" spans="1:17">
      <c r="A250" s="31" t="s">
        <v>279</v>
      </c>
      <c r="B250" s="31" t="s">
        <v>18</v>
      </c>
      <c r="C250" s="31" t="s">
        <v>19</v>
      </c>
      <c r="D250" s="31">
        <v>0</v>
      </c>
      <c r="E250" s="31" t="s">
        <v>20</v>
      </c>
      <c r="F250" s="31" t="s">
        <v>21</v>
      </c>
      <c r="G250" s="31">
        <v>3075</v>
      </c>
      <c r="H250" s="31">
        <v>2416</v>
      </c>
      <c r="I250" s="31">
        <v>139</v>
      </c>
      <c r="J250" s="31">
        <v>360</v>
      </c>
      <c r="K250" s="31">
        <v>1</v>
      </c>
      <c r="L250" s="31" t="s">
        <v>22</v>
      </c>
      <c r="M250" s="31" t="s">
        <v>27</v>
      </c>
      <c r="N250" s="31">
        <v>5491</v>
      </c>
      <c r="O250" s="31" t="s">
        <v>24</v>
      </c>
      <c r="P250" s="32">
        <v>0.4</v>
      </c>
      <c r="Q250" s="31">
        <v>2.5314150427973048</v>
      </c>
    </row>
    <row r="251" spans="1:17">
      <c r="A251" s="33" t="s">
        <v>280</v>
      </c>
      <c r="B251" s="33" t="s">
        <v>18</v>
      </c>
      <c r="C251" s="33" t="s">
        <v>19</v>
      </c>
      <c r="D251" s="33">
        <v>2</v>
      </c>
      <c r="E251" s="33" t="s">
        <v>20</v>
      </c>
      <c r="F251" s="33" t="s">
        <v>21</v>
      </c>
      <c r="G251" s="33">
        <v>4400</v>
      </c>
      <c r="H251" s="33">
        <v>0</v>
      </c>
      <c r="I251" s="33">
        <v>127</v>
      </c>
      <c r="J251" s="33">
        <v>360</v>
      </c>
      <c r="K251" s="33">
        <v>0</v>
      </c>
      <c r="L251" s="33" t="s">
        <v>34</v>
      </c>
      <c r="M251" s="33" t="s">
        <v>23</v>
      </c>
      <c r="N251" s="33">
        <v>4400</v>
      </c>
      <c r="O251" s="33" t="s">
        <v>35</v>
      </c>
      <c r="P251" s="34">
        <v>0.35</v>
      </c>
      <c r="Q251" s="33">
        <v>2.8863636363636362</v>
      </c>
    </row>
    <row r="252" spans="1:17">
      <c r="A252" s="31" t="s">
        <v>281</v>
      </c>
      <c r="B252" s="31" t="s">
        <v>18</v>
      </c>
      <c r="C252" s="31" t="s">
        <v>19</v>
      </c>
      <c r="D252" s="31">
        <v>2</v>
      </c>
      <c r="E252" s="31" t="s">
        <v>20</v>
      </c>
      <c r="F252" s="31" t="s">
        <v>21</v>
      </c>
      <c r="G252" s="31">
        <v>3153</v>
      </c>
      <c r="H252" s="31">
        <v>1560</v>
      </c>
      <c r="I252" s="31">
        <v>134</v>
      </c>
      <c r="J252" s="31">
        <v>360</v>
      </c>
      <c r="K252" s="31">
        <v>1</v>
      </c>
      <c r="L252" s="31" t="s">
        <v>26</v>
      </c>
      <c r="M252" s="31" t="s">
        <v>27</v>
      </c>
      <c r="N252" s="31">
        <v>4713</v>
      </c>
      <c r="O252" s="31" t="s">
        <v>24</v>
      </c>
      <c r="P252" s="32">
        <v>0.35</v>
      </c>
      <c r="Q252" s="31">
        <v>2.8431996605134735</v>
      </c>
    </row>
    <row r="253" spans="1:17">
      <c r="A253" s="33" t="s">
        <v>282</v>
      </c>
      <c r="B253" s="33" t="s">
        <v>46</v>
      </c>
      <c r="C253" s="33" t="s">
        <v>21</v>
      </c>
      <c r="D253" s="33">
        <v>0</v>
      </c>
      <c r="E253" s="33" t="s">
        <v>20</v>
      </c>
      <c r="F253" s="33" t="s">
        <v>21</v>
      </c>
      <c r="G253" s="33">
        <v>5417</v>
      </c>
      <c r="H253" s="33">
        <v>0</v>
      </c>
      <c r="I253" s="33">
        <v>143</v>
      </c>
      <c r="J253" s="33">
        <v>480</v>
      </c>
      <c r="K253" s="33">
        <v>0</v>
      </c>
      <c r="L253" s="33" t="s">
        <v>26</v>
      </c>
      <c r="M253" s="33" t="s">
        <v>23</v>
      </c>
      <c r="N253" s="33">
        <v>5417</v>
      </c>
      <c r="O253" s="33" t="s">
        <v>35</v>
      </c>
      <c r="P253" s="34">
        <v>0.38</v>
      </c>
      <c r="Q253" s="33">
        <v>2.6398375484585563</v>
      </c>
    </row>
    <row r="254" spans="1:17">
      <c r="A254" s="31" t="s">
        <v>283</v>
      </c>
      <c r="B254" s="31" t="s">
        <v>18</v>
      </c>
      <c r="C254" s="31" t="s">
        <v>19</v>
      </c>
      <c r="D254" s="31">
        <v>0</v>
      </c>
      <c r="E254" s="31" t="s">
        <v>20</v>
      </c>
      <c r="F254" s="31" t="s">
        <v>21</v>
      </c>
      <c r="G254" s="31">
        <v>2383</v>
      </c>
      <c r="H254" s="31">
        <v>3334</v>
      </c>
      <c r="I254" s="31">
        <v>172</v>
      </c>
      <c r="J254" s="31">
        <v>360</v>
      </c>
      <c r="K254" s="31">
        <v>1</v>
      </c>
      <c r="L254" s="31" t="s">
        <v>34</v>
      </c>
      <c r="M254" s="31" t="s">
        <v>27</v>
      </c>
      <c r="N254" s="31">
        <v>5717</v>
      </c>
      <c r="O254" s="31" t="s">
        <v>24</v>
      </c>
      <c r="P254" s="32">
        <v>0.33</v>
      </c>
      <c r="Q254" s="31">
        <v>3.0085709288088158</v>
      </c>
    </row>
    <row r="255" spans="1:17">
      <c r="A255" s="33" t="s">
        <v>284</v>
      </c>
      <c r="B255" s="33" t="s">
        <v>18</v>
      </c>
      <c r="C255" s="33" t="s">
        <v>19</v>
      </c>
      <c r="D255" s="33">
        <v>3</v>
      </c>
      <c r="E255" s="33" t="s">
        <v>20</v>
      </c>
      <c r="F255" s="33" t="s">
        <v>40</v>
      </c>
      <c r="G255" s="33">
        <v>4416</v>
      </c>
      <c r="H255" s="33">
        <v>1250</v>
      </c>
      <c r="I255" s="33">
        <v>110</v>
      </c>
      <c r="J255" s="33">
        <v>360</v>
      </c>
      <c r="K255" s="33">
        <v>1</v>
      </c>
      <c r="L255" s="33" t="s">
        <v>26</v>
      </c>
      <c r="M255" s="33" t="s">
        <v>27</v>
      </c>
      <c r="N255" s="33">
        <v>5666</v>
      </c>
      <c r="O255" s="33" t="s">
        <v>24</v>
      </c>
      <c r="P255" s="34">
        <v>0.52</v>
      </c>
      <c r="Q255" s="33">
        <v>1.941404871161313</v>
      </c>
    </row>
    <row r="256" spans="1:17">
      <c r="A256" s="31" t="s">
        <v>285</v>
      </c>
      <c r="B256" s="31" t="s">
        <v>18</v>
      </c>
      <c r="C256" s="31" t="s">
        <v>19</v>
      </c>
      <c r="D256" s="31">
        <v>1</v>
      </c>
      <c r="E256" s="31" t="s">
        <v>20</v>
      </c>
      <c r="F256" s="31" t="s">
        <v>21</v>
      </c>
      <c r="G256" s="31">
        <v>6875</v>
      </c>
      <c r="H256" s="31">
        <v>0</v>
      </c>
      <c r="I256" s="31">
        <v>200</v>
      </c>
      <c r="J256" s="31">
        <v>360</v>
      </c>
      <c r="K256" s="31">
        <v>1</v>
      </c>
      <c r="L256" s="31" t="s">
        <v>34</v>
      </c>
      <c r="M256" s="31" t="s">
        <v>27</v>
      </c>
      <c r="N256" s="31">
        <v>6875</v>
      </c>
      <c r="O256" s="31" t="s">
        <v>24</v>
      </c>
      <c r="P256" s="32">
        <v>0.34</v>
      </c>
      <c r="Q256" s="31">
        <v>2.9090909090909092</v>
      </c>
    </row>
    <row r="257" spans="1:17">
      <c r="A257" s="33" t="s">
        <v>286</v>
      </c>
      <c r="B257" s="33" t="s">
        <v>46</v>
      </c>
      <c r="C257" s="33" t="s">
        <v>19</v>
      </c>
      <c r="D257" s="33">
        <v>1</v>
      </c>
      <c r="E257" s="33" t="s">
        <v>20</v>
      </c>
      <c r="F257" s="33" t="s">
        <v>21</v>
      </c>
      <c r="G257" s="33">
        <v>4666</v>
      </c>
      <c r="H257" s="33">
        <v>0</v>
      </c>
      <c r="I257" s="33">
        <v>135</v>
      </c>
      <c r="J257" s="33">
        <v>360</v>
      </c>
      <c r="K257" s="33">
        <v>1</v>
      </c>
      <c r="L257" s="33" t="s">
        <v>26</v>
      </c>
      <c r="M257" s="33" t="s">
        <v>27</v>
      </c>
      <c r="N257" s="33">
        <v>4666</v>
      </c>
      <c r="O257" s="33" t="s">
        <v>24</v>
      </c>
      <c r="P257" s="34">
        <v>0.35</v>
      </c>
      <c r="Q257" s="33">
        <v>2.8932704672096015</v>
      </c>
    </row>
    <row r="258" spans="1:17">
      <c r="A258" s="31" t="s">
        <v>287</v>
      </c>
      <c r="B258" s="31" t="s">
        <v>46</v>
      </c>
      <c r="C258" s="31" t="s">
        <v>21</v>
      </c>
      <c r="D258" s="31">
        <v>0</v>
      </c>
      <c r="E258" s="31" t="s">
        <v>20</v>
      </c>
      <c r="F258" s="31" t="s">
        <v>21</v>
      </c>
      <c r="G258" s="31">
        <v>5000</v>
      </c>
      <c r="H258" s="31">
        <v>2541</v>
      </c>
      <c r="I258" s="31">
        <v>151</v>
      </c>
      <c r="J258" s="31">
        <v>480</v>
      </c>
      <c r="K258" s="31">
        <v>1</v>
      </c>
      <c r="L258" s="31" t="s">
        <v>22</v>
      </c>
      <c r="M258" s="31" t="s">
        <v>23</v>
      </c>
      <c r="N258" s="31">
        <v>7541</v>
      </c>
      <c r="O258" s="31" t="s">
        <v>24</v>
      </c>
      <c r="P258" s="32">
        <v>0.5</v>
      </c>
      <c r="Q258" s="31">
        <v>2.0023869513327144</v>
      </c>
    </row>
    <row r="259" spans="1:17">
      <c r="A259" s="33" t="s">
        <v>288</v>
      </c>
      <c r="B259" s="33" t="s">
        <v>18</v>
      </c>
      <c r="C259" s="33" t="s">
        <v>19</v>
      </c>
      <c r="D259" s="33">
        <v>1</v>
      </c>
      <c r="E259" s="33" t="s">
        <v>20</v>
      </c>
      <c r="F259" s="33" t="s">
        <v>21</v>
      </c>
      <c r="G259" s="33">
        <v>2014</v>
      </c>
      <c r="H259" s="33">
        <v>2925</v>
      </c>
      <c r="I259" s="33">
        <v>113</v>
      </c>
      <c r="J259" s="33">
        <v>360</v>
      </c>
      <c r="K259" s="33">
        <v>1</v>
      </c>
      <c r="L259" s="33" t="s">
        <v>26</v>
      </c>
      <c r="M259" s="33" t="s">
        <v>23</v>
      </c>
      <c r="N259" s="33">
        <v>4939</v>
      </c>
      <c r="O259" s="33" t="s">
        <v>24</v>
      </c>
      <c r="P259" s="34">
        <v>0.44</v>
      </c>
      <c r="Q259" s="33">
        <v>2.2879125329013967</v>
      </c>
    </row>
    <row r="260" spans="1:17">
      <c r="A260" s="31" t="s">
        <v>289</v>
      </c>
      <c r="B260" s="31" t="s">
        <v>18</v>
      </c>
      <c r="C260" s="31" t="s">
        <v>19</v>
      </c>
      <c r="D260" s="31">
        <v>0</v>
      </c>
      <c r="E260" s="31" t="s">
        <v>29</v>
      </c>
      <c r="F260" s="31" t="s">
        <v>21</v>
      </c>
      <c r="G260" s="31">
        <v>1800</v>
      </c>
      <c r="H260" s="31">
        <v>2934</v>
      </c>
      <c r="I260" s="31">
        <v>93</v>
      </c>
      <c r="J260" s="31">
        <v>360</v>
      </c>
      <c r="K260" s="31">
        <v>0</v>
      </c>
      <c r="L260" s="31" t="s">
        <v>26</v>
      </c>
      <c r="M260" s="31" t="s">
        <v>23</v>
      </c>
      <c r="N260" s="31">
        <v>4734</v>
      </c>
      <c r="O260" s="31" t="s">
        <v>35</v>
      </c>
      <c r="P260" s="32">
        <v>0.51</v>
      </c>
      <c r="Q260" s="31">
        <v>1.9645120405576679</v>
      </c>
    </row>
    <row r="261" spans="1:17">
      <c r="A261" s="33" t="s">
        <v>290</v>
      </c>
      <c r="B261" s="33" t="s">
        <v>18</v>
      </c>
      <c r="C261" s="33" t="s">
        <v>19</v>
      </c>
      <c r="D261" s="33">
        <v>0</v>
      </c>
      <c r="E261" s="33" t="s">
        <v>29</v>
      </c>
      <c r="F261" s="33" t="s">
        <v>21</v>
      </c>
      <c r="G261" s="33">
        <v>2875</v>
      </c>
      <c r="H261" s="33">
        <v>1750</v>
      </c>
      <c r="I261" s="33">
        <v>105</v>
      </c>
      <c r="J261" s="33">
        <v>360</v>
      </c>
      <c r="K261" s="33">
        <v>1</v>
      </c>
      <c r="L261" s="33" t="s">
        <v>34</v>
      </c>
      <c r="M261" s="33" t="s">
        <v>27</v>
      </c>
      <c r="N261" s="33">
        <v>4625</v>
      </c>
      <c r="O261" s="33" t="s">
        <v>24</v>
      </c>
      <c r="P261" s="34">
        <v>0.44</v>
      </c>
      <c r="Q261" s="33">
        <v>2.2702702702702702</v>
      </c>
    </row>
    <row r="262" spans="1:17">
      <c r="A262" s="31" t="s">
        <v>291</v>
      </c>
      <c r="B262" s="31" t="s">
        <v>46</v>
      </c>
      <c r="C262" s="31" t="s">
        <v>21</v>
      </c>
      <c r="D262" s="31">
        <v>0</v>
      </c>
      <c r="E262" s="31" t="s">
        <v>20</v>
      </c>
      <c r="F262" s="31" t="s">
        <v>21</v>
      </c>
      <c r="G262" s="31">
        <v>5000</v>
      </c>
      <c r="H262" s="31">
        <v>0</v>
      </c>
      <c r="I262" s="31">
        <v>132</v>
      </c>
      <c r="J262" s="31">
        <v>360</v>
      </c>
      <c r="K262" s="31">
        <v>1</v>
      </c>
      <c r="L262" s="31" t="s">
        <v>22</v>
      </c>
      <c r="M262" s="31" t="s">
        <v>27</v>
      </c>
      <c r="N262" s="31">
        <v>5000</v>
      </c>
      <c r="O262" s="31" t="s">
        <v>24</v>
      </c>
      <c r="P262" s="32">
        <v>0.38</v>
      </c>
      <c r="Q262" s="31">
        <v>2.64</v>
      </c>
    </row>
    <row r="263" spans="1:17">
      <c r="A263" s="33" t="s">
        <v>292</v>
      </c>
      <c r="B263" s="33" t="s">
        <v>18</v>
      </c>
      <c r="C263" s="33" t="s">
        <v>19</v>
      </c>
      <c r="D263" s="33">
        <v>1</v>
      </c>
      <c r="E263" s="33" t="s">
        <v>20</v>
      </c>
      <c r="F263" s="33" t="s">
        <v>21</v>
      </c>
      <c r="G263" s="33">
        <v>1625</v>
      </c>
      <c r="H263" s="33">
        <v>1803</v>
      </c>
      <c r="I263" s="33">
        <v>96</v>
      </c>
      <c r="J263" s="33">
        <v>360</v>
      </c>
      <c r="K263" s="33">
        <v>1</v>
      </c>
      <c r="L263" s="33" t="s">
        <v>26</v>
      </c>
      <c r="M263" s="33" t="s">
        <v>27</v>
      </c>
      <c r="N263" s="33">
        <v>3428</v>
      </c>
      <c r="O263" s="33" t="s">
        <v>24</v>
      </c>
      <c r="P263" s="34">
        <v>0.36</v>
      </c>
      <c r="Q263" s="33">
        <v>2.8004667444574096</v>
      </c>
    </row>
    <row r="264" spans="1:17">
      <c r="A264" s="31" t="s">
        <v>293</v>
      </c>
      <c r="B264" s="31" t="s">
        <v>18</v>
      </c>
      <c r="C264" s="31" t="s">
        <v>21</v>
      </c>
      <c r="D264" s="31">
        <v>0</v>
      </c>
      <c r="E264" s="31" t="s">
        <v>20</v>
      </c>
      <c r="F264" s="31" t="s">
        <v>21</v>
      </c>
      <c r="G264" s="31">
        <v>4000</v>
      </c>
      <c r="H264" s="31">
        <v>2500</v>
      </c>
      <c r="I264" s="31">
        <v>140</v>
      </c>
      <c r="J264" s="31">
        <v>360</v>
      </c>
      <c r="K264" s="31">
        <v>1</v>
      </c>
      <c r="L264" s="31" t="s">
        <v>22</v>
      </c>
      <c r="M264" s="31" t="s">
        <v>27</v>
      </c>
      <c r="N264" s="31">
        <v>6500</v>
      </c>
      <c r="O264" s="31" t="s">
        <v>24</v>
      </c>
      <c r="P264" s="32">
        <v>0.46</v>
      </c>
      <c r="Q264" s="31">
        <v>2.1538461538461537</v>
      </c>
    </row>
    <row r="265" spans="1:17">
      <c r="A265" s="33" t="s">
        <v>294</v>
      </c>
      <c r="B265" s="33" t="s">
        <v>46</v>
      </c>
      <c r="C265" s="33" t="s">
        <v>21</v>
      </c>
      <c r="D265" s="33">
        <v>0</v>
      </c>
      <c r="E265" s="33" t="s">
        <v>20</v>
      </c>
      <c r="F265" s="33" t="s">
        <v>21</v>
      </c>
      <c r="G265" s="33">
        <v>3762</v>
      </c>
      <c r="H265" s="33">
        <v>1666</v>
      </c>
      <c r="I265" s="33">
        <v>135</v>
      </c>
      <c r="J265" s="33">
        <v>360</v>
      </c>
      <c r="K265" s="33">
        <v>1</v>
      </c>
      <c r="L265" s="33" t="s">
        <v>22</v>
      </c>
      <c r="M265" s="33" t="s">
        <v>27</v>
      </c>
      <c r="N265" s="33">
        <v>5428</v>
      </c>
      <c r="O265" s="33" t="s">
        <v>24</v>
      </c>
      <c r="P265" s="34">
        <v>0.4</v>
      </c>
      <c r="Q265" s="33">
        <v>2.4871039056742816</v>
      </c>
    </row>
    <row r="266" spans="1:17">
      <c r="A266" s="31" t="s">
        <v>295</v>
      </c>
      <c r="B266" s="31" t="s">
        <v>46</v>
      </c>
      <c r="C266" s="31" t="s">
        <v>21</v>
      </c>
      <c r="D266" s="31">
        <v>0</v>
      </c>
      <c r="E266" s="31" t="s">
        <v>20</v>
      </c>
      <c r="F266" s="31" t="s">
        <v>21</v>
      </c>
      <c r="G266" s="31">
        <v>2400</v>
      </c>
      <c r="H266" s="31">
        <v>1863</v>
      </c>
      <c r="I266" s="31">
        <v>104</v>
      </c>
      <c r="J266" s="31">
        <v>360</v>
      </c>
      <c r="K266" s="31">
        <v>0</v>
      </c>
      <c r="L266" s="31" t="s">
        <v>26</v>
      </c>
      <c r="M266" s="31" t="s">
        <v>23</v>
      </c>
      <c r="N266" s="31">
        <v>4263</v>
      </c>
      <c r="O266" s="31" t="s">
        <v>35</v>
      </c>
      <c r="P266" s="32">
        <v>0.41</v>
      </c>
      <c r="Q266" s="31">
        <v>2.4395965282664789</v>
      </c>
    </row>
    <row r="267" spans="1:17">
      <c r="A267" s="33" t="s">
        <v>296</v>
      </c>
      <c r="B267" s="33" t="s">
        <v>18</v>
      </c>
      <c r="C267" s="33" t="s">
        <v>21</v>
      </c>
      <c r="D267" s="33">
        <v>0</v>
      </c>
      <c r="E267" s="33" t="s">
        <v>20</v>
      </c>
      <c r="F267" s="33" t="s">
        <v>21</v>
      </c>
      <c r="G267" s="33">
        <v>20233</v>
      </c>
      <c r="H267" s="33">
        <v>0</v>
      </c>
      <c r="I267" s="33">
        <v>480</v>
      </c>
      <c r="J267" s="33">
        <v>360</v>
      </c>
      <c r="K267" s="33">
        <v>1</v>
      </c>
      <c r="L267" s="33" t="s">
        <v>22</v>
      </c>
      <c r="M267" s="33" t="s">
        <v>23</v>
      </c>
      <c r="N267" s="33">
        <v>20233</v>
      </c>
      <c r="O267" s="33" t="s">
        <v>24</v>
      </c>
      <c r="P267" s="34">
        <v>0.42</v>
      </c>
      <c r="Q267" s="33">
        <v>2.372361982899224</v>
      </c>
    </row>
    <row r="268" spans="1:17">
      <c r="A268" s="31" t="s">
        <v>297</v>
      </c>
      <c r="B268" s="31" t="s">
        <v>46</v>
      </c>
      <c r="C268" s="31" t="s">
        <v>21</v>
      </c>
      <c r="D268" s="31">
        <v>0</v>
      </c>
      <c r="E268" s="31" t="s">
        <v>20</v>
      </c>
      <c r="F268" s="31" t="s">
        <v>21</v>
      </c>
      <c r="G268" s="31">
        <v>2917</v>
      </c>
      <c r="H268" s="31">
        <v>0</v>
      </c>
      <c r="I268" s="31">
        <v>84</v>
      </c>
      <c r="J268" s="31">
        <v>360</v>
      </c>
      <c r="K268" s="31">
        <v>1</v>
      </c>
      <c r="L268" s="31" t="s">
        <v>34</v>
      </c>
      <c r="M268" s="31" t="s">
        <v>27</v>
      </c>
      <c r="N268" s="31">
        <v>2917</v>
      </c>
      <c r="O268" s="31" t="s">
        <v>24</v>
      </c>
      <c r="P268" s="32">
        <v>0.35</v>
      </c>
      <c r="Q268" s="31">
        <v>2.8796708947548852</v>
      </c>
    </row>
    <row r="269" spans="1:17">
      <c r="A269" s="33" t="s">
        <v>298</v>
      </c>
      <c r="B269" s="33" t="s">
        <v>18</v>
      </c>
      <c r="C269" s="33" t="s">
        <v>21</v>
      </c>
      <c r="D269" s="33">
        <v>0</v>
      </c>
      <c r="E269" s="33" t="s">
        <v>29</v>
      </c>
      <c r="F269" s="33" t="s">
        <v>21</v>
      </c>
      <c r="G269" s="33">
        <v>2927</v>
      </c>
      <c r="H269" s="33">
        <v>2405</v>
      </c>
      <c r="I269" s="33">
        <v>111</v>
      </c>
      <c r="J269" s="33">
        <v>360</v>
      </c>
      <c r="K269" s="33">
        <v>1</v>
      </c>
      <c r="L269" s="33" t="s">
        <v>34</v>
      </c>
      <c r="M269" s="33" t="s">
        <v>27</v>
      </c>
      <c r="N269" s="33">
        <v>5332</v>
      </c>
      <c r="O269" s="33" t="s">
        <v>24</v>
      </c>
      <c r="P269" s="34">
        <v>0.48</v>
      </c>
      <c r="Q269" s="33">
        <v>2.0817704426106527</v>
      </c>
    </row>
    <row r="270" spans="1:17">
      <c r="A270" s="31" t="s">
        <v>299</v>
      </c>
      <c r="B270" s="31" t="s">
        <v>46</v>
      </c>
      <c r="C270" s="31" t="s">
        <v>21</v>
      </c>
      <c r="D270" s="31">
        <v>0</v>
      </c>
      <c r="E270" s="31" t="s">
        <v>20</v>
      </c>
      <c r="F270" s="31" t="s">
        <v>21</v>
      </c>
      <c r="G270" s="31">
        <v>2507</v>
      </c>
      <c r="H270" s="31">
        <v>0</v>
      </c>
      <c r="I270" s="31">
        <v>56</v>
      </c>
      <c r="J270" s="31">
        <v>360</v>
      </c>
      <c r="K270" s="31">
        <v>1</v>
      </c>
      <c r="L270" s="31" t="s">
        <v>22</v>
      </c>
      <c r="M270" s="31" t="s">
        <v>27</v>
      </c>
      <c r="N270" s="31">
        <v>2507</v>
      </c>
      <c r="O270" s="31" t="s">
        <v>24</v>
      </c>
      <c r="P270" s="32">
        <v>0.45</v>
      </c>
      <c r="Q270" s="31">
        <v>2.2337455125648185</v>
      </c>
    </row>
    <row r="271" spans="1:17">
      <c r="A271" s="33" t="s">
        <v>300</v>
      </c>
      <c r="B271" s="33" t="s">
        <v>40</v>
      </c>
      <c r="C271" s="33" t="s">
        <v>19</v>
      </c>
      <c r="D271" s="33">
        <v>0</v>
      </c>
      <c r="E271" s="33" t="s">
        <v>20</v>
      </c>
      <c r="F271" s="33" t="s">
        <v>21</v>
      </c>
      <c r="G271" s="33">
        <v>2473</v>
      </c>
      <c r="H271" s="33">
        <v>1843</v>
      </c>
      <c r="I271" s="33">
        <v>159</v>
      </c>
      <c r="J271" s="33">
        <v>360</v>
      </c>
      <c r="K271" s="33">
        <v>1</v>
      </c>
      <c r="L271" s="33" t="s">
        <v>22</v>
      </c>
      <c r="M271" s="33" t="s">
        <v>23</v>
      </c>
      <c r="N271" s="33">
        <v>4316</v>
      </c>
      <c r="O271" s="33" t="s">
        <v>24</v>
      </c>
      <c r="P271" s="34">
        <v>0.27</v>
      </c>
      <c r="Q271" s="33">
        <v>3.6839666357738645</v>
      </c>
    </row>
    <row r="272" spans="1:17">
      <c r="A272" s="31" t="s">
        <v>301</v>
      </c>
      <c r="B272" s="31" t="s">
        <v>18</v>
      </c>
      <c r="C272" s="31" t="s">
        <v>19</v>
      </c>
      <c r="D272" s="31">
        <v>1</v>
      </c>
      <c r="E272" s="31" t="s">
        <v>29</v>
      </c>
      <c r="F272" s="31" t="s">
        <v>21</v>
      </c>
      <c r="G272" s="31">
        <v>3399</v>
      </c>
      <c r="H272" s="31">
        <v>1640</v>
      </c>
      <c r="I272" s="31">
        <v>111</v>
      </c>
      <c r="J272" s="31">
        <v>180</v>
      </c>
      <c r="K272" s="31">
        <v>1</v>
      </c>
      <c r="L272" s="31" t="s">
        <v>26</v>
      </c>
      <c r="M272" s="31" t="s">
        <v>27</v>
      </c>
      <c r="N272" s="31">
        <v>5039</v>
      </c>
      <c r="O272" s="31" t="s">
        <v>24</v>
      </c>
      <c r="P272" s="32">
        <v>0.45</v>
      </c>
      <c r="Q272" s="31">
        <v>2.2028180194483031</v>
      </c>
    </row>
    <row r="273" spans="1:17">
      <c r="A273" s="33" t="s">
        <v>302</v>
      </c>
      <c r="B273" s="33" t="s">
        <v>18</v>
      </c>
      <c r="C273" s="33" t="s">
        <v>19</v>
      </c>
      <c r="D273" s="33">
        <v>2</v>
      </c>
      <c r="E273" s="33" t="s">
        <v>20</v>
      </c>
      <c r="F273" s="33" t="s">
        <v>21</v>
      </c>
      <c r="G273" s="33">
        <v>3717</v>
      </c>
      <c r="H273" s="33">
        <v>0</v>
      </c>
      <c r="I273" s="33">
        <v>120</v>
      </c>
      <c r="J273" s="33">
        <v>360</v>
      </c>
      <c r="K273" s="33">
        <v>1</v>
      </c>
      <c r="L273" s="33" t="s">
        <v>34</v>
      </c>
      <c r="M273" s="33" t="s">
        <v>27</v>
      </c>
      <c r="N273" s="33">
        <v>3717</v>
      </c>
      <c r="O273" s="33" t="s">
        <v>24</v>
      </c>
      <c r="P273" s="34">
        <v>0.31</v>
      </c>
      <c r="Q273" s="33">
        <v>3.2284100080710245</v>
      </c>
    </row>
    <row r="274" spans="1:17">
      <c r="A274" s="31" t="s">
        <v>303</v>
      </c>
      <c r="B274" s="31" t="s">
        <v>18</v>
      </c>
      <c r="C274" s="31" t="s">
        <v>19</v>
      </c>
      <c r="D274" s="31">
        <v>1</v>
      </c>
      <c r="E274" s="31" t="s">
        <v>20</v>
      </c>
      <c r="F274" s="31" t="s">
        <v>19</v>
      </c>
      <c r="G274" s="31">
        <v>10000</v>
      </c>
      <c r="H274" s="31">
        <v>0</v>
      </c>
      <c r="I274" s="31">
        <v>155</v>
      </c>
      <c r="J274" s="31">
        <v>360</v>
      </c>
      <c r="K274" s="31">
        <v>1</v>
      </c>
      <c r="L274" s="31" t="s">
        <v>22</v>
      </c>
      <c r="M274" s="31" t="s">
        <v>23</v>
      </c>
      <c r="N274" s="31">
        <v>10000</v>
      </c>
      <c r="O274" s="31" t="s">
        <v>24</v>
      </c>
      <c r="P274" s="32">
        <v>0.65</v>
      </c>
      <c r="Q274" s="31">
        <v>1.55</v>
      </c>
    </row>
    <row r="275" spans="1:17">
      <c r="A275" s="33" t="s">
        <v>304</v>
      </c>
      <c r="B275" s="33" t="s">
        <v>18</v>
      </c>
      <c r="C275" s="33" t="s">
        <v>19</v>
      </c>
      <c r="D275" s="33">
        <v>0</v>
      </c>
      <c r="E275" s="33" t="s">
        <v>20</v>
      </c>
      <c r="F275" s="33" t="s">
        <v>21</v>
      </c>
      <c r="G275" s="33">
        <v>2400</v>
      </c>
      <c r="H275" s="33">
        <v>2167</v>
      </c>
      <c r="I275" s="33">
        <v>115</v>
      </c>
      <c r="J275" s="33">
        <v>360</v>
      </c>
      <c r="K275" s="33">
        <v>1</v>
      </c>
      <c r="L275" s="33" t="s">
        <v>34</v>
      </c>
      <c r="M275" s="33" t="s">
        <v>27</v>
      </c>
      <c r="N275" s="33">
        <v>4567</v>
      </c>
      <c r="O275" s="33" t="s">
        <v>24</v>
      </c>
      <c r="P275" s="34">
        <v>0.4</v>
      </c>
      <c r="Q275" s="33">
        <v>2.5180643748631484</v>
      </c>
    </row>
    <row r="276" spans="1:17">
      <c r="A276" s="31" t="s">
        <v>305</v>
      </c>
      <c r="B276" s="31" t="s">
        <v>18</v>
      </c>
      <c r="C276" s="31" t="s">
        <v>19</v>
      </c>
      <c r="D276" s="31">
        <v>3</v>
      </c>
      <c r="E276" s="31" t="s">
        <v>20</v>
      </c>
      <c r="F276" s="31" t="s">
        <v>21</v>
      </c>
      <c r="G276" s="31">
        <v>4342</v>
      </c>
      <c r="H276" s="31">
        <v>189</v>
      </c>
      <c r="I276" s="31">
        <v>124</v>
      </c>
      <c r="J276" s="31">
        <v>360</v>
      </c>
      <c r="K276" s="31">
        <v>1</v>
      </c>
      <c r="L276" s="31" t="s">
        <v>34</v>
      </c>
      <c r="M276" s="31" t="s">
        <v>27</v>
      </c>
      <c r="N276" s="31">
        <v>4531</v>
      </c>
      <c r="O276" s="31" t="s">
        <v>24</v>
      </c>
      <c r="P276" s="32">
        <v>0.37</v>
      </c>
      <c r="Q276" s="31">
        <v>2.7367027146325316</v>
      </c>
    </row>
    <row r="277" spans="1:17">
      <c r="A277" s="33" t="s">
        <v>306</v>
      </c>
      <c r="B277" s="33" t="s">
        <v>18</v>
      </c>
      <c r="C277" s="33" t="s">
        <v>19</v>
      </c>
      <c r="D277" s="33">
        <v>3</v>
      </c>
      <c r="E277" s="33" t="s">
        <v>20</v>
      </c>
      <c r="F277" s="33" t="s">
        <v>21</v>
      </c>
      <c r="G277" s="33">
        <v>15000</v>
      </c>
      <c r="H277" s="33">
        <v>0</v>
      </c>
      <c r="I277" s="33">
        <v>300</v>
      </c>
      <c r="J277" s="33">
        <v>360</v>
      </c>
      <c r="K277" s="33">
        <v>1</v>
      </c>
      <c r="L277" s="33" t="s">
        <v>22</v>
      </c>
      <c r="M277" s="33" t="s">
        <v>27</v>
      </c>
      <c r="N277" s="33">
        <v>15000</v>
      </c>
      <c r="O277" s="33" t="s">
        <v>24</v>
      </c>
      <c r="P277" s="34">
        <v>0.5</v>
      </c>
      <c r="Q277" s="33">
        <v>2</v>
      </c>
    </row>
    <row r="278" spans="1:17">
      <c r="A278" s="31" t="s">
        <v>307</v>
      </c>
      <c r="B278" s="31" t="s">
        <v>18</v>
      </c>
      <c r="C278" s="31" t="s">
        <v>19</v>
      </c>
      <c r="D278" s="31">
        <v>1</v>
      </c>
      <c r="E278" s="31" t="s">
        <v>20</v>
      </c>
      <c r="F278" s="31" t="s">
        <v>19</v>
      </c>
      <c r="G278" s="31">
        <v>8666</v>
      </c>
      <c r="H278" s="31">
        <v>4983</v>
      </c>
      <c r="I278" s="31">
        <v>376</v>
      </c>
      <c r="J278" s="31">
        <v>360</v>
      </c>
      <c r="K278" s="31">
        <v>0</v>
      </c>
      <c r="L278" s="31" t="s">
        <v>22</v>
      </c>
      <c r="M278" s="31" t="s">
        <v>23</v>
      </c>
      <c r="N278" s="31">
        <v>13649</v>
      </c>
      <c r="O278" s="31" t="s">
        <v>35</v>
      </c>
      <c r="P278" s="32">
        <v>0.36</v>
      </c>
      <c r="Q278" s="31">
        <v>2.7547805700051287</v>
      </c>
    </row>
    <row r="279" spans="1:17">
      <c r="A279" s="33" t="s">
        <v>308</v>
      </c>
      <c r="B279" s="33" t="s">
        <v>18</v>
      </c>
      <c r="C279" s="33" t="s">
        <v>21</v>
      </c>
      <c r="D279" s="33">
        <v>0</v>
      </c>
      <c r="E279" s="33" t="s">
        <v>20</v>
      </c>
      <c r="F279" s="33" t="s">
        <v>21</v>
      </c>
      <c r="G279" s="33">
        <v>4917</v>
      </c>
      <c r="H279" s="33">
        <v>0</v>
      </c>
      <c r="I279" s="33">
        <v>130</v>
      </c>
      <c r="J279" s="33">
        <v>360</v>
      </c>
      <c r="K279" s="33">
        <v>0</v>
      </c>
      <c r="L279" s="33" t="s">
        <v>22</v>
      </c>
      <c r="M279" s="33" t="s">
        <v>27</v>
      </c>
      <c r="N279" s="33">
        <v>4917</v>
      </c>
      <c r="O279" s="33" t="s">
        <v>35</v>
      </c>
      <c r="P279" s="34">
        <v>0.38</v>
      </c>
      <c r="Q279" s="33">
        <v>2.6438885499288181</v>
      </c>
    </row>
    <row r="280" spans="1:17">
      <c r="A280" s="31" t="s">
        <v>309</v>
      </c>
      <c r="B280" s="31" t="s">
        <v>18</v>
      </c>
      <c r="C280" s="31" t="s">
        <v>19</v>
      </c>
      <c r="D280" s="31">
        <v>0</v>
      </c>
      <c r="E280" s="31" t="s">
        <v>20</v>
      </c>
      <c r="F280" s="31" t="s">
        <v>19</v>
      </c>
      <c r="G280" s="31">
        <v>5818</v>
      </c>
      <c r="H280" s="31">
        <v>2160</v>
      </c>
      <c r="I280" s="31">
        <v>184</v>
      </c>
      <c r="J280" s="31">
        <v>360</v>
      </c>
      <c r="K280" s="31">
        <v>1</v>
      </c>
      <c r="L280" s="31" t="s">
        <v>34</v>
      </c>
      <c r="M280" s="31" t="s">
        <v>27</v>
      </c>
      <c r="N280" s="31">
        <v>7978</v>
      </c>
      <c r="O280" s="31" t="s">
        <v>24</v>
      </c>
      <c r="P280" s="32">
        <v>0.43</v>
      </c>
      <c r="Q280" s="31">
        <v>2.3063424417147158</v>
      </c>
    </row>
    <row r="281" spans="1:17">
      <c r="A281" s="33" t="s">
        <v>310</v>
      </c>
      <c r="B281" s="33" t="s">
        <v>46</v>
      </c>
      <c r="C281" s="33" t="s">
        <v>19</v>
      </c>
      <c r="D281" s="33">
        <v>0</v>
      </c>
      <c r="E281" s="33" t="s">
        <v>20</v>
      </c>
      <c r="F281" s="33" t="s">
        <v>21</v>
      </c>
      <c r="G281" s="33">
        <v>4333</v>
      </c>
      <c r="H281" s="33">
        <v>2451</v>
      </c>
      <c r="I281" s="33">
        <v>110</v>
      </c>
      <c r="J281" s="33">
        <v>360</v>
      </c>
      <c r="K281" s="33">
        <v>1</v>
      </c>
      <c r="L281" s="33" t="s">
        <v>26</v>
      </c>
      <c r="M281" s="33" t="s">
        <v>23</v>
      </c>
      <c r="N281" s="33">
        <v>6784</v>
      </c>
      <c r="O281" s="33" t="s">
        <v>24</v>
      </c>
      <c r="P281" s="34">
        <v>0.62</v>
      </c>
      <c r="Q281" s="33">
        <v>1.6214622641509433</v>
      </c>
    </row>
    <row r="282" spans="1:17">
      <c r="A282" s="31" t="s">
        <v>311</v>
      </c>
      <c r="B282" s="31" t="s">
        <v>46</v>
      </c>
      <c r="C282" s="31" t="s">
        <v>21</v>
      </c>
      <c r="D282" s="31">
        <v>0</v>
      </c>
      <c r="E282" s="31" t="s">
        <v>20</v>
      </c>
      <c r="F282" s="31" t="s">
        <v>21</v>
      </c>
      <c r="G282" s="31">
        <v>2500</v>
      </c>
      <c r="H282" s="31">
        <v>0</v>
      </c>
      <c r="I282" s="31">
        <v>67</v>
      </c>
      <c r="J282" s="31">
        <v>360</v>
      </c>
      <c r="K282" s="31">
        <v>1</v>
      </c>
      <c r="L282" s="31" t="s">
        <v>26</v>
      </c>
      <c r="M282" s="31" t="s">
        <v>27</v>
      </c>
      <c r="N282" s="31">
        <v>2500</v>
      </c>
      <c r="O282" s="31" t="s">
        <v>24</v>
      </c>
      <c r="P282" s="32">
        <v>0.37</v>
      </c>
      <c r="Q282" s="31">
        <v>2.68</v>
      </c>
    </row>
    <row r="283" spans="1:17">
      <c r="A283" s="33" t="s">
        <v>312</v>
      </c>
      <c r="B283" s="33" t="s">
        <v>18</v>
      </c>
      <c r="C283" s="33" t="s">
        <v>21</v>
      </c>
      <c r="D283" s="33">
        <v>1</v>
      </c>
      <c r="E283" s="33" t="s">
        <v>20</v>
      </c>
      <c r="F283" s="33" t="s">
        <v>21</v>
      </c>
      <c r="G283" s="33">
        <v>4384</v>
      </c>
      <c r="H283" s="33">
        <v>1793</v>
      </c>
      <c r="I283" s="33">
        <v>117</v>
      </c>
      <c r="J283" s="33">
        <v>360</v>
      </c>
      <c r="K283" s="33">
        <v>1</v>
      </c>
      <c r="L283" s="33" t="s">
        <v>26</v>
      </c>
      <c r="M283" s="33" t="s">
        <v>27</v>
      </c>
      <c r="N283" s="33">
        <v>6177</v>
      </c>
      <c r="O283" s="33" t="s">
        <v>24</v>
      </c>
      <c r="P283" s="34">
        <v>0.53</v>
      </c>
      <c r="Q283" s="33">
        <v>1.8941233608547838</v>
      </c>
    </row>
    <row r="284" spans="1:17">
      <c r="A284" s="31" t="s">
        <v>313</v>
      </c>
      <c r="B284" s="31" t="s">
        <v>18</v>
      </c>
      <c r="C284" s="31" t="s">
        <v>21</v>
      </c>
      <c r="D284" s="31">
        <v>0</v>
      </c>
      <c r="E284" s="31" t="s">
        <v>20</v>
      </c>
      <c r="F284" s="31" t="s">
        <v>21</v>
      </c>
      <c r="G284" s="31">
        <v>2935</v>
      </c>
      <c r="H284" s="31">
        <v>0</v>
      </c>
      <c r="I284" s="31">
        <v>98</v>
      </c>
      <c r="J284" s="31">
        <v>360</v>
      </c>
      <c r="K284" s="31">
        <v>1</v>
      </c>
      <c r="L284" s="31" t="s">
        <v>34</v>
      </c>
      <c r="M284" s="31" t="s">
        <v>27</v>
      </c>
      <c r="N284" s="31">
        <v>2935</v>
      </c>
      <c r="O284" s="31" t="s">
        <v>24</v>
      </c>
      <c r="P284" s="32">
        <v>0.3</v>
      </c>
      <c r="Q284" s="31">
        <v>3.3390119250425889</v>
      </c>
    </row>
    <row r="285" spans="1:17">
      <c r="A285" s="33" t="s">
        <v>314</v>
      </c>
      <c r="B285" s="33" t="s">
        <v>18</v>
      </c>
      <c r="C285" s="33" t="s">
        <v>21</v>
      </c>
      <c r="D285" s="33">
        <v>0</v>
      </c>
      <c r="E285" s="33" t="s">
        <v>20</v>
      </c>
      <c r="F285" s="33" t="s">
        <v>21</v>
      </c>
      <c r="G285" s="33">
        <v>2833</v>
      </c>
      <c r="H285" s="33">
        <v>0</v>
      </c>
      <c r="I285" s="33">
        <v>71</v>
      </c>
      <c r="J285" s="33">
        <v>360</v>
      </c>
      <c r="K285" s="33">
        <v>1</v>
      </c>
      <c r="L285" s="33" t="s">
        <v>26</v>
      </c>
      <c r="M285" s="33" t="s">
        <v>27</v>
      </c>
      <c r="N285" s="33">
        <v>2833</v>
      </c>
      <c r="O285" s="33" t="s">
        <v>24</v>
      </c>
      <c r="P285" s="34">
        <v>0.4</v>
      </c>
      <c r="Q285" s="33">
        <v>2.5061771973173315</v>
      </c>
    </row>
    <row r="286" spans="1:17">
      <c r="A286" s="31" t="s">
        <v>315</v>
      </c>
      <c r="B286" s="31" t="s">
        <v>18</v>
      </c>
      <c r="C286" s="31" t="s">
        <v>19</v>
      </c>
      <c r="D286" s="31">
        <v>0</v>
      </c>
      <c r="E286" s="31" t="s">
        <v>20</v>
      </c>
      <c r="F286" s="31" t="s">
        <v>40</v>
      </c>
      <c r="G286" s="31">
        <v>63337</v>
      </c>
      <c r="H286" s="31">
        <v>0</v>
      </c>
      <c r="I286" s="31">
        <v>490</v>
      </c>
      <c r="J286" s="31">
        <v>180</v>
      </c>
      <c r="K286" s="31">
        <v>1</v>
      </c>
      <c r="L286" s="31" t="s">
        <v>26</v>
      </c>
      <c r="M286" s="31" t="s">
        <v>27</v>
      </c>
      <c r="N286" s="31">
        <v>63337</v>
      </c>
      <c r="O286" s="31" t="s">
        <v>24</v>
      </c>
      <c r="P286" s="32">
        <v>1.29</v>
      </c>
      <c r="Q286" s="31">
        <v>0.77363942087563353</v>
      </c>
    </row>
    <row r="287" spans="1:17">
      <c r="A287" s="33" t="s">
        <v>316</v>
      </c>
      <c r="B287" s="33" t="s">
        <v>40</v>
      </c>
      <c r="C287" s="33" t="s">
        <v>19</v>
      </c>
      <c r="D287" s="33">
        <v>1</v>
      </c>
      <c r="E287" s="33" t="s">
        <v>20</v>
      </c>
      <c r="F287" s="33" t="s">
        <v>19</v>
      </c>
      <c r="G287" s="33">
        <v>9833</v>
      </c>
      <c r="H287" s="33">
        <v>1833</v>
      </c>
      <c r="I287" s="33">
        <v>182</v>
      </c>
      <c r="J287" s="33">
        <v>180</v>
      </c>
      <c r="K287" s="33">
        <v>1</v>
      </c>
      <c r="L287" s="33" t="s">
        <v>26</v>
      </c>
      <c r="M287" s="33" t="s">
        <v>27</v>
      </c>
      <c r="N287" s="33">
        <v>11666</v>
      </c>
      <c r="O287" s="33" t="s">
        <v>24</v>
      </c>
      <c r="P287" s="34">
        <v>0.64</v>
      </c>
      <c r="Q287" s="33">
        <v>1.5600891479513115</v>
      </c>
    </row>
    <row r="288" spans="1:17">
      <c r="A288" s="31" t="s">
        <v>317</v>
      </c>
      <c r="B288" s="31" t="s">
        <v>18</v>
      </c>
      <c r="C288" s="31" t="s">
        <v>19</v>
      </c>
      <c r="D288" s="31">
        <v>1</v>
      </c>
      <c r="E288" s="31" t="s">
        <v>20</v>
      </c>
      <c r="F288" s="31" t="s">
        <v>40</v>
      </c>
      <c r="G288" s="31">
        <v>5250</v>
      </c>
      <c r="H288" s="31">
        <v>688</v>
      </c>
      <c r="I288" s="31">
        <v>160</v>
      </c>
      <c r="J288" s="31">
        <v>360</v>
      </c>
      <c r="K288" s="31">
        <v>1</v>
      </c>
      <c r="L288" s="31" t="s">
        <v>22</v>
      </c>
      <c r="M288" s="31" t="s">
        <v>27</v>
      </c>
      <c r="N288" s="31">
        <v>5938</v>
      </c>
      <c r="O288" s="31" t="s">
        <v>24</v>
      </c>
      <c r="P288" s="32">
        <v>0.37</v>
      </c>
      <c r="Q288" s="31">
        <v>2.6945099360053888</v>
      </c>
    </row>
    <row r="289" spans="1:17">
      <c r="A289" s="33" t="s">
        <v>318</v>
      </c>
      <c r="B289" s="33" t="s">
        <v>18</v>
      </c>
      <c r="C289" s="33" t="s">
        <v>19</v>
      </c>
      <c r="D289" s="33">
        <v>2</v>
      </c>
      <c r="E289" s="33" t="s">
        <v>20</v>
      </c>
      <c r="F289" s="33" t="s">
        <v>19</v>
      </c>
      <c r="G289" s="33">
        <v>2500</v>
      </c>
      <c r="H289" s="33">
        <v>4600</v>
      </c>
      <c r="I289" s="33">
        <v>176</v>
      </c>
      <c r="J289" s="33">
        <v>360</v>
      </c>
      <c r="K289" s="33">
        <v>1</v>
      </c>
      <c r="L289" s="33" t="s">
        <v>22</v>
      </c>
      <c r="M289" s="33" t="s">
        <v>27</v>
      </c>
      <c r="N289" s="33">
        <v>7100</v>
      </c>
      <c r="O289" s="33" t="s">
        <v>24</v>
      </c>
      <c r="P289" s="34">
        <v>0.4</v>
      </c>
      <c r="Q289" s="33">
        <v>2.4788732394366195</v>
      </c>
    </row>
    <row r="290" spans="1:17">
      <c r="A290" s="31" t="s">
        <v>319</v>
      </c>
      <c r="B290" s="31" t="s">
        <v>46</v>
      </c>
      <c r="C290" s="31" t="s">
        <v>21</v>
      </c>
      <c r="D290" s="31">
        <v>0</v>
      </c>
      <c r="E290" s="31" t="s">
        <v>20</v>
      </c>
      <c r="F290" s="31" t="s">
        <v>21</v>
      </c>
      <c r="G290" s="31">
        <v>4160</v>
      </c>
      <c r="H290" s="31">
        <v>0</v>
      </c>
      <c r="I290" s="31">
        <v>71</v>
      </c>
      <c r="J290" s="31">
        <v>360</v>
      </c>
      <c r="K290" s="31">
        <v>1</v>
      </c>
      <c r="L290" s="31" t="s">
        <v>34</v>
      </c>
      <c r="M290" s="31" t="s">
        <v>27</v>
      </c>
      <c r="N290" s="31">
        <v>4160</v>
      </c>
      <c r="O290" s="31" t="s">
        <v>24</v>
      </c>
      <c r="P290" s="32">
        <v>0.59</v>
      </c>
      <c r="Q290" s="31">
        <v>1.7067307692307692</v>
      </c>
    </row>
    <row r="291" spans="1:17">
      <c r="A291" s="33" t="s">
        <v>320</v>
      </c>
      <c r="B291" s="33" t="s">
        <v>18</v>
      </c>
      <c r="C291" s="33" t="s">
        <v>19</v>
      </c>
      <c r="D291" s="33">
        <v>3</v>
      </c>
      <c r="E291" s="33" t="s">
        <v>29</v>
      </c>
      <c r="F291" s="33" t="s">
        <v>21</v>
      </c>
      <c r="G291" s="33">
        <v>2647</v>
      </c>
      <c r="H291" s="33">
        <v>1587</v>
      </c>
      <c r="I291" s="33">
        <v>173</v>
      </c>
      <c r="J291" s="33">
        <v>360</v>
      </c>
      <c r="K291" s="33">
        <v>1</v>
      </c>
      <c r="L291" s="33" t="s">
        <v>22</v>
      </c>
      <c r="M291" s="33" t="s">
        <v>23</v>
      </c>
      <c r="N291" s="33">
        <v>4234</v>
      </c>
      <c r="O291" s="33" t="s">
        <v>24</v>
      </c>
      <c r="P291" s="34">
        <v>0.24</v>
      </c>
      <c r="Q291" s="33">
        <v>4.0859707132735004</v>
      </c>
    </row>
    <row r="292" spans="1:17">
      <c r="A292" s="31" t="s">
        <v>321</v>
      </c>
      <c r="B292" s="31" t="s">
        <v>46</v>
      </c>
      <c r="C292" s="31" t="s">
        <v>21</v>
      </c>
      <c r="D292" s="31">
        <v>0</v>
      </c>
      <c r="E292" s="31" t="s">
        <v>20</v>
      </c>
      <c r="F292" s="31" t="s">
        <v>21</v>
      </c>
      <c r="G292" s="31">
        <v>2378</v>
      </c>
      <c r="H292" s="31">
        <v>0</v>
      </c>
      <c r="I292" s="31">
        <v>46</v>
      </c>
      <c r="J292" s="31">
        <v>360</v>
      </c>
      <c r="K292" s="31">
        <v>1</v>
      </c>
      <c r="L292" s="31" t="s">
        <v>22</v>
      </c>
      <c r="M292" s="31" t="s">
        <v>23</v>
      </c>
      <c r="N292" s="31">
        <v>2378</v>
      </c>
      <c r="O292" s="31" t="s">
        <v>24</v>
      </c>
      <c r="P292" s="32">
        <v>0.52</v>
      </c>
      <c r="Q292" s="31">
        <v>1.9343986543313711</v>
      </c>
    </row>
    <row r="293" spans="1:17">
      <c r="A293" s="33" t="s">
        <v>322</v>
      </c>
      <c r="B293" s="33" t="s">
        <v>18</v>
      </c>
      <c r="C293" s="33" t="s">
        <v>19</v>
      </c>
      <c r="D293" s="33">
        <v>1</v>
      </c>
      <c r="E293" s="33" t="s">
        <v>29</v>
      </c>
      <c r="F293" s="33" t="s">
        <v>21</v>
      </c>
      <c r="G293" s="33">
        <v>4554</v>
      </c>
      <c r="H293" s="33">
        <v>1229</v>
      </c>
      <c r="I293" s="33">
        <v>158</v>
      </c>
      <c r="J293" s="33">
        <v>360</v>
      </c>
      <c r="K293" s="33">
        <v>1</v>
      </c>
      <c r="L293" s="33" t="s">
        <v>26</v>
      </c>
      <c r="M293" s="33" t="s">
        <v>27</v>
      </c>
      <c r="N293" s="33">
        <v>5783</v>
      </c>
      <c r="O293" s="33" t="s">
        <v>24</v>
      </c>
      <c r="P293" s="34">
        <v>0.37</v>
      </c>
      <c r="Q293" s="33">
        <v>2.73214594501124</v>
      </c>
    </row>
    <row r="294" spans="1:17">
      <c r="A294" s="31" t="s">
        <v>323</v>
      </c>
      <c r="B294" s="31" t="s">
        <v>18</v>
      </c>
      <c r="C294" s="31" t="s">
        <v>19</v>
      </c>
      <c r="D294" s="31">
        <v>3</v>
      </c>
      <c r="E294" s="31" t="s">
        <v>29</v>
      </c>
      <c r="F294" s="31" t="s">
        <v>21</v>
      </c>
      <c r="G294" s="31">
        <v>3173</v>
      </c>
      <c r="H294" s="31">
        <v>0</v>
      </c>
      <c r="I294" s="31">
        <v>74</v>
      </c>
      <c r="J294" s="31">
        <v>360</v>
      </c>
      <c r="K294" s="31">
        <v>1</v>
      </c>
      <c r="L294" s="31" t="s">
        <v>34</v>
      </c>
      <c r="M294" s="31" t="s">
        <v>27</v>
      </c>
      <c r="N294" s="31">
        <v>3173</v>
      </c>
      <c r="O294" s="31" t="s">
        <v>24</v>
      </c>
      <c r="P294" s="32">
        <v>0.43</v>
      </c>
      <c r="Q294" s="31">
        <v>2.3321777497636305</v>
      </c>
    </row>
    <row r="295" spans="1:17">
      <c r="A295" s="33" t="s">
        <v>324</v>
      </c>
      <c r="B295" s="33" t="s">
        <v>18</v>
      </c>
      <c r="C295" s="33" t="s">
        <v>19</v>
      </c>
      <c r="D295" s="33">
        <v>2</v>
      </c>
      <c r="E295" s="33" t="s">
        <v>20</v>
      </c>
      <c r="F295" s="33" t="s">
        <v>40</v>
      </c>
      <c r="G295" s="33">
        <v>2583</v>
      </c>
      <c r="H295" s="33">
        <v>2330</v>
      </c>
      <c r="I295" s="33">
        <v>125</v>
      </c>
      <c r="J295" s="33">
        <v>360</v>
      </c>
      <c r="K295" s="33">
        <v>1</v>
      </c>
      <c r="L295" s="33" t="s">
        <v>22</v>
      </c>
      <c r="M295" s="33" t="s">
        <v>27</v>
      </c>
      <c r="N295" s="33">
        <v>4913</v>
      </c>
      <c r="O295" s="33" t="s">
        <v>24</v>
      </c>
      <c r="P295" s="34">
        <v>0.39</v>
      </c>
      <c r="Q295" s="33">
        <v>2.54427030327702</v>
      </c>
    </row>
    <row r="296" spans="1:17">
      <c r="A296" s="31" t="s">
        <v>325</v>
      </c>
      <c r="B296" s="31" t="s">
        <v>18</v>
      </c>
      <c r="C296" s="31" t="s">
        <v>19</v>
      </c>
      <c r="D296" s="31">
        <v>0</v>
      </c>
      <c r="E296" s="31" t="s">
        <v>20</v>
      </c>
      <c r="F296" s="31" t="s">
        <v>21</v>
      </c>
      <c r="G296" s="31">
        <v>2499</v>
      </c>
      <c r="H296" s="31">
        <v>2458</v>
      </c>
      <c r="I296" s="31">
        <v>160</v>
      </c>
      <c r="J296" s="31">
        <v>360</v>
      </c>
      <c r="K296" s="31">
        <v>1</v>
      </c>
      <c r="L296" s="31" t="s">
        <v>34</v>
      </c>
      <c r="M296" s="31" t="s">
        <v>27</v>
      </c>
      <c r="N296" s="31">
        <v>4957</v>
      </c>
      <c r="O296" s="31" t="s">
        <v>24</v>
      </c>
      <c r="P296" s="32">
        <v>0.31</v>
      </c>
      <c r="Q296" s="31">
        <v>3.2277587250353035</v>
      </c>
    </row>
    <row r="297" spans="1:17">
      <c r="A297" s="33" t="s">
        <v>326</v>
      </c>
      <c r="B297" s="33" t="s">
        <v>18</v>
      </c>
      <c r="C297" s="33" t="s">
        <v>19</v>
      </c>
      <c r="D297" s="33">
        <v>0</v>
      </c>
      <c r="E297" s="33" t="s">
        <v>29</v>
      </c>
      <c r="F297" s="33" t="s">
        <v>21</v>
      </c>
      <c r="G297" s="33">
        <v>3523</v>
      </c>
      <c r="H297" s="33">
        <v>3230</v>
      </c>
      <c r="I297" s="33">
        <v>152</v>
      </c>
      <c r="J297" s="33">
        <v>360</v>
      </c>
      <c r="K297" s="33">
        <v>0</v>
      </c>
      <c r="L297" s="33" t="s">
        <v>22</v>
      </c>
      <c r="M297" s="33" t="s">
        <v>23</v>
      </c>
      <c r="N297" s="33">
        <v>6753</v>
      </c>
      <c r="O297" s="33" t="s">
        <v>35</v>
      </c>
      <c r="P297" s="34">
        <v>0.44</v>
      </c>
      <c r="Q297" s="33">
        <v>2.2508514734192211</v>
      </c>
    </row>
    <row r="298" spans="1:17">
      <c r="A298" s="31" t="s">
        <v>327</v>
      </c>
      <c r="B298" s="31" t="s">
        <v>18</v>
      </c>
      <c r="C298" s="31" t="s">
        <v>19</v>
      </c>
      <c r="D298" s="31">
        <v>2</v>
      </c>
      <c r="E298" s="31" t="s">
        <v>29</v>
      </c>
      <c r="F298" s="31" t="s">
        <v>21</v>
      </c>
      <c r="G298" s="31">
        <v>3083</v>
      </c>
      <c r="H298" s="31">
        <v>2168</v>
      </c>
      <c r="I298" s="31">
        <v>126</v>
      </c>
      <c r="J298" s="31">
        <v>360</v>
      </c>
      <c r="K298" s="31">
        <v>1</v>
      </c>
      <c r="L298" s="31" t="s">
        <v>26</v>
      </c>
      <c r="M298" s="31" t="s">
        <v>27</v>
      </c>
      <c r="N298" s="31">
        <v>5251</v>
      </c>
      <c r="O298" s="31" t="s">
        <v>24</v>
      </c>
      <c r="P298" s="32">
        <v>0.42</v>
      </c>
      <c r="Q298" s="31">
        <v>2.3995429442011043</v>
      </c>
    </row>
    <row r="299" spans="1:17">
      <c r="A299" s="33" t="s">
        <v>328</v>
      </c>
      <c r="B299" s="33" t="s">
        <v>18</v>
      </c>
      <c r="C299" s="33" t="s">
        <v>19</v>
      </c>
      <c r="D299" s="33">
        <v>0</v>
      </c>
      <c r="E299" s="33" t="s">
        <v>20</v>
      </c>
      <c r="F299" s="33" t="s">
        <v>21</v>
      </c>
      <c r="G299" s="33">
        <v>2625</v>
      </c>
      <c r="H299" s="33">
        <v>6250</v>
      </c>
      <c r="I299" s="33">
        <v>187</v>
      </c>
      <c r="J299" s="33">
        <v>360</v>
      </c>
      <c r="K299" s="33">
        <v>1</v>
      </c>
      <c r="L299" s="33" t="s">
        <v>22</v>
      </c>
      <c r="M299" s="33" t="s">
        <v>27</v>
      </c>
      <c r="N299" s="33">
        <v>8875</v>
      </c>
      <c r="O299" s="33" t="s">
        <v>24</v>
      </c>
      <c r="P299" s="34">
        <v>0.47</v>
      </c>
      <c r="Q299" s="33">
        <v>2.1070422535211266</v>
      </c>
    </row>
    <row r="300" spans="1:17">
      <c r="A300" s="31" t="s">
        <v>329</v>
      </c>
      <c r="B300" s="31" t="s">
        <v>18</v>
      </c>
      <c r="C300" s="31" t="s">
        <v>19</v>
      </c>
      <c r="D300" s="31">
        <v>0</v>
      </c>
      <c r="E300" s="31" t="s">
        <v>20</v>
      </c>
      <c r="F300" s="31" t="s">
        <v>21</v>
      </c>
      <c r="G300" s="31">
        <v>9083</v>
      </c>
      <c r="H300" s="31">
        <v>0</v>
      </c>
      <c r="I300" s="31">
        <v>228</v>
      </c>
      <c r="J300" s="31">
        <v>360</v>
      </c>
      <c r="K300" s="31">
        <v>1</v>
      </c>
      <c r="L300" s="31" t="s">
        <v>34</v>
      </c>
      <c r="M300" s="31" t="s">
        <v>27</v>
      </c>
      <c r="N300" s="31">
        <v>9083</v>
      </c>
      <c r="O300" s="31" t="s">
        <v>24</v>
      </c>
      <c r="P300" s="32">
        <v>0.4</v>
      </c>
      <c r="Q300" s="31">
        <v>2.5101838599581634</v>
      </c>
    </row>
    <row r="301" spans="1:17">
      <c r="A301" s="33" t="s">
        <v>330</v>
      </c>
      <c r="B301" s="33" t="s">
        <v>18</v>
      </c>
      <c r="C301" s="33" t="s">
        <v>21</v>
      </c>
      <c r="D301" s="33">
        <v>0</v>
      </c>
      <c r="E301" s="33" t="s">
        <v>20</v>
      </c>
      <c r="F301" s="33" t="s">
        <v>21</v>
      </c>
      <c r="G301" s="33">
        <v>8750</v>
      </c>
      <c r="H301" s="33">
        <v>4167</v>
      </c>
      <c r="I301" s="33">
        <v>308</v>
      </c>
      <c r="J301" s="33">
        <v>360</v>
      </c>
      <c r="K301" s="33">
        <v>1</v>
      </c>
      <c r="L301" s="33" t="s">
        <v>22</v>
      </c>
      <c r="M301" s="33" t="s">
        <v>23</v>
      </c>
      <c r="N301" s="33">
        <v>12917</v>
      </c>
      <c r="O301" s="33" t="s">
        <v>24</v>
      </c>
      <c r="P301" s="34">
        <v>0.42</v>
      </c>
      <c r="Q301" s="33">
        <v>2.3844545947201365</v>
      </c>
    </row>
    <row r="302" spans="1:17">
      <c r="A302" s="31" t="s">
        <v>331</v>
      </c>
      <c r="B302" s="31" t="s">
        <v>18</v>
      </c>
      <c r="C302" s="31" t="s">
        <v>19</v>
      </c>
      <c r="D302" s="31">
        <v>3</v>
      </c>
      <c r="E302" s="31" t="s">
        <v>20</v>
      </c>
      <c r="F302" s="31" t="s">
        <v>21</v>
      </c>
      <c r="G302" s="31">
        <v>2666</v>
      </c>
      <c r="H302" s="31">
        <v>2083</v>
      </c>
      <c r="I302" s="31">
        <v>95</v>
      </c>
      <c r="J302" s="31">
        <v>360</v>
      </c>
      <c r="K302" s="31">
        <v>1</v>
      </c>
      <c r="L302" s="31" t="s">
        <v>22</v>
      </c>
      <c r="M302" s="31" t="s">
        <v>27</v>
      </c>
      <c r="N302" s="31">
        <v>4749</v>
      </c>
      <c r="O302" s="31" t="s">
        <v>24</v>
      </c>
      <c r="P302" s="32">
        <v>0.5</v>
      </c>
      <c r="Q302" s="31">
        <v>2.0004211412929038</v>
      </c>
    </row>
    <row r="303" spans="1:17">
      <c r="A303" s="33" t="s">
        <v>332</v>
      </c>
      <c r="B303" s="33" t="s">
        <v>46</v>
      </c>
      <c r="C303" s="33" t="s">
        <v>19</v>
      </c>
      <c r="D303" s="33">
        <v>0</v>
      </c>
      <c r="E303" s="33" t="s">
        <v>20</v>
      </c>
      <c r="F303" s="33" t="s">
        <v>19</v>
      </c>
      <c r="G303" s="33">
        <v>5500</v>
      </c>
      <c r="H303" s="33">
        <v>0</v>
      </c>
      <c r="I303" s="33">
        <v>105</v>
      </c>
      <c r="J303" s="33">
        <v>360</v>
      </c>
      <c r="K303" s="33">
        <v>0</v>
      </c>
      <c r="L303" s="33" t="s">
        <v>22</v>
      </c>
      <c r="M303" s="33" t="s">
        <v>23</v>
      </c>
      <c r="N303" s="33">
        <v>5500</v>
      </c>
      <c r="O303" s="33" t="s">
        <v>35</v>
      </c>
      <c r="P303" s="34">
        <v>0.52</v>
      </c>
      <c r="Q303" s="33">
        <v>1.9090909090909092</v>
      </c>
    </row>
    <row r="304" spans="1:17">
      <c r="A304" s="31" t="s">
        <v>333</v>
      </c>
      <c r="B304" s="31" t="s">
        <v>46</v>
      </c>
      <c r="C304" s="31" t="s">
        <v>19</v>
      </c>
      <c r="D304" s="31">
        <v>0</v>
      </c>
      <c r="E304" s="31" t="s">
        <v>20</v>
      </c>
      <c r="F304" s="31" t="s">
        <v>21</v>
      </c>
      <c r="G304" s="31">
        <v>2423</v>
      </c>
      <c r="H304" s="31">
        <v>505</v>
      </c>
      <c r="I304" s="31">
        <v>130</v>
      </c>
      <c r="J304" s="31">
        <v>360</v>
      </c>
      <c r="K304" s="31">
        <v>1</v>
      </c>
      <c r="L304" s="31" t="s">
        <v>34</v>
      </c>
      <c r="M304" s="31" t="s">
        <v>27</v>
      </c>
      <c r="N304" s="31">
        <v>2928</v>
      </c>
      <c r="O304" s="31" t="s">
        <v>24</v>
      </c>
      <c r="P304" s="32">
        <v>0.23</v>
      </c>
      <c r="Q304" s="31">
        <v>4.4398907103825138</v>
      </c>
    </row>
    <row r="305" spans="1:17">
      <c r="A305" s="33" t="s">
        <v>334</v>
      </c>
      <c r="B305" s="33" t="s">
        <v>46</v>
      </c>
      <c r="C305" s="33" t="s">
        <v>21</v>
      </c>
      <c r="D305" s="33">
        <v>0</v>
      </c>
      <c r="E305" s="33" t="s">
        <v>20</v>
      </c>
      <c r="F305" s="33" t="s">
        <v>21</v>
      </c>
      <c r="G305" s="33">
        <v>3813</v>
      </c>
      <c r="H305" s="33">
        <v>0</v>
      </c>
      <c r="I305" s="33">
        <v>116</v>
      </c>
      <c r="J305" s="33">
        <v>180</v>
      </c>
      <c r="K305" s="33">
        <v>1</v>
      </c>
      <c r="L305" s="33" t="s">
        <v>26</v>
      </c>
      <c r="M305" s="33" t="s">
        <v>27</v>
      </c>
      <c r="N305" s="33">
        <v>3813</v>
      </c>
      <c r="O305" s="33" t="s">
        <v>24</v>
      </c>
      <c r="P305" s="34">
        <v>0.33</v>
      </c>
      <c r="Q305" s="33">
        <v>3.0422239706268028</v>
      </c>
    </row>
    <row r="306" spans="1:17">
      <c r="A306" s="31" t="s">
        <v>335</v>
      </c>
      <c r="B306" s="31" t="s">
        <v>18</v>
      </c>
      <c r="C306" s="31" t="s">
        <v>19</v>
      </c>
      <c r="D306" s="31">
        <v>2</v>
      </c>
      <c r="E306" s="31" t="s">
        <v>20</v>
      </c>
      <c r="F306" s="31" t="s">
        <v>21</v>
      </c>
      <c r="G306" s="31">
        <v>8333</v>
      </c>
      <c r="H306" s="31">
        <v>3167</v>
      </c>
      <c r="I306" s="31">
        <v>165</v>
      </c>
      <c r="J306" s="31">
        <v>360</v>
      </c>
      <c r="K306" s="31">
        <v>1</v>
      </c>
      <c r="L306" s="31" t="s">
        <v>22</v>
      </c>
      <c r="M306" s="31" t="s">
        <v>27</v>
      </c>
      <c r="N306" s="31">
        <v>11500</v>
      </c>
      <c r="O306" s="31" t="s">
        <v>24</v>
      </c>
      <c r="P306" s="32">
        <v>0.7</v>
      </c>
      <c r="Q306" s="31">
        <v>1.4347826086956521</v>
      </c>
    </row>
    <row r="307" spans="1:17">
      <c r="A307" s="33" t="s">
        <v>336</v>
      </c>
      <c r="B307" s="33" t="s">
        <v>18</v>
      </c>
      <c r="C307" s="33" t="s">
        <v>19</v>
      </c>
      <c r="D307" s="33">
        <v>1</v>
      </c>
      <c r="E307" s="33" t="s">
        <v>20</v>
      </c>
      <c r="F307" s="33" t="s">
        <v>21</v>
      </c>
      <c r="G307" s="33">
        <v>3875</v>
      </c>
      <c r="H307" s="33">
        <v>0</v>
      </c>
      <c r="I307" s="33">
        <v>67</v>
      </c>
      <c r="J307" s="33">
        <v>360</v>
      </c>
      <c r="K307" s="33">
        <v>1</v>
      </c>
      <c r="L307" s="33" t="s">
        <v>26</v>
      </c>
      <c r="M307" s="33" t="s">
        <v>23</v>
      </c>
      <c r="N307" s="33">
        <v>3875</v>
      </c>
      <c r="O307" s="33" t="s">
        <v>24</v>
      </c>
      <c r="P307" s="34">
        <v>0.57999999999999996</v>
      </c>
      <c r="Q307" s="33">
        <v>1.7290322580645161</v>
      </c>
    </row>
    <row r="308" spans="1:17">
      <c r="A308" s="31" t="s">
        <v>337</v>
      </c>
      <c r="B308" s="31" t="s">
        <v>18</v>
      </c>
      <c r="C308" s="31" t="s">
        <v>19</v>
      </c>
      <c r="D308" s="31">
        <v>0</v>
      </c>
      <c r="E308" s="31" t="s">
        <v>29</v>
      </c>
      <c r="F308" s="31" t="s">
        <v>21</v>
      </c>
      <c r="G308" s="31">
        <v>3000</v>
      </c>
      <c r="H308" s="31">
        <v>1666</v>
      </c>
      <c r="I308" s="31">
        <v>100</v>
      </c>
      <c r="J308" s="31">
        <v>480</v>
      </c>
      <c r="K308" s="31">
        <v>0</v>
      </c>
      <c r="L308" s="31" t="s">
        <v>26</v>
      </c>
      <c r="M308" s="31" t="s">
        <v>23</v>
      </c>
      <c r="N308" s="31">
        <v>4666</v>
      </c>
      <c r="O308" s="31" t="s">
        <v>35</v>
      </c>
      <c r="P308" s="32">
        <v>0.47</v>
      </c>
      <c r="Q308" s="31">
        <v>2.1431633090441493</v>
      </c>
    </row>
    <row r="309" spans="1:17">
      <c r="A309" s="33" t="s">
        <v>338</v>
      </c>
      <c r="B309" s="33" t="s">
        <v>18</v>
      </c>
      <c r="C309" s="33" t="s">
        <v>19</v>
      </c>
      <c r="D309" s="33">
        <v>3</v>
      </c>
      <c r="E309" s="33" t="s">
        <v>20</v>
      </c>
      <c r="F309" s="33" t="s">
        <v>21</v>
      </c>
      <c r="G309" s="33">
        <v>5167</v>
      </c>
      <c r="H309" s="33">
        <v>3167</v>
      </c>
      <c r="I309" s="33">
        <v>200</v>
      </c>
      <c r="J309" s="33">
        <v>360</v>
      </c>
      <c r="K309" s="33">
        <v>1</v>
      </c>
      <c r="L309" s="33" t="s">
        <v>34</v>
      </c>
      <c r="M309" s="33" t="s">
        <v>27</v>
      </c>
      <c r="N309" s="33">
        <v>8334</v>
      </c>
      <c r="O309" s="33" t="s">
        <v>24</v>
      </c>
      <c r="P309" s="34">
        <v>0.42</v>
      </c>
      <c r="Q309" s="33">
        <v>2.3998080153587713</v>
      </c>
    </row>
    <row r="310" spans="1:17">
      <c r="A310" s="31" t="s">
        <v>339</v>
      </c>
      <c r="B310" s="31" t="s">
        <v>46</v>
      </c>
      <c r="C310" s="31" t="s">
        <v>21</v>
      </c>
      <c r="D310" s="31">
        <v>1</v>
      </c>
      <c r="E310" s="31" t="s">
        <v>20</v>
      </c>
      <c r="F310" s="31" t="s">
        <v>21</v>
      </c>
      <c r="G310" s="31">
        <v>4723</v>
      </c>
      <c r="H310" s="31">
        <v>0</v>
      </c>
      <c r="I310" s="31">
        <v>81</v>
      </c>
      <c r="J310" s="31">
        <v>360</v>
      </c>
      <c r="K310" s="31">
        <v>1</v>
      </c>
      <c r="L310" s="31" t="s">
        <v>34</v>
      </c>
      <c r="M310" s="31" t="s">
        <v>23</v>
      </c>
      <c r="N310" s="31">
        <v>4723</v>
      </c>
      <c r="O310" s="31" t="s">
        <v>24</v>
      </c>
      <c r="P310" s="32">
        <v>0.57999999999999996</v>
      </c>
      <c r="Q310" s="31">
        <v>1.7150116451408004</v>
      </c>
    </row>
    <row r="311" spans="1:17">
      <c r="A311" s="33" t="s">
        <v>340</v>
      </c>
      <c r="B311" s="33" t="s">
        <v>18</v>
      </c>
      <c r="C311" s="33" t="s">
        <v>19</v>
      </c>
      <c r="D311" s="33">
        <v>2</v>
      </c>
      <c r="E311" s="33" t="s">
        <v>20</v>
      </c>
      <c r="F311" s="33" t="s">
        <v>21</v>
      </c>
      <c r="G311" s="33">
        <v>5000</v>
      </c>
      <c r="H311" s="33">
        <v>3667</v>
      </c>
      <c r="I311" s="33">
        <v>236</v>
      </c>
      <c r="J311" s="33">
        <v>360</v>
      </c>
      <c r="K311" s="33">
        <v>1</v>
      </c>
      <c r="L311" s="33" t="s">
        <v>34</v>
      </c>
      <c r="M311" s="33" t="s">
        <v>27</v>
      </c>
      <c r="N311" s="33">
        <v>8667</v>
      </c>
      <c r="O311" s="33" t="s">
        <v>24</v>
      </c>
      <c r="P311" s="34">
        <v>0.37</v>
      </c>
      <c r="Q311" s="33">
        <v>2.7229721933771778</v>
      </c>
    </row>
    <row r="312" spans="1:17">
      <c r="A312" s="31" t="s">
        <v>341</v>
      </c>
      <c r="B312" s="31" t="s">
        <v>18</v>
      </c>
      <c r="C312" s="31" t="s">
        <v>19</v>
      </c>
      <c r="D312" s="31">
        <v>0</v>
      </c>
      <c r="E312" s="31" t="s">
        <v>20</v>
      </c>
      <c r="F312" s="31" t="s">
        <v>21</v>
      </c>
      <c r="G312" s="31">
        <v>4750</v>
      </c>
      <c r="H312" s="31">
        <v>2333</v>
      </c>
      <c r="I312" s="31">
        <v>130</v>
      </c>
      <c r="J312" s="31">
        <v>360</v>
      </c>
      <c r="K312" s="31">
        <v>1</v>
      </c>
      <c r="L312" s="31" t="s">
        <v>26</v>
      </c>
      <c r="M312" s="31" t="s">
        <v>27</v>
      </c>
      <c r="N312" s="31">
        <v>7083</v>
      </c>
      <c r="O312" s="31" t="s">
        <v>24</v>
      </c>
      <c r="P312" s="32">
        <v>0.54</v>
      </c>
      <c r="Q312" s="31">
        <v>1.835380488493576</v>
      </c>
    </row>
    <row r="313" spans="1:17">
      <c r="A313" s="33" t="s">
        <v>342</v>
      </c>
      <c r="B313" s="33" t="s">
        <v>18</v>
      </c>
      <c r="C313" s="33" t="s">
        <v>21</v>
      </c>
      <c r="D313" s="33">
        <v>0</v>
      </c>
      <c r="E313" s="33" t="s">
        <v>20</v>
      </c>
      <c r="F313" s="33" t="s">
        <v>19</v>
      </c>
      <c r="G313" s="33">
        <v>6822</v>
      </c>
      <c r="H313" s="33">
        <v>0</v>
      </c>
      <c r="I313" s="33">
        <v>141</v>
      </c>
      <c r="J313" s="33">
        <v>360</v>
      </c>
      <c r="K313" s="33">
        <v>1</v>
      </c>
      <c r="L313" s="33" t="s">
        <v>22</v>
      </c>
      <c r="M313" s="33" t="s">
        <v>27</v>
      </c>
      <c r="N313" s="33">
        <v>6822</v>
      </c>
      <c r="O313" s="33" t="s">
        <v>24</v>
      </c>
      <c r="P313" s="34">
        <v>0.48</v>
      </c>
      <c r="Q313" s="33">
        <v>2.0668425681618294</v>
      </c>
    </row>
    <row r="314" spans="1:17">
      <c r="A314" s="31" t="s">
        <v>343</v>
      </c>
      <c r="B314" s="31" t="s">
        <v>18</v>
      </c>
      <c r="C314" s="31" t="s">
        <v>21</v>
      </c>
      <c r="D314" s="31">
        <v>0</v>
      </c>
      <c r="E314" s="31" t="s">
        <v>29</v>
      </c>
      <c r="F314" s="31" t="s">
        <v>21</v>
      </c>
      <c r="G314" s="31">
        <v>6216</v>
      </c>
      <c r="H314" s="31">
        <v>0</v>
      </c>
      <c r="I314" s="31">
        <v>133</v>
      </c>
      <c r="J314" s="31">
        <v>360</v>
      </c>
      <c r="K314" s="31">
        <v>1</v>
      </c>
      <c r="L314" s="31" t="s">
        <v>22</v>
      </c>
      <c r="M314" s="31" t="s">
        <v>23</v>
      </c>
      <c r="N314" s="31">
        <v>6216</v>
      </c>
      <c r="O314" s="31" t="s">
        <v>24</v>
      </c>
      <c r="P314" s="32">
        <v>0.47</v>
      </c>
      <c r="Q314" s="31">
        <v>2.1396396396396398</v>
      </c>
    </row>
    <row r="315" spans="1:17">
      <c r="A315" s="33" t="s">
        <v>344</v>
      </c>
      <c r="B315" s="33" t="s">
        <v>18</v>
      </c>
      <c r="C315" s="33" t="s">
        <v>21</v>
      </c>
      <c r="D315" s="33">
        <v>0</v>
      </c>
      <c r="E315" s="33" t="s">
        <v>20</v>
      </c>
      <c r="F315" s="33" t="s">
        <v>21</v>
      </c>
      <c r="G315" s="33">
        <v>2500</v>
      </c>
      <c r="H315" s="33">
        <v>0</v>
      </c>
      <c r="I315" s="33">
        <v>96</v>
      </c>
      <c r="J315" s="33">
        <v>480</v>
      </c>
      <c r="K315" s="33">
        <v>1</v>
      </c>
      <c r="L315" s="33" t="s">
        <v>34</v>
      </c>
      <c r="M315" s="33" t="s">
        <v>23</v>
      </c>
      <c r="N315" s="33">
        <v>2500</v>
      </c>
      <c r="O315" s="33" t="s">
        <v>24</v>
      </c>
      <c r="P315" s="34">
        <v>0.26</v>
      </c>
      <c r="Q315" s="33">
        <v>3.84</v>
      </c>
    </row>
    <row r="316" spans="1:17">
      <c r="A316" s="31" t="s">
        <v>345</v>
      </c>
      <c r="B316" s="31" t="s">
        <v>18</v>
      </c>
      <c r="C316" s="31" t="s">
        <v>19</v>
      </c>
      <c r="D316" s="31">
        <v>1</v>
      </c>
      <c r="E316" s="31" t="s">
        <v>20</v>
      </c>
      <c r="F316" s="31" t="s">
        <v>21</v>
      </c>
      <c r="G316" s="31">
        <v>6325</v>
      </c>
      <c r="H316" s="31">
        <v>0</v>
      </c>
      <c r="I316" s="31">
        <v>175</v>
      </c>
      <c r="J316" s="31">
        <v>360</v>
      </c>
      <c r="K316" s="31">
        <v>1</v>
      </c>
      <c r="L316" s="31" t="s">
        <v>34</v>
      </c>
      <c r="M316" s="31" t="s">
        <v>27</v>
      </c>
      <c r="N316" s="31">
        <v>6325</v>
      </c>
      <c r="O316" s="31" t="s">
        <v>24</v>
      </c>
      <c r="P316" s="32">
        <v>0.36</v>
      </c>
      <c r="Q316" s="31">
        <v>2.766798418972332</v>
      </c>
    </row>
    <row r="317" spans="1:17">
      <c r="A317" s="33" t="s">
        <v>346</v>
      </c>
      <c r="B317" s="33" t="s">
        <v>18</v>
      </c>
      <c r="C317" s="33" t="s">
        <v>19</v>
      </c>
      <c r="D317" s="33">
        <v>0</v>
      </c>
      <c r="E317" s="33" t="s">
        <v>20</v>
      </c>
      <c r="F317" s="33" t="s">
        <v>21</v>
      </c>
      <c r="G317" s="33">
        <v>19730</v>
      </c>
      <c r="H317" s="33">
        <v>5266</v>
      </c>
      <c r="I317" s="33">
        <v>570</v>
      </c>
      <c r="J317" s="33">
        <v>360</v>
      </c>
      <c r="K317" s="33">
        <v>1</v>
      </c>
      <c r="L317" s="33" t="s">
        <v>22</v>
      </c>
      <c r="M317" s="33" t="s">
        <v>23</v>
      </c>
      <c r="N317" s="33">
        <v>24996</v>
      </c>
      <c r="O317" s="33" t="s">
        <v>24</v>
      </c>
      <c r="P317" s="34">
        <v>0.44</v>
      </c>
      <c r="Q317" s="33">
        <v>2.2803648583773404</v>
      </c>
    </row>
    <row r="318" spans="1:17">
      <c r="A318" s="31" t="s">
        <v>347</v>
      </c>
      <c r="B318" s="31" t="s">
        <v>46</v>
      </c>
      <c r="C318" s="31" t="s">
        <v>21</v>
      </c>
      <c r="D318" s="31">
        <v>0</v>
      </c>
      <c r="E318" s="31" t="s">
        <v>20</v>
      </c>
      <c r="F318" s="31" t="s">
        <v>19</v>
      </c>
      <c r="G318" s="31">
        <v>15759</v>
      </c>
      <c r="H318" s="31">
        <v>0</v>
      </c>
      <c r="I318" s="31">
        <v>55</v>
      </c>
      <c r="J318" s="31">
        <v>360</v>
      </c>
      <c r="K318" s="31">
        <v>1</v>
      </c>
      <c r="L318" s="31" t="s">
        <v>34</v>
      </c>
      <c r="M318" s="31" t="s">
        <v>27</v>
      </c>
      <c r="N318" s="31">
        <v>15759</v>
      </c>
      <c r="O318" s="31" t="s">
        <v>24</v>
      </c>
      <c r="P318" s="32">
        <v>2.87</v>
      </c>
      <c r="Q318" s="31">
        <v>0.34900691668253064</v>
      </c>
    </row>
    <row r="319" spans="1:17">
      <c r="A319" s="33" t="s">
        <v>348</v>
      </c>
      <c r="B319" s="33" t="s">
        <v>18</v>
      </c>
      <c r="C319" s="33" t="s">
        <v>19</v>
      </c>
      <c r="D319" s="33">
        <v>2</v>
      </c>
      <c r="E319" s="33" t="s">
        <v>20</v>
      </c>
      <c r="F319" s="33" t="s">
        <v>21</v>
      </c>
      <c r="G319" s="33">
        <v>5185</v>
      </c>
      <c r="H319" s="33">
        <v>0</v>
      </c>
      <c r="I319" s="33">
        <v>155</v>
      </c>
      <c r="J319" s="33">
        <v>360</v>
      </c>
      <c r="K319" s="33">
        <v>1</v>
      </c>
      <c r="L319" s="33" t="s">
        <v>34</v>
      </c>
      <c r="M319" s="33" t="s">
        <v>27</v>
      </c>
      <c r="N319" s="33">
        <v>5185</v>
      </c>
      <c r="O319" s="33" t="s">
        <v>24</v>
      </c>
      <c r="P319" s="34">
        <v>0.33</v>
      </c>
      <c r="Q319" s="33">
        <v>2.9893924783027965</v>
      </c>
    </row>
    <row r="320" spans="1:17">
      <c r="A320" s="31" t="s">
        <v>349</v>
      </c>
      <c r="B320" s="31" t="s">
        <v>18</v>
      </c>
      <c r="C320" s="31" t="s">
        <v>19</v>
      </c>
      <c r="D320" s="31">
        <v>2</v>
      </c>
      <c r="E320" s="31" t="s">
        <v>20</v>
      </c>
      <c r="F320" s="31" t="s">
        <v>19</v>
      </c>
      <c r="G320" s="31">
        <v>9323</v>
      </c>
      <c r="H320" s="31">
        <v>7873</v>
      </c>
      <c r="I320" s="31">
        <v>380</v>
      </c>
      <c r="J320" s="31">
        <v>300</v>
      </c>
      <c r="K320" s="31">
        <v>1</v>
      </c>
      <c r="L320" s="31" t="s">
        <v>22</v>
      </c>
      <c r="M320" s="31" t="s">
        <v>27</v>
      </c>
      <c r="N320" s="31">
        <v>17196</v>
      </c>
      <c r="O320" s="31" t="s">
        <v>24</v>
      </c>
      <c r="P320" s="32">
        <v>0.45</v>
      </c>
      <c r="Q320" s="31">
        <v>2.209816236334031</v>
      </c>
    </row>
    <row r="321" spans="1:17">
      <c r="A321" s="33" t="s">
        <v>350</v>
      </c>
      <c r="B321" s="33" t="s">
        <v>18</v>
      </c>
      <c r="C321" s="33" t="s">
        <v>21</v>
      </c>
      <c r="D321" s="33">
        <v>1</v>
      </c>
      <c r="E321" s="33" t="s">
        <v>20</v>
      </c>
      <c r="F321" s="33" t="s">
        <v>21</v>
      </c>
      <c r="G321" s="33">
        <v>3062</v>
      </c>
      <c r="H321" s="33">
        <v>1987</v>
      </c>
      <c r="I321" s="33">
        <v>111</v>
      </c>
      <c r="J321" s="33">
        <v>180</v>
      </c>
      <c r="K321" s="33">
        <v>0</v>
      </c>
      <c r="L321" s="33" t="s">
        <v>26</v>
      </c>
      <c r="M321" s="33" t="s">
        <v>23</v>
      </c>
      <c r="N321" s="33">
        <v>5049</v>
      </c>
      <c r="O321" s="33" t="s">
        <v>35</v>
      </c>
      <c r="P321" s="34">
        <v>0.45</v>
      </c>
      <c r="Q321" s="33">
        <v>2.1984551396316103</v>
      </c>
    </row>
    <row r="322" spans="1:17">
      <c r="A322" s="31" t="s">
        <v>351</v>
      </c>
      <c r="B322" s="31" t="s">
        <v>46</v>
      </c>
      <c r="C322" s="31" t="s">
        <v>21</v>
      </c>
      <c r="D322" s="31">
        <v>0</v>
      </c>
      <c r="E322" s="31" t="s">
        <v>20</v>
      </c>
      <c r="F322" s="31" t="s">
        <v>40</v>
      </c>
      <c r="G322" s="31">
        <v>2764</v>
      </c>
      <c r="H322" s="31">
        <v>1459</v>
      </c>
      <c r="I322" s="31">
        <v>110</v>
      </c>
      <c r="J322" s="31">
        <v>360</v>
      </c>
      <c r="K322" s="31">
        <v>1</v>
      </c>
      <c r="L322" s="31" t="s">
        <v>26</v>
      </c>
      <c r="M322" s="31" t="s">
        <v>27</v>
      </c>
      <c r="N322" s="31">
        <v>4223</v>
      </c>
      <c r="O322" s="31" t="s">
        <v>24</v>
      </c>
      <c r="P322" s="32">
        <v>0.38</v>
      </c>
      <c r="Q322" s="31">
        <v>2.604783329386692</v>
      </c>
    </row>
    <row r="323" spans="1:17">
      <c r="A323" s="33" t="s">
        <v>352</v>
      </c>
      <c r="B323" s="33" t="s">
        <v>18</v>
      </c>
      <c r="C323" s="33" t="s">
        <v>19</v>
      </c>
      <c r="D323" s="33">
        <v>0</v>
      </c>
      <c r="E323" s="33" t="s">
        <v>20</v>
      </c>
      <c r="F323" s="33" t="s">
        <v>21</v>
      </c>
      <c r="G323" s="33">
        <v>4817</v>
      </c>
      <c r="H323" s="33">
        <v>923</v>
      </c>
      <c r="I323" s="33">
        <v>120</v>
      </c>
      <c r="J323" s="33">
        <v>180</v>
      </c>
      <c r="K323" s="33">
        <v>1</v>
      </c>
      <c r="L323" s="33" t="s">
        <v>26</v>
      </c>
      <c r="M323" s="33" t="s">
        <v>27</v>
      </c>
      <c r="N323" s="33">
        <v>5740</v>
      </c>
      <c r="O323" s="33" t="s">
        <v>24</v>
      </c>
      <c r="P323" s="34">
        <v>0.48</v>
      </c>
      <c r="Q323" s="33">
        <v>2.0905923344947737</v>
      </c>
    </row>
    <row r="324" spans="1:17">
      <c r="A324" s="31" t="s">
        <v>353</v>
      </c>
      <c r="B324" s="31" t="s">
        <v>18</v>
      </c>
      <c r="C324" s="31" t="s">
        <v>19</v>
      </c>
      <c r="D324" s="31">
        <v>3</v>
      </c>
      <c r="E324" s="31" t="s">
        <v>20</v>
      </c>
      <c r="F324" s="31" t="s">
        <v>21</v>
      </c>
      <c r="G324" s="31">
        <v>8750</v>
      </c>
      <c r="H324" s="31">
        <v>4996</v>
      </c>
      <c r="I324" s="31">
        <v>130</v>
      </c>
      <c r="J324" s="31">
        <v>360</v>
      </c>
      <c r="K324" s="31">
        <v>1</v>
      </c>
      <c r="L324" s="31" t="s">
        <v>22</v>
      </c>
      <c r="M324" s="31" t="s">
        <v>27</v>
      </c>
      <c r="N324" s="31">
        <v>13746</v>
      </c>
      <c r="O324" s="31" t="s">
        <v>24</v>
      </c>
      <c r="P324" s="32">
        <v>1.06</v>
      </c>
      <c r="Q324" s="31">
        <v>0.94572966681216353</v>
      </c>
    </row>
    <row r="325" spans="1:17">
      <c r="A325" s="33" t="s">
        <v>354</v>
      </c>
      <c r="B325" s="33" t="s">
        <v>18</v>
      </c>
      <c r="C325" s="33" t="s">
        <v>21</v>
      </c>
      <c r="D325" s="33">
        <v>0</v>
      </c>
      <c r="E325" s="33" t="s">
        <v>20</v>
      </c>
      <c r="F325" s="33" t="s">
        <v>21</v>
      </c>
      <c r="G325" s="33">
        <v>3069</v>
      </c>
      <c r="H325" s="33">
        <v>0</v>
      </c>
      <c r="I325" s="33">
        <v>71</v>
      </c>
      <c r="J325" s="33">
        <v>480</v>
      </c>
      <c r="K325" s="33">
        <v>1</v>
      </c>
      <c r="L325" s="33" t="s">
        <v>26</v>
      </c>
      <c r="M325" s="33" t="s">
        <v>23</v>
      </c>
      <c r="N325" s="33">
        <v>3069</v>
      </c>
      <c r="O325" s="33" t="s">
        <v>24</v>
      </c>
      <c r="P325" s="34">
        <v>0.43</v>
      </c>
      <c r="Q325" s="33">
        <v>2.3134571521668295</v>
      </c>
    </row>
    <row r="326" spans="1:17">
      <c r="A326" s="31" t="s">
        <v>355</v>
      </c>
      <c r="B326" s="31" t="s">
        <v>18</v>
      </c>
      <c r="C326" s="31" t="s">
        <v>19</v>
      </c>
      <c r="D326" s="31">
        <v>2</v>
      </c>
      <c r="E326" s="31" t="s">
        <v>20</v>
      </c>
      <c r="F326" s="31" t="s">
        <v>21</v>
      </c>
      <c r="G326" s="31">
        <v>5391</v>
      </c>
      <c r="H326" s="31">
        <v>0</v>
      </c>
      <c r="I326" s="31">
        <v>130</v>
      </c>
      <c r="J326" s="31">
        <v>360</v>
      </c>
      <c r="K326" s="31">
        <v>1</v>
      </c>
      <c r="L326" s="31" t="s">
        <v>26</v>
      </c>
      <c r="M326" s="31" t="s">
        <v>27</v>
      </c>
      <c r="N326" s="31">
        <v>5391</v>
      </c>
      <c r="O326" s="31" t="s">
        <v>24</v>
      </c>
      <c r="P326" s="32">
        <v>0.41</v>
      </c>
      <c r="Q326" s="31">
        <v>2.4114264514932295</v>
      </c>
    </row>
    <row r="327" spans="1:17">
      <c r="A327" s="33" t="s">
        <v>356</v>
      </c>
      <c r="B327" s="33" t="s">
        <v>18</v>
      </c>
      <c r="C327" s="33" t="s">
        <v>19</v>
      </c>
      <c r="D327" s="33">
        <v>0</v>
      </c>
      <c r="E327" s="33" t="s">
        <v>20</v>
      </c>
      <c r="F327" s="33" t="s">
        <v>40</v>
      </c>
      <c r="G327" s="33">
        <v>3333</v>
      </c>
      <c r="H327" s="33">
        <v>2500</v>
      </c>
      <c r="I327" s="33">
        <v>128</v>
      </c>
      <c r="J327" s="33">
        <v>360</v>
      </c>
      <c r="K327" s="33">
        <v>1</v>
      </c>
      <c r="L327" s="33" t="s">
        <v>34</v>
      </c>
      <c r="M327" s="33" t="s">
        <v>27</v>
      </c>
      <c r="N327" s="33">
        <v>5833</v>
      </c>
      <c r="O327" s="33" t="s">
        <v>24</v>
      </c>
      <c r="P327" s="34">
        <v>0.46</v>
      </c>
      <c r="Q327" s="33">
        <v>2.1944111092062406</v>
      </c>
    </row>
    <row r="328" spans="1:17">
      <c r="A328" s="31" t="s">
        <v>357</v>
      </c>
      <c r="B328" s="31" t="s">
        <v>18</v>
      </c>
      <c r="C328" s="31" t="s">
        <v>21</v>
      </c>
      <c r="D328" s="31">
        <v>0</v>
      </c>
      <c r="E328" s="31" t="s">
        <v>20</v>
      </c>
      <c r="F328" s="31" t="s">
        <v>21</v>
      </c>
      <c r="G328" s="31">
        <v>5941</v>
      </c>
      <c r="H328" s="31">
        <v>4232</v>
      </c>
      <c r="I328" s="31">
        <v>296</v>
      </c>
      <c r="J328" s="31">
        <v>360</v>
      </c>
      <c r="K328" s="31">
        <v>1</v>
      </c>
      <c r="L328" s="31" t="s">
        <v>34</v>
      </c>
      <c r="M328" s="31" t="s">
        <v>27</v>
      </c>
      <c r="N328" s="31">
        <v>10173</v>
      </c>
      <c r="O328" s="31" t="s">
        <v>24</v>
      </c>
      <c r="P328" s="32">
        <v>0.34</v>
      </c>
      <c r="Q328" s="31">
        <v>2.9096628329892851</v>
      </c>
    </row>
    <row r="329" spans="1:17">
      <c r="A329" s="33" t="s">
        <v>358</v>
      </c>
      <c r="B329" s="33" t="s">
        <v>46</v>
      </c>
      <c r="C329" s="33" t="s">
        <v>21</v>
      </c>
      <c r="D329" s="33">
        <v>0</v>
      </c>
      <c r="E329" s="33" t="s">
        <v>20</v>
      </c>
      <c r="F329" s="33" t="s">
        <v>21</v>
      </c>
      <c r="G329" s="33">
        <v>6000</v>
      </c>
      <c r="H329" s="33">
        <v>0</v>
      </c>
      <c r="I329" s="33">
        <v>156</v>
      </c>
      <c r="J329" s="33">
        <v>360</v>
      </c>
      <c r="K329" s="33">
        <v>1</v>
      </c>
      <c r="L329" s="33" t="s">
        <v>26</v>
      </c>
      <c r="M329" s="33" t="s">
        <v>27</v>
      </c>
      <c r="N329" s="33">
        <v>6000</v>
      </c>
      <c r="O329" s="33" t="s">
        <v>24</v>
      </c>
      <c r="P329" s="34">
        <v>0.38</v>
      </c>
      <c r="Q329" s="33">
        <v>2.6</v>
      </c>
    </row>
    <row r="330" spans="1:17">
      <c r="A330" s="31" t="s">
        <v>359</v>
      </c>
      <c r="B330" s="31" t="s">
        <v>18</v>
      </c>
      <c r="C330" s="31" t="s">
        <v>21</v>
      </c>
      <c r="D330" s="31">
        <v>0</v>
      </c>
      <c r="E330" s="31" t="s">
        <v>20</v>
      </c>
      <c r="F330" s="31" t="s">
        <v>19</v>
      </c>
      <c r="G330" s="31">
        <v>7167</v>
      </c>
      <c r="H330" s="31">
        <v>0</v>
      </c>
      <c r="I330" s="31">
        <v>128</v>
      </c>
      <c r="J330" s="31">
        <v>360</v>
      </c>
      <c r="K330" s="31">
        <v>1</v>
      </c>
      <c r="L330" s="31" t="s">
        <v>26</v>
      </c>
      <c r="M330" s="31" t="s">
        <v>27</v>
      </c>
      <c r="N330" s="31">
        <v>7167</v>
      </c>
      <c r="O330" s="31" t="s">
        <v>24</v>
      </c>
      <c r="P330" s="32">
        <v>0.56000000000000005</v>
      </c>
      <c r="Q330" s="31">
        <v>1.7859634435607648</v>
      </c>
    </row>
    <row r="331" spans="1:17">
      <c r="A331" s="33" t="s">
        <v>360</v>
      </c>
      <c r="B331" s="33" t="s">
        <v>18</v>
      </c>
      <c r="C331" s="33" t="s">
        <v>19</v>
      </c>
      <c r="D331" s="33">
        <v>2</v>
      </c>
      <c r="E331" s="33" t="s">
        <v>20</v>
      </c>
      <c r="F331" s="33" t="s">
        <v>21</v>
      </c>
      <c r="G331" s="33">
        <v>4566</v>
      </c>
      <c r="H331" s="33">
        <v>0</v>
      </c>
      <c r="I331" s="33">
        <v>100</v>
      </c>
      <c r="J331" s="33">
        <v>360</v>
      </c>
      <c r="K331" s="33">
        <v>1</v>
      </c>
      <c r="L331" s="33" t="s">
        <v>26</v>
      </c>
      <c r="M331" s="33" t="s">
        <v>23</v>
      </c>
      <c r="N331" s="33">
        <v>4566</v>
      </c>
      <c r="O331" s="33" t="s">
        <v>24</v>
      </c>
      <c r="P331" s="34">
        <v>0.46</v>
      </c>
      <c r="Q331" s="33">
        <v>2.1901007446342531</v>
      </c>
    </row>
    <row r="332" spans="1:17">
      <c r="A332" s="31" t="s">
        <v>361</v>
      </c>
      <c r="B332" s="31" t="s">
        <v>18</v>
      </c>
      <c r="C332" s="31" t="s">
        <v>21</v>
      </c>
      <c r="D332" s="31">
        <v>1</v>
      </c>
      <c r="E332" s="31" t="s">
        <v>20</v>
      </c>
      <c r="F332" s="31" t="s">
        <v>40</v>
      </c>
      <c r="G332" s="31">
        <v>3667</v>
      </c>
      <c r="H332" s="31">
        <v>0</v>
      </c>
      <c r="I332" s="31">
        <v>113</v>
      </c>
      <c r="J332" s="31">
        <v>180</v>
      </c>
      <c r="K332" s="31">
        <v>1</v>
      </c>
      <c r="L332" s="31" t="s">
        <v>26</v>
      </c>
      <c r="M332" s="31" t="s">
        <v>27</v>
      </c>
      <c r="N332" s="31">
        <v>3667</v>
      </c>
      <c r="O332" s="31" t="s">
        <v>24</v>
      </c>
      <c r="P332" s="32">
        <v>0.32</v>
      </c>
      <c r="Q332" s="31">
        <v>3.0815380419961822</v>
      </c>
    </row>
    <row r="333" spans="1:17">
      <c r="A333" s="33" t="s">
        <v>362</v>
      </c>
      <c r="B333" s="33" t="s">
        <v>18</v>
      </c>
      <c r="C333" s="33" t="s">
        <v>21</v>
      </c>
      <c r="D333" s="33">
        <v>0</v>
      </c>
      <c r="E333" s="33" t="s">
        <v>29</v>
      </c>
      <c r="F333" s="33" t="s">
        <v>21</v>
      </c>
      <c r="G333" s="33">
        <v>2346</v>
      </c>
      <c r="H333" s="33">
        <v>1600</v>
      </c>
      <c r="I333" s="33">
        <v>132</v>
      </c>
      <c r="J333" s="33">
        <v>360</v>
      </c>
      <c r="K333" s="33">
        <v>1</v>
      </c>
      <c r="L333" s="33" t="s">
        <v>34</v>
      </c>
      <c r="M333" s="33" t="s">
        <v>27</v>
      </c>
      <c r="N333" s="33">
        <v>3946</v>
      </c>
      <c r="O333" s="33" t="s">
        <v>24</v>
      </c>
      <c r="P333" s="34">
        <v>0.3</v>
      </c>
      <c r="Q333" s="33">
        <v>3.3451596553471874</v>
      </c>
    </row>
    <row r="334" spans="1:17">
      <c r="A334" s="31" t="s">
        <v>363</v>
      </c>
      <c r="B334" s="31" t="s">
        <v>18</v>
      </c>
      <c r="C334" s="31" t="s">
        <v>19</v>
      </c>
      <c r="D334" s="31">
        <v>0</v>
      </c>
      <c r="E334" s="31" t="s">
        <v>20</v>
      </c>
      <c r="F334" s="31" t="s">
        <v>21</v>
      </c>
      <c r="G334" s="31">
        <v>2333</v>
      </c>
      <c r="H334" s="31">
        <v>2417</v>
      </c>
      <c r="I334" s="31">
        <v>136</v>
      </c>
      <c r="J334" s="31">
        <v>360</v>
      </c>
      <c r="K334" s="31">
        <v>1</v>
      </c>
      <c r="L334" s="31" t="s">
        <v>26</v>
      </c>
      <c r="M334" s="31" t="s">
        <v>27</v>
      </c>
      <c r="N334" s="31">
        <v>4750</v>
      </c>
      <c r="O334" s="31" t="s">
        <v>24</v>
      </c>
      <c r="P334" s="32">
        <v>0.35</v>
      </c>
      <c r="Q334" s="31">
        <v>2.8631578947368421</v>
      </c>
    </row>
    <row r="335" spans="1:17">
      <c r="A335" s="33" t="s">
        <v>364</v>
      </c>
      <c r="B335" s="33" t="s">
        <v>18</v>
      </c>
      <c r="C335" s="33" t="s">
        <v>19</v>
      </c>
      <c r="D335" s="33">
        <v>0</v>
      </c>
      <c r="E335" s="33" t="s">
        <v>20</v>
      </c>
      <c r="F335" s="33" t="s">
        <v>21</v>
      </c>
      <c r="G335" s="33">
        <v>5488</v>
      </c>
      <c r="H335" s="33">
        <v>0</v>
      </c>
      <c r="I335" s="33">
        <v>125</v>
      </c>
      <c r="J335" s="33">
        <v>360</v>
      </c>
      <c r="K335" s="33">
        <v>1</v>
      </c>
      <c r="L335" s="33" t="s">
        <v>22</v>
      </c>
      <c r="M335" s="33" t="s">
        <v>27</v>
      </c>
      <c r="N335" s="33">
        <v>5488</v>
      </c>
      <c r="O335" s="33" t="s">
        <v>24</v>
      </c>
      <c r="P335" s="34">
        <v>0.44</v>
      </c>
      <c r="Q335" s="33">
        <v>2.2776967930029155</v>
      </c>
    </row>
    <row r="336" spans="1:17">
      <c r="A336" s="31" t="s">
        <v>365</v>
      </c>
      <c r="B336" s="31" t="s">
        <v>18</v>
      </c>
      <c r="C336" s="31" t="s">
        <v>21</v>
      </c>
      <c r="D336" s="31">
        <v>3</v>
      </c>
      <c r="E336" s="31" t="s">
        <v>20</v>
      </c>
      <c r="F336" s="31" t="s">
        <v>21</v>
      </c>
      <c r="G336" s="31">
        <v>9167</v>
      </c>
      <c r="H336" s="31">
        <v>0</v>
      </c>
      <c r="I336" s="31">
        <v>185</v>
      </c>
      <c r="J336" s="31">
        <v>360</v>
      </c>
      <c r="K336" s="31">
        <v>1</v>
      </c>
      <c r="L336" s="31" t="s">
        <v>22</v>
      </c>
      <c r="M336" s="31" t="s">
        <v>27</v>
      </c>
      <c r="N336" s="31">
        <v>9167</v>
      </c>
      <c r="O336" s="31" t="s">
        <v>24</v>
      </c>
      <c r="P336" s="32">
        <v>0.5</v>
      </c>
      <c r="Q336" s="31">
        <v>2.0181084324206391</v>
      </c>
    </row>
    <row r="337" spans="1:17">
      <c r="A337" s="33" t="s">
        <v>366</v>
      </c>
      <c r="B337" s="33" t="s">
        <v>18</v>
      </c>
      <c r="C337" s="33" t="s">
        <v>19</v>
      </c>
      <c r="D337" s="33">
        <v>3</v>
      </c>
      <c r="E337" s="33" t="s">
        <v>20</v>
      </c>
      <c r="F337" s="33" t="s">
        <v>21</v>
      </c>
      <c r="G337" s="33">
        <v>9504</v>
      </c>
      <c r="H337" s="33">
        <v>0</v>
      </c>
      <c r="I337" s="33">
        <v>275</v>
      </c>
      <c r="J337" s="33">
        <v>360</v>
      </c>
      <c r="K337" s="33">
        <v>1</v>
      </c>
      <c r="L337" s="33" t="s">
        <v>22</v>
      </c>
      <c r="M337" s="33" t="s">
        <v>27</v>
      </c>
      <c r="N337" s="33">
        <v>9504</v>
      </c>
      <c r="O337" s="33" t="s">
        <v>24</v>
      </c>
      <c r="P337" s="34">
        <v>0.35</v>
      </c>
      <c r="Q337" s="33">
        <v>2.8935185185185186</v>
      </c>
    </row>
    <row r="338" spans="1:17">
      <c r="A338" s="31" t="s">
        <v>367</v>
      </c>
      <c r="B338" s="31" t="s">
        <v>18</v>
      </c>
      <c r="C338" s="31" t="s">
        <v>19</v>
      </c>
      <c r="D338" s="31">
        <v>2</v>
      </c>
      <c r="E338" s="31" t="s">
        <v>29</v>
      </c>
      <c r="F338" s="31" t="s">
        <v>21</v>
      </c>
      <c r="G338" s="31">
        <v>1993</v>
      </c>
      <c r="H338" s="31">
        <v>1625</v>
      </c>
      <c r="I338" s="31">
        <v>113</v>
      </c>
      <c r="J338" s="31">
        <v>180</v>
      </c>
      <c r="K338" s="31">
        <v>1</v>
      </c>
      <c r="L338" s="31" t="s">
        <v>34</v>
      </c>
      <c r="M338" s="31" t="s">
        <v>27</v>
      </c>
      <c r="N338" s="31">
        <v>3618</v>
      </c>
      <c r="O338" s="31" t="s">
        <v>24</v>
      </c>
      <c r="P338" s="32">
        <v>0.32</v>
      </c>
      <c r="Q338" s="31">
        <v>3.1232725262576011</v>
      </c>
    </row>
    <row r="339" spans="1:17">
      <c r="A339" s="33" t="s">
        <v>368</v>
      </c>
      <c r="B339" s="33" t="s">
        <v>18</v>
      </c>
      <c r="C339" s="33" t="s">
        <v>19</v>
      </c>
      <c r="D339" s="33">
        <v>2</v>
      </c>
      <c r="E339" s="33" t="s">
        <v>20</v>
      </c>
      <c r="F339" s="33" t="s">
        <v>21</v>
      </c>
      <c r="G339" s="33">
        <v>3100</v>
      </c>
      <c r="H339" s="33">
        <v>1400</v>
      </c>
      <c r="I339" s="33">
        <v>113</v>
      </c>
      <c r="J339" s="33">
        <v>360</v>
      </c>
      <c r="K339" s="33">
        <v>1</v>
      </c>
      <c r="L339" s="33" t="s">
        <v>26</v>
      </c>
      <c r="M339" s="33" t="s">
        <v>27</v>
      </c>
      <c r="N339" s="33">
        <v>4500</v>
      </c>
      <c r="O339" s="33" t="s">
        <v>24</v>
      </c>
      <c r="P339" s="34">
        <v>0.4</v>
      </c>
      <c r="Q339" s="33">
        <v>2.5111111111111111</v>
      </c>
    </row>
    <row r="340" spans="1:17">
      <c r="A340" s="31" t="s">
        <v>369</v>
      </c>
      <c r="B340" s="31" t="s">
        <v>46</v>
      </c>
      <c r="C340" s="31" t="s">
        <v>21</v>
      </c>
      <c r="D340" s="31">
        <v>0</v>
      </c>
      <c r="E340" s="31" t="s">
        <v>20</v>
      </c>
      <c r="F340" s="31" t="s">
        <v>21</v>
      </c>
      <c r="G340" s="31">
        <v>3180</v>
      </c>
      <c r="H340" s="31">
        <v>0</v>
      </c>
      <c r="I340" s="31">
        <v>71</v>
      </c>
      <c r="J340" s="31">
        <v>360</v>
      </c>
      <c r="K340" s="31">
        <v>0</v>
      </c>
      <c r="L340" s="31" t="s">
        <v>26</v>
      </c>
      <c r="M340" s="31" t="s">
        <v>23</v>
      </c>
      <c r="N340" s="31">
        <v>3180</v>
      </c>
      <c r="O340" s="31" t="s">
        <v>35</v>
      </c>
      <c r="P340" s="32">
        <v>0.45</v>
      </c>
      <c r="Q340" s="31">
        <v>2.232704402515723</v>
      </c>
    </row>
    <row r="341" spans="1:17">
      <c r="A341" s="33" t="s">
        <v>370</v>
      </c>
      <c r="B341" s="33" t="s">
        <v>18</v>
      </c>
      <c r="C341" s="33" t="s">
        <v>19</v>
      </c>
      <c r="D341" s="33">
        <v>0</v>
      </c>
      <c r="E341" s="33" t="s">
        <v>20</v>
      </c>
      <c r="F341" s="33" t="s">
        <v>21</v>
      </c>
      <c r="G341" s="33">
        <v>3033</v>
      </c>
      <c r="H341" s="33">
        <v>1459</v>
      </c>
      <c r="I341" s="33">
        <v>95</v>
      </c>
      <c r="J341" s="33">
        <v>360</v>
      </c>
      <c r="K341" s="33">
        <v>1</v>
      </c>
      <c r="L341" s="33" t="s">
        <v>26</v>
      </c>
      <c r="M341" s="33" t="s">
        <v>27</v>
      </c>
      <c r="N341" s="33">
        <v>4492</v>
      </c>
      <c r="O341" s="33" t="s">
        <v>24</v>
      </c>
      <c r="P341" s="34">
        <v>0.47</v>
      </c>
      <c r="Q341" s="33">
        <v>2.1148708815672306</v>
      </c>
    </row>
    <row r="342" spans="1:17">
      <c r="A342" s="31" t="s">
        <v>371</v>
      </c>
      <c r="B342" s="31" t="s">
        <v>18</v>
      </c>
      <c r="C342" s="31" t="s">
        <v>21</v>
      </c>
      <c r="D342" s="31">
        <v>0</v>
      </c>
      <c r="E342" s="31" t="s">
        <v>29</v>
      </c>
      <c r="F342" s="31" t="s">
        <v>21</v>
      </c>
      <c r="G342" s="31">
        <v>3902</v>
      </c>
      <c r="H342" s="31">
        <v>1666</v>
      </c>
      <c r="I342" s="31">
        <v>109</v>
      </c>
      <c r="J342" s="31">
        <v>360</v>
      </c>
      <c r="K342" s="31">
        <v>1</v>
      </c>
      <c r="L342" s="31" t="s">
        <v>22</v>
      </c>
      <c r="M342" s="31" t="s">
        <v>27</v>
      </c>
      <c r="N342" s="31">
        <v>5568</v>
      </c>
      <c r="O342" s="31" t="s">
        <v>24</v>
      </c>
      <c r="P342" s="32">
        <v>0.51</v>
      </c>
      <c r="Q342" s="31">
        <v>1.9576149425287355</v>
      </c>
    </row>
    <row r="343" spans="1:17">
      <c r="A343" s="33" t="s">
        <v>372</v>
      </c>
      <c r="B343" s="33" t="s">
        <v>46</v>
      </c>
      <c r="C343" s="33" t="s">
        <v>21</v>
      </c>
      <c r="D343" s="33">
        <v>0</v>
      </c>
      <c r="E343" s="33" t="s">
        <v>20</v>
      </c>
      <c r="F343" s="33" t="s">
        <v>21</v>
      </c>
      <c r="G343" s="33">
        <v>1500</v>
      </c>
      <c r="H343" s="33">
        <v>1800</v>
      </c>
      <c r="I343" s="33">
        <v>103</v>
      </c>
      <c r="J343" s="33">
        <v>360</v>
      </c>
      <c r="K343" s="33">
        <v>0</v>
      </c>
      <c r="L343" s="33" t="s">
        <v>34</v>
      </c>
      <c r="M343" s="33" t="s">
        <v>23</v>
      </c>
      <c r="N343" s="33">
        <v>3300</v>
      </c>
      <c r="O343" s="33" t="s">
        <v>35</v>
      </c>
      <c r="P343" s="34">
        <v>0.32</v>
      </c>
      <c r="Q343" s="33">
        <v>3.1212121212121211</v>
      </c>
    </row>
    <row r="344" spans="1:17">
      <c r="A344" s="31" t="s">
        <v>373</v>
      </c>
      <c r="B344" s="31" t="s">
        <v>18</v>
      </c>
      <c r="C344" s="31" t="s">
        <v>19</v>
      </c>
      <c r="D344" s="31">
        <v>2</v>
      </c>
      <c r="E344" s="31" t="s">
        <v>29</v>
      </c>
      <c r="F344" s="31" t="s">
        <v>21</v>
      </c>
      <c r="G344" s="31">
        <v>2889</v>
      </c>
      <c r="H344" s="31">
        <v>0</v>
      </c>
      <c r="I344" s="31">
        <v>45</v>
      </c>
      <c r="J344" s="31">
        <v>180</v>
      </c>
      <c r="K344" s="31">
        <v>0</v>
      </c>
      <c r="L344" s="31" t="s">
        <v>26</v>
      </c>
      <c r="M344" s="31" t="s">
        <v>23</v>
      </c>
      <c r="N344" s="31">
        <v>2889</v>
      </c>
      <c r="O344" s="31" t="s">
        <v>35</v>
      </c>
      <c r="P344" s="32">
        <v>0.64</v>
      </c>
      <c r="Q344" s="31">
        <v>1.557632398753894</v>
      </c>
    </row>
    <row r="345" spans="1:17">
      <c r="A345" s="33" t="s">
        <v>374</v>
      </c>
      <c r="B345" s="33" t="s">
        <v>18</v>
      </c>
      <c r="C345" s="33" t="s">
        <v>21</v>
      </c>
      <c r="D345" s="33">
        <v>0</v>
      </c>
      <c r="E345" s="33" t="s">
        <v>29</v>
      </c>
      <c r="F345" s="33" t="s">
        <v>21</v>
      </c>
      <c r="G345" s="33">
        <v>2755</v>
      </c>
      <c r="H345" s="33">
        <v>0</v>
      </c>
      <c r="I345" s="33">
        <v>65</v>
      </c>
      <c r="J345" s="33">
        <v>300</v>
      </c>
      <c r="K345" s="33">
        <v>1</v>
      </c>
      <c r="L345" s="33" t="s">
        <v>22</v>
      </c>
      <c r="M345" s="33" t="s">
        <v>23</v>
      </c>
      <c r="N345" s="33">
        <v>2755</v>
      </c>
      <c r="O345" s="33" t="s">
        <v>24</v>
      </c>
      <c r="P345" s="34">
        <v>0.42</v>
      </c>
      <c r="Q345" s="33">
        <v>2.3593466424682399</v>
      </c>
    </row>
    <row r="346" spans="1:17">
      <c r="A346" s="31" t="s">
        <v>375</v>
      </c>
      <c r="B346" s="31" t="s">
        <v>18</v>
      </c>
      <c r="C346" s="31" t="s">
        <v>21</v>
      </c>
      <c r="D346" s="31">
        <v>0</v>
      </c>
      <c r="E346" s="31" t="s">
        <v>20</v>
      </c>
      <c r="F346" s="31" t="s">
        <v>21</v>
      </c>
      <c r="G346" s="31">
        <v>2500</v>
      </c>
      <c r="H346" s="31">
        <v>20000</v>
      </c>
      <c r="I346" s="31">
        <v>103</v>
      </c>
      <c r="J346" s="31">
        <v>360</v>
      </c>
      <c r="K346" s="31">
        <v>1</v>
      </c>
      <c r="L346" s="31" t="s">
        <v>34</v>
      </c>
      <c r="M346" s="31" t="s">
        <v>27</v>
      </c>
      <c r="N346" s="31">
        <v>22500</v>
      </c>
      <c r="O346" s="31" t="s">
        <v>24</v>
      </c>
      <c r="P346" s="32">
        <v>2.1800000000000002</v>
      </c>
      <c r="Q346" s="31">
        <v>0.45777777777777778</v>
      </c>
    </row>
    <row r="347" spans="1:17">
      <c r="A347" s="33" t="s">
        <v>376</v>
      </c>
      <c r="B347" s="33" t="s">
        <v>46</v>
      </c>
      <c r="C347" s="33" t="s">
        <v>21</v>
      </c>
      <c r="D347" s="33">
        <v>0</v>
      </c>
      <c r="E347" s="33" t="s">
        <v>29</v>
      </c>
      <c r="F347" s="33" t="s">
        <v>21</v>
      </c>
      <c r="G347" s="33">
        <v>1963</v>
      </c>
      <c r="H347" s="33">
        <v>0</v>
      </c>
      <c r="I347" s="33">
        <v>53</v>
      </c>
      <c r="J347" s="33">
        <v>360</v>
      </c>
      <c r="K347" s="33">
        <v>1</v>
      </c>
      <c r="L347" s="33" t="s">
        <v>34</v>
      </c>
      <c r="M347" s="33" t="s">
        <v>27</v>
      </c>
      <c r="N347" s="33">
        <v>1963</v>
      </c>
      <c r="O347" s="33" t="s">
        <v>24</v>
      </c>
      <c r="P347" s="34">
        <v>0.37</v>
      </c>
      <c r="Q347" s="33">
        <v>2.6999490575649516</v>
      </c>
    </row>
    <row r="348" spans="1:17">
      <c r="A348" s="31" t="s">
        <v>377</v>
      </c>
      <c r="B348" s="31" t="s">
        <v>46</v>
      </c>
      <c r="C348" s="31" t="s">
        <v>21</v>
      </c>
      <c r="D348" s="31">
        <v>0</v>
      </c>
      <c r="E348" s="31" t="s">
        <v>20</v>
      </c>
      <c r="F348" s="31" t="s">
        <v>19</v>
      </c>
      <c r="G348" s="31">
        <v>7441</v>
      </c>
      <c r="H348" s="31">
        <v>0</v>
      </c>
      <c r="I348" s="31">
        <v>194</v>
      </c>
      <c r="J348" s="31">
        <v>360</v>
      </c>
      <c r="K348" s="31">
        <v>1</v>
      </c>
      <c r="L348" s="31" t="s">
        <v>22</v>
      </c>
      <c r="M348" s="31" t="s">
        <v>23</v>
      </c>
      <c r="N348" s="31">
        <v>7441</v>
      </c>
      <c r="O348" s="31" t="s">
        <v>24</v>
      </c>
      <c r="P348" s="32">
        <v>0.38</v>
      </c>
      <c r="Q348" s="31">
        <v>2.6071764547775835</v>
      </c>
    </row>
    <row r="349" spans="1:17">
      <c r="A349" s="33" t="s">
        <v>378</v>
      </c>
      <c r="B349" s="33" t="s">
        <v>46</v>
      </c>
      <c r="C349" s="33" t="s">
        <v>21</v>
      </c>
      <c r="D349" s="33">
        <v>0</v>
      </c>
      <c r="E349" s="33" t="s">
        <v>20</v>
      </c>
      <c r="F349" s="33" t="s">
        <v>21</v>
      </c>
      <c r="G349" s="33">
        <v>4547</v>
      </c>
      <c r="H349" s="33">
        <v>0</v>
      </c>
      <c r="I349" s="33">
        <v>115</v>
      </c>
      <c r="J349" s="33">
        <v>360</v>
      </c>
      <c r="K349" s="33">
        <v>1</v>
      </c>
      <c r="L349" s="33" t="s">
        <v>34</v>
      </c>
      <c r="M349" s="33" t="s">
        <v>27</v>
      </c>
      <c r="N349" s="33">
        <v>4547</v>
      </c>
      <c r="O349" s="33" t="s">
        <v>24</v>
      </c>
      <c r="P349" s="34">
        <v>0.4</v>
      </c>
      <c r="Q349" s="33">
        <v>2.5291400923685945</v>
      </c>
    </row>
    <row r="350" spans="1:17">
      <c r="A350" s="31" t="s">
        <v>379</v>
      </c>
      <c r="B350" s="31" t="s">
        <v>18</v>
      </c>
      <c r="C350" s="31" t="s">
        <v>19</v>
      </c>
      <c r="D350" s="31">
        <v>0</v>
      </c>
      <c r="E350" s="31" t="s">
        <v>29</v>
      </c>
      <c r="F350" s="31" t="s">
        <v>21</v>
      </c>
      <c r="G350" s="31">
        <v>2167</v>
      </c>
      <c r="H350" s="31">
        <v>2400</v>
      </c>
      <c r="I350" s="31">
        <v>115</v>
      </c>
      <c r="J350" s="31">
        <v>360</v>
      </c>
      <c r="K350" s="31">
        <v>1</v>
      </c>
      <c r="L350" s="31" t="s">
        <v>26</v>
      </c>
      <c r="M350" s="31" t="s">
        <v>27</v>
      </c>
      <c r="N350" s="31">
        <v>4567</v>
      </c>
      <c r="O350" s="31" t="s">
        <v>24</v>
      </c>
      <c r="P350" s="32">
        <v>0.4</v>
      </c>
      <c r="Q350" s="31">
        <v>2.5180643748631484</v>
      </c>
    </row>
    <row r="351" spans="1:17">
      <c r="A351" s="33" t="s">
        <v>380</v>
      </c>
      <c r="B351" s="33" t="s">
        <v>46</v>
      </c>
      <c r="C351" s="33" t="s">
        <v>21</v>
      </c>
      <c r="D351" s="33">
        <v>0</v>
      </c>
      <c r="E351" s="33" t="s">
        <v>29</v>
      </c>
      <c r="F351" s="33" t="s">
        <v>21</v>
      </c>
      <c r="G351" s="33">
        <v>2213</v>
      </c>
      <c r="H351" s="33">
        <v>0</v>
      </c>
      <c r="I351" s="33">
        <v>66</v>
      </c>
      <c r="J351" s="33">
        <v>360</v>
      </c>
      <c r="K351" s="33">
        <v>1</v>
      </c>
      <c r="L351" s="33" t="s">
        <v>22</v>
      </c>
      <c r="M351" s="33" t="s">
        <v>27</v>
      </c>
      <c r="N351" s="33">
        <v>2213</v>
      </c>
      <c r="O351" s="33" t="s">
        <v>24</v>
      </c>
      <c r="P351" s="34">
        <v>0.34</v>
      </c>
      <c r="Q351" s="33">
        <v>2.9823768639855399</v>
      </c>
    </row>
    <row r="352" spans="1:17">
      <c r="A352" s="31" t="s">
        <v>381</v>
      </c>
      <c r="B352" s="31" t="s">
        <v>18</v>
      </c>
      <c r="C352" s="31" t="s">
        <v>19</v>
      </c>
      <c r="D352" s="31">
        <v>1</v>
      </c>
      <c r="E352" s="31" t="s">
        <v>20</v>
      </c>
      <c r="F352" s="31" t="s">
        <v>21</v>
      </c>
      <c r="G352" s="31">
        <v>8300</v>
      </c>
      <c r="H352" s="31">
        <v>0</v>
      </c>
      <c r="I352" s="31">
        <v>152</v>
      </c>
      <c r="J352" s="31">
        <v>300</v>
      </c>
      <c r="K352" s="31">
        <v>0</v>
      </c>
      <c r="L352" s="31" t="s">
        <v>34</v>
      </c>
      <c r="M352" s="31" t="s">
        <v>23</v>
      </c>
      <c r="N352" s="31">
        <v>8300</v>
      </c>
      <c r="O352" s="31" t="s">
        <v>35</v>
      </c>
      <c r="P352" s="32">
        <v>0.55000000000000004</v>
      </c>
      <c r="Q352" s="31">
        <v>1.8313253012048194</v>
      </c>
    </row>
    <row r="353" spans="1:17">
      <c r="A353" s="33" t="s">
        <v>382</v>
      </c>
      <c r="B353" s="33" t="s">
        <v>18</v>
      </c>
      <c r="C353" s="33" t="s">
        <v>19</v>
      </c>
      <c r="D353" s="33">
        <v>3</v>
      </c>
      <c r="E353" s="33" t="s">
        <v>20</v>
      </c>
      <c r="F353" s="33" t="s">
        <v>21</v>
      </c>
      <c r="G353" s="33">
        <v>81000</v>
      </c>
      <c r="H353" s="33">
        <v>0</v>
      </c>
      <c r="I353" s="33">
        <v>360</v>
      </c>
      <c r="J353" s="33">
        <v>360</v>
      </c>
      <c r="K353" s="33">
        <v>0</v>
      </c>
      <c r="L353" s="33" t="s">
        <v>22</v>
      </c>
      <c r="M353" s="33" t="s">
        <v>23</v>
      </c>
      <c r="N353" s="33">
        <v>81000</v>
      </c>
      <c r="O353" s="33" t="s">
        <v>35</v>
      </c>
      <c r="P353" s="34">
        <v>2.25</v>
      </c>
      <c r="Q353" s="33">
        <v>0.44444444444444442</v>
      </c>
    </row>
    <row r="354" spans="1:17">
      <c r="A354" s="31" t="s">
        <v>383</v>
      </c>
      <c r="B354" s="31" t="s">
        <v>46</v>
      </c>
      <c r="C354" s="31" t="s">
        <v>21</v>
      </c>
      <c r="D354" s="31">
        <v>1</v>
      </c>
      <c r="E354" s="31" t="s">
        <v>29</v>
      </c>
      <c r="F354" s="31" t="s">
        <v>19</v>
      </c>
      <c r="G354" s="31">
        <v>3867</v>
      </c>
      <c r="H354" s="31">
        <v>0</v>
      </c>
      <c r="I354" s="31">
        <v>62</v>
      </c>
      <c r="J354" s="31">
        <v>360</v>
      </c>
      <c r="K354" s="31">
        <v>1</v>
      </c>
      <c r="L354" s="31" t="s">
        <v>34</v>
      </c>
      <c r="M354" s="31" t="s">
        <v>23</v>
      </c>
      <c r="N354" s="31">
        <v>3867</v>
      </c>
      <c r="O354" s="31" t="s">
        <v>24</v>
      </c>
      <c r="P354" s="32">
        <v>0.62</v>
      </c>
      <c r="Q354" s="31">
        <v>1.6033100594776313</v>
      </c>
    </row>
    <row r="355" spans="1:17">
      <c r="A355" s="33" t="s">
        <v>384</v>
      </c>
      <c r="B355" s="33" t="s">
        <v>18</v>
      </c>
      <c r="C355" s="33" t="s">
        <v>19</v>
      </c>
      <c r="D355" s="33">
        <v>0</v>
      </c>
      <c r="E355" s="33" t="s">
        <v>29</v>
      </c>
      <c r="F355" s="33" t="s">
        <v>21</v>
      </c>
      <c r="G355" s="33">
        <v>6096</v>
      </c>
      <c r="H355" s="33">
        <v>0</v>
      </c>
      <c r="I355" s="33">
        <v>218</v>
      </c>
      <c r="J355" s="33">
        <v>360</v>
      </c>
      <c r="K355" s="33">
        <v>0</v>
      </c>
      <c r="L355" s="33" t="s">
        <v>22</v>
      </c>
      <c r="M355" s="33" t="s">
        <v>23</v>
      </c>
      <c r="N355" s="33">
        <v>6096</v>
      </c>
      <c r="O355" s="33" t="s">
        <v>35</v>
      </c>
      <c r="P355" s="34">
        <v>0.28000000000000003</v>
      </c>
      <c r="Q355" s="33">
        <v>3.5761154855643045</v>
      </c>
    </row>
    <row r="356" spans="1:17">
      <c r="A356" s="31" t="s">
        <v>385</v>
      </c>
      <c r="B356" s="31" t="s">
        <v>18</v>
      </c>
      <c r="C356" s="31" t="s">
        <v>19</v>
      </c>
      <c r="D356" s="31">
        <v>0</v>
      </c>
      <c r="E356" s="31" t="s">
        <v>29</v>
      </c>
      <c r="F356" s="31" t="s">
        <v>21</v>
      </c>
      <c r="G356" s="31">
        <v>2253</v>
      </c>
      <c r="H356" s="31">
        <v>2033</v>
      </c>
      <c r="I356" s="31">
        <v>110</v>
      </c>
      <c r="J356" s="31">
        <v>360</v>
      </c>
      <c r="K356" s="31">
        <v>1</v>
      </c>
      <c r="L356" s="31" t="s">
        <v>22</v>
      </c>
      <c r="M356" s="31" t="s">
        <v>27</v>
      </c>
      <c r="N356" s="31">
        <v>4286</v>
      </c>
      <c r="O356" s="31" t="s">
        <v>24</v>
      </c>
      <c r="P356" s="32">
        <v>0.39</v>
      </c>
      <c r="Q356" s="31">
        <v>2.5664955669622023</v>
      </c>
    </row>
    <row r="357" spans="1:17">
      <c r="A357" s="33" t="s">
        <v>386</v>
      </c>
      <c r="B357" s="33" t="s">
        <v>46</v>
      </c>
      <c r="C357" s="33" t="s">
        <v>19</v>
      </c>
      <c r="D357" s="33">
        <v>0</v>
      </c>
      <c r="E357" s="33" t="s">
        <v>29</v>
      </c>
      <c r="F357" s="33" t="s">
        <v>21</v>
      </c>
      <c r="G357" s="33">
        <v>2149</v>
      </c>
      <c r="H357" s="33">
        <v>3237</v>
      </c>
      <c r="I357" s="33">
        <v>178</v>
      </c>
      <c r="J357" s="33">
        <v>360</v>
      </c>
      <c r="K357" s="33">
        <v>0</v>
      </c>
      <c r="L357" s="33" t="s">
        <v>34</v>
      </c>
      <c r="M357" s="33" t="s">
        <v>23</v>
      </c>
      <c r="N357" s="33">
        <v>5386</v>
      </c>
      <c r="O357" s="33" t="s">
        <v>35</v>
      </c>
      <c r="P357" s="34">
        <v>0.3</v>
      </c>
      <c r="Q357" s="33">
        <v>3.3048644634236908</v>
      </c>
    </row>
    <row r="358" spans="1:17">
      <c r="A358" s="31" t="s">
        <v>387</v>
      </c>
      <c r="B358" s="31" t="s">
        <v>46</v>
      </c>
      <c r="C358" s="31" t="s">
        <v>21</v>
      </c>
      <c r="D358" s="31">
        <v>0</v>
      </c>
      <c r="E358" s="31" t="s">
        <v>20</v>
      </c>
      <c r="F358" s="31" t="s">
        <v>21</v>
      </c>
      <c r="G358" s="31">
        <v>2995</v>
      </c>
      <c r="H358" s="31">
        <v>0</v>
      </c>
      <c r="I358" s="31">
        <v>60</v>
      </c>
      <c r="J358" s="31">
        <v>360</v>
      </c>
      <c r="K358" s="31">
        <v>1</v>
      </c>
      <c r="L358" s="31" t="s">
        <v>26</v>
      </c>
      <c r="M358" s="31" t="s">
        <v>27</v>
      </c>
      <c r="N358" s="31">
        <v>2995</v>
      </c>
      <c r="O358" s="31" t="s">
        <v>24</v>
      </c>
      <c r="P358" s="32">
        <v>0.5</v>
      </c>
      <c r="Q358" s="31">
        <v>2.003338898163606</v>
      </c>
    </row>
    <row r="359" spans="1:17">
      <c r="A359" s="33" t="s">
        <v>388</v>
      </c>
      <c r="B359" s="33" t="s">
        <v>46</v>
      </c>
      <c r="C359" s="33" t="s">
        <v>21</v>
      </c>
      <c r="D359" s="33">
        <v>1</v>
      </c>
      <c r="E359" s="33" t="s">
        <v>20</v>
      </c>
      <c r="F359" s="33" t="s">
        <v>21</v>
      </c>
      <c r="G359" s="33">
        <v>2600</v>
      </c>
      <c r="H359" s="33">
        <v>0</v>
      </c>
      <c r="I359" s="33">
        <v>160</v>
      </c>
      <c r="J359" s="33">
        <v>360</v>
      </c>
      <c r="K359" s="33">
        <v>1</v>
      </c>
      <c r="L359" s="33" t="s">
        <v>26</v>
      </c>
      <c r="M359" s="33" t="s">
        <v>23</v>
      </c>
      <c r="N359" s="33">
        <v>2600</v>
      </c>
      <c r="O359" s="33" t="s">
        <v>24</v>
      </c>
      <c r="P359" s="34">
        <v>0.16</v>
      </c>
      <c r="Q359" s="33">
        <v>6.1538461538461542</v>
      </c>
    </row>
    <row r="360" spans="1:17">
      <c r="A360" s="31" t="s">
        <v>389</v>
      </c>
      <c r="B360" s="31" t="s">
        <v>18</v>
      </c>
      <c r="C360" s="31" t="s">
        <v>19</v>
      </c>
      <c r="D360" s="31">
        <v>2</v>
      </c>
      <c r="E360" s="31" t="s">
        <v>20</v>
      </c>
      <c r="F360" s="31" t="s">
        <v>19</v>
      </c>
      <c r="G360" s="31">
        <v>1600</v>
      </c>
      <c r="H360" s="31">
        <v>20000</v>
      </c>
      <c r="I360" s="31">
        <v>239</v>
      </c>
      <c r="J360" s="31">
        <v>360</v>
      </c>
      <c r="K360" s="31">
        <v>1</v>
      </c>
      <c r="L360" s="31" t="s">
        <v>26</v>
      </c>
      <c r="M360" s="31" t="s">
        <v>23</v>
      </c>
      <c r="N360" s="31">
        <v>21600</v>
      </c>
      <c r="O360" s="31" t="s">
        <v>24</v>
      </c>
      <c r="P360" s="32">
        <v>0.9</v>
      </c>
      <c r="Q360" s="31">
        <v>1.1064814814814816</v>
      </c>
    </row>
    <row r="361" spans="1:17">
      <c r="A361" s="33" t="s">
        <v>390</v>
      </c>
      <c r="B361" s="33" t="s">
        <v>18</v>
      </c>
      <c r="C361" s="33" t="s">
        <v>19</v>
      </c>
      <c r="D361" s="33">
        <v>0</v>
      </c>
      <c r="E361" s="33" t="s">
        <v>20</v>
      </c>
      <c r="F361" s="33" t="s">
        <v>21</v>
      </c>
      <c r="G361" s="33">
        <v>1025</v>
      </c>
      <c r="H361" s="33">
        <v>2773</v>
      </c>
      <c r="I361" s="33">
        <v>112</v>
      </c>
      <c r="J361" s="33">
        <v>360</v>
      </c>
      <c r="K361" s="33">
        <v>1</v>
      </c>
      <c r="L361" s="33" t="s">
        <v>22</v>
      </c>
      <c r="M361" s="33" t="s">
        <v>27</v>
      </c>
      <c r="N361" s="33">
        <v>3798</v>
      </c>
      <c r="O361" s="33" t="s">
        <v>24</v>
      </c>
      <c r="P361" s="34">
        <v>0.34</v>
      </c>
      <c r="Q361" s="33">
        <v>2.9489204844655079</v>
      </c>
    </row>
    <row r="362" spans="1:17">
      <c r="A362" s="31" t="s">
        <v>391</v>
      </c>
      <c r="B362" s="31" t="s">
        <v>18</v>
      </c>
      <c r="C362" s="31" t="s">
        <v>19</v>
      </c>
      <c r="D362" s="31">
        <v>0</v>
      </c>
      <c r="E362" s="31" t="s">
        <v>20</v>
      </c>
      <c r="F362" s="31" t="s">
        <v>21</v>
      </c>
      <c r="G362" s="31">
        <v>3246</v>
      </c>
      <c r="H362" s="31">
        <v>1417</v>
      </c>
      <c r="I362" s="31">
        <v>138</v>
      </c>
      <c r="J362" s="31">
        <v>360</v>
      </c>
      <c r="K362" s="31">
        <v>1</v>
      </c>
      <c r="L362" s="31" t="s">
        <v>34</v>
      </c>
      <c r="M362" s="31" t="s">
        <v>27</v>
      </c>
      <c r="N362" s="31">
        <v>4663</v>
      </c>
      <c r="O362" s="31" t="s">
        <v>24</v>
      </c>
      <c r="P362" s="32">
        <v>0.34</v>
      </c>
      <c r="Q362" s="31">
        <v>2.9594681535492171</v>
      </c>
    </row>
    <row r="363" spans="1:17">
      <c r="A363" s="33" t="s">
        <v>392</v>
      </c>
      <c r="B363" s="33" t="s">
        <v>18</v>
      </c>
      <c r="C363" s="33" t="s">
        <v>19</v>
      </c>
      <c r="D363" s="33">
        <v>0</v>
      </c>
      <c r="E363" s="33" t="s">
        <v>20</v>
      </c>
      <c r="F363" s="33" t="s">
        <v>21</v>
      </c>
      <c r="G363" s="33">
        <v>5829</v>
      </c>
      <c r="H363" s="33">
        <v>0</v>
      </c>
      <c r="I363" s="33">
        <v>138</v>
      </c>
      <c r="J363" s="33">
        <v>360</v>
      </c>
      <c r="K363" s="33">
        <v>1</v>
      </c>
      <c r="L363" s="33" t="s">
        <v>22</v>
      </c>
      <c r="M363" s="33" t="s">
        <v>27</v>
      </c>
      <c r="N363" s="33">
        <v>5829</v>
      </c>
      <c r="O363" s="33" t="s">
        <v>24</v>
      </c>
      <c r="P363" s="34">
        <v>0.42</v>
      </c>
      <c r="Q363" s="33">
        <v>2.3674729799279466</v>
      </c>
    </row>
    <row r="364" spans="1:17">
      <c r="A364" s="31" t="s">
        <v>393</v>
      </c>
      <c r="B364" s="31" t="s">
        <v>18</v>
      </c>
      <c r="C364" s="31" t="s">
        <v>19</v>
      </c>
      <c r="D364" s="31">
        <v>0</v>
      </c>
      <c r="E364" s="31" t="s">
        <v>20</v>
      </c>
      <c r="F364" s="31" t="s">
        <v>21</v>
      </c>
      <c r="G364" s="31">
        <v>1820</v>
      </c>
      <c r="H364" s="31">
        <v>1719</v>
      </c>
      <c r="I364" s="31">
        <v>100</v>
      </c>
      <c r="J364" s="31">
        <v>360</v>
      </c>
      <c r="K364" s="31">
        <v>1</v>
      </c>
      <c r="L364" s="31" t="s">
        <v>26</v>
      </c>
      <c r="M364" s="31" t="s">
        <v>27</v>
      </c>
      <c r="N364" s="31">
        <v>3539</v>
      </c>
      <c r="O364" s="31" t="s">
        <v>24</v>
      </c>
      <c r="P364" s="32">
        <v>0.35</v>
      </c>
      <c r="Q364" s="31">
        <v>2.8256569652444194</v>
      </c>
    </row>
    <row r="365" spans="1:17">
      <c r="A365" s="33" t="s">
        <v>394</v>
      </c>
      <c r="B365" s="33" t="s">
        <v>18</v>
      </c>
      <c r="C365" s="33" t="s">
        <v>19</v>
      </c>
      <c r="D365" s="33">
        <v>0</v>
      </c>
      <c r="E365" s="33" t="s">
        <v>20</v>
      </c>
      <c r="F365" s="33" t="s">
        <v>21</v>
      </c>
      <c r="G365" s="33">
        <v>14880</v>
      </c>
      <c r="H365" s="33">
        <v>0</v>
      </c>
      <c r="I365" s="33">
        <v>96</v>
      </c>
      <c r="J365" s="33">
        <v>360</v>
      </c>
      <c r="K365" s="33">
        <v>1</v>
      </c>
      <c r="L365" s="33" t="s">
        <v>34</v>
      </c>
      <c r="M365" s="33" t="s">
        <v>27</v>
      </c>
      <c r="N365" s="33">
        <v>14880</v>
      </c>
      <c r="O365" s="33" t="s">
        <v>24</v>
      </c>
      <c r="P365" s="34">
        <v>1.55</v>
      </c>
      <c r="Q365" s="33">
        <v>0.64516129032258063</v>
      </c>
    </row>
    <row r="366" spans="1:17">
      <c r="A366" s="31" t="s">
        <v>395</v>
      </c>
      <c r="B366" s="31" t="s">
        <v>18</v>
      </c>
      <c r="C366" s="31" t="s">
        <v>19</v>
      </c>
      <c r="D366" s="31">
        <v>0</v>
      </c>
      <c r="E366" s="31" t="s">
        <v>20</v>
      </c>
      <c r="F366" s="31" t="s">
        <v>21</v>
      </c>
      <c r="G366" s="31">
        <v>2666</v>
      </c>
      <c r="H366" s="31">
        <v>4300</v>
      </c>
      <c r="I366" s="31">
        <v>121</v>
      </c>
      <c r="J366" s="31">
        <v>360</v>
      </c>
      <c r="K366" s="31">
        <v>1</v>
      </c>
      <c r="L366" s="31" t="s">
        <v>22</v>
      </c>
      <c r="M366" s="31" t="s">
        <v>27</v>
      </c>
      <c r="N366" s="31">
        <v>6966</v>
      </c>
      <c r="O366" s="31" t="s">
        <v>24</v>
      </c>
      <c r="P366" s="32">
        <v>0.57999999999999996</v>
      </c>
      <c r="Q366" s="31">
        <v>1.7370083261556128</v>
      </c>
    </row>
    <row r="367" spans="1:17">
      <c r="A367" s="33" t="s">
        <v>396</v>
      </c>
      <c r="B367" s="33" t="s">
        <v>46</v>
      </c>
      <c r="C367" s="33" t="s">
        <v>21</v>
      </c>
      <c r="D367" s="33">
        <v>1</v>
      </c>
      <c r="E367" s="33" t="s">
        <v>29</v>
      </c>
      <c r="F367" s="33" t="s">
        <v>21</v>
      </c>
      <c r="G367" s="33">
        <v>4606</v>
      </c>
      <c r="H367" s="33">
        <v>0</v>
      </c>
      <c r="I367" s="33">
        <v>81</v>
      </c>
      <c r="J367" s="33">
        <v>360</v>
      </c>
      <c r="K367" s="33">
        <v>1</v>
      </c>
      <c r="L367" s="33" t="s">
        <v>22</v>
      </c>
      <c r="M367" s="33" t="s">
        <v>23</v>
      </c>
      <c r="N367" s="33">
        <v>4606</v>
      </c>
      <c r="O367" s="33" t="s">
        <v>24</v>
      </c>
      <c r="P367" s="34">
        <v>0.56999999999999995</v>
      </c>
      <c r="Q367" s="33">
        <v>1.7585757707338254</v>
      </c>
    </row>
    <row r="368" spans="1:17">
      <c r="A368" s="31" t="s">
        <v>397</v>
      </c>
      <c r="B368" s="31" t="s">
        <v>18</v>
      </c>
      <c r="C368" s="31" t="s">
        <v>19</v>
      </c>
      <c r="D368" s="31">
        <v>2</v>
      </c>
      <c r="E368" s="31" t="s">
        <v>20</v>
      </c>
      <c r="F368" s="31" t="s">
        <v>21</v>
      </c>
      <c r="G368" s="31">
        <v>5935</v>
      </c>
      <c r="H368" s="31">
        <v>0</v>
      </c>
      <c r="I368" s="31">
        <v>133</v>
      </c>
      <c r="J368" s="31">
        <v>360</v>
      </c>
      <c r="K368" s="31">
        <v>1</v>
      </c>
      <c r="L368" s="31" t="s">
        <v>34</v>
      </c>
      <c r="M368" s="31" t="s">
        <v>27</v>
      </c>
      <c r="N368" s="31">
        <v>5935</v>
      </c>
      <c r="O368" s="31" t="s">
        <v>24</v>
      </c>
      <c r="P368" s="32">
        <v>0.45</v>
      </c>
      <c r="Q368" s="31">
        <v>2.2409435551811288</v>
      </c>
    </row>
    <row r="369" spans="1:17">
      <c r="A369" s="33" t="s">
        <v>398</v>
      </c>
      <c r="B369" s="33" t="s">
        <v>18</v>
      </c>
      <c r="C369" s="33" t="s">
        <v>19</v>
      </c>
      <c r="D369" s="33">
        <v>0</v>
      </c>
      <c r="E369" s="33" t="s">
        <v>20</v>
      </c>
      <c r="F369" s="33" t="s">
        <v>21</v>
      </c>
      <c r="G369" s="33">
        <v>2920</v>
      </c>
      <c r="H369" s="33">
        <v>16</v>
      </c>
      <c r="I369" s="33">
        <v>87</v>
      </c>
      <c r="J369" s="33">
        <v>360</v>
      </c>
      <c r="K369" s="33">
        <v>1</v>
      </c>
      <c r="L369" s="33" t="s">
        <v>22</v>
      </c>
      <c r="M369" s="33" t="s">
        <v>27</v>
      </c>
      <c r="N369" s="33">
        <v>2936</v>
      </c>
      <c r="O369" s="33" t="s">
        <v>24</v>
      </c>
      <c r="P369" s="34">
        <v>0.34</v>
      </c>
      <c r="Q369" s="33">
        <v>2.9632152588555858</v>
      </c>
    </row>
    <row r="370" spans="1:17">
      <c r="A370" s="31" t="s">
        <v>399</v>
      </c>
      <c r="B370" s="31" t="s">
        <v>18</v>
      </c>
      <c r="C370" s="31" t="s">
        <v>21</v>
      </c>
      <c r="D370" s="31">
        <v>0</v>
      </c>
      <c r="E370" s="31" t="s">
        <v>29</v>
      </c>
      <c r="F370" s="31" t="s">
        <v>21</v>
      </c>
      <c r="G370" s="31">
        <v>2717</v>
      </c>
      <c r="H370" s="31">
        <v>0</v>
      </c>
      <c r="I370" s="31">
        <v>60</v>
      </c>
      <c r="J370" s="31">
        <v>180</v>
      </c>
      <c r="K370" s="31">
        <v>1</v>
      </c>
      <c r="L370" s="31" t="s">
        <v>26</v>
      </c>
      <c r="M370" s="31" t="s">
        <v>27</v>
      </c>
      <c r="N370" s="31">
        <v>2717</v>
      </c>
      <c r="O370" s="31" t="s">
        <v>24</v>
      </c>
      <c r="P370" s="32">
        <v>0.45</v>
      </c>
      <c r="Q370" s="31">
        <v>2.2083179977916818</v>
      </c>
    </row>
    <row r="371" spans="1:17">
      <c r="A371" s="33" t="s">
        <v>400</v>
      </c>
      <c r="B371" s="33" t="s">
        <v>46</v>
      </c>
      <c r="C371" s="33" t="s">
        <v>21</v>
      </c>
      <c r="D371" s="33">
        <v>1</v>
      </c>
      <c r="E371" s="33" t="s">
        <v>20</v>
      </c>
      <c r="F371" s="33" t="s">
        <v>19</v>
      </c>
      <c r="G371" s="33">
        <v>8624</v>
      </c>
      <c r="H371" s="33">
        <v>0</v>
      </c>
      <c r="I371" s="33">
        <v>150</v>
      </c>
      <c r="J371" s="33">
        <v>360</v>
      </c>
      <c r="K371" s="33">
        <v>1</v>
      </c>
      <c r="L371" s="33" t="s">
        <v>34</v>
      </c>
      <c r="M371" s="33" t="s">
        <v>27</v>
      </c>
      <c r="N371" s="33">
        <v>8624</v>
      </c>
      <c r="O371" s="33" t="s">
        <v>24</v>
      </c>
      <c r="P371" s="34">
        <v>0.56999999999999995</v>
      </c>
      <c r="Q371" s="33">
        <v>1.7393320964749537</v>
      </c>
    </row>
    <row r="372" spans="1:17">
      <c r="A372" s="31" t="s">
        <v>401</v>
      </c>
      <c r="B372" s="31" t="s">
        <v>18</v>
      </c>
      <c r="C372" s="31" t="s">
        <v>21</v>
      </c>
      <c r="D372" s="31">
        <v>0</v>
      </c>
      <c r="E372" s="31" t="s">
        <v>20</v>
      </c>
      <c r="F372" s="31" t="s">
        <v>21</v>
      </c>
      <c r="G372" s="31">
        <v>6500</v>
      </c>
      <c r="H372" s="31">
        <v>0</v>
      </c>
      <c r="I372" s="31">
        <v>105</v>
      </c>
      <c r="J372" s="31">
        <v>360</v>
      </c>
      <c r="K372" s="31">
        <v>0</v>
      </c>
      <c r="L372" s="31" t="s">
        <v>22</v>
      </c>
      <c r="M372" s="31" t="s">
        <v>23</v>
      </c>
      <c r="N372" s="31">
        <v>6500</v>
      </c>
      <c r="O372" s="31" t="s">
        <v>35</v>
      </c>
      <c r="P372" s="32">
        <v>0.62</v>
      </c>
      <c r="Q372" s="31">
        <v>1.6153846153846154</v>
      </c>
    </row>
    <row r="373" spans="1:17">
      <c r="A373" s="33" t="s">
        <v>402</v>
      </c>
      <c r="B373" s="33" t="s">
        <v>18</v>
      </c>
      <c r="C373" s="33" t="s">
        <v>21</v>
      </c>
      <c r="D373" s="33">
        <v>0</v>
      </c>
      <c r="E373" s="33" t="s">
        <v>20</v>
      </c>
      <c r="F373" s="33" t="s">
        <v>40</v>
      </c>
      <c r="G373" s="33">
        <v>12876</v>
      </c>
      <c r="H373" s="33">
        <v>0</v>
      </c>
      <c r="I373" s="33">
        <v>405</v>
      </c>
      <c r="J373" s="33">
        <v>360</v>
      </c>
      <c r="K373" s="33">
        <v>1</v>
      </c>
      <c r="L373" s="33" t="s">
        <v>34</v>
      </c>
      <c r="M373" s="33" t="s">
        <v>27</v>
      </c>
      <c r="N373" s="33">
        <v>12876</v>
      </c>
      <c r="O373" s="33" t="s">
        <v>24</v>
      </c>
      <c r="P373" s="34">
        <v>0.32</v>
      </c>
      <c r="Q373" s="33">
        <v>3.1453867660764212</v>
      </c>
    </row>
    <row r="374" spans="1:17">
      <c r="A374" s="31" t="s">
        <v>403</v>
      </c>
      <c r="B374" s="31" t="s">
        <v>18</v>
      </c>
      <c r="C374" s="31" t="s">
        <v>19</v>
      </c>
      <c r="D374" s="31">
        <v>0</v>
      </c>
      <c r="E374" s="31" t="s">
        <v>20</v>
      </c>
      <c r="F374" s="31" t="s">
        <v>21</v>
      </c>
      <c r="G374" s="31">
        <v>2425</v>
      </c>
      <c r="H374" s="31">
        <v>2340</v>
      </c>
      <c r="I374" s="31">
        <v>143</v>
      </c>
      <c r="J374" s="31">
        <v>360</v>
      </c>
      <c r="K374" s="31">
        <v>1</v>
      </c>
      <c r="L374" s="31" t="s">
        <v>34</v>
      </c>
      <c r="M374" s="31" t="s">
        <v>27</v>
      </c>
      <c r="N374" s="31">
        <v>4765</v>
      </c>
      <c r="O374" s="31" t="s">
        <v>24</v>
      </c>
      <c r="P374" s="32">
        <v>0.33</v>
      </c>
      <c r="Q374" s="31">
        <v>3.0010493179433366</v>
      </c>
    </row>
    <row r="375" spans="1:17">
      <c r="A375" s="33" t="s">
        <v>404</v>
      </c>
      <c r="B375" s="33" t="s">
        <v>18</v>
      </c>
      <c r="C375" s="33" t="s">
        <v>21</v>
      </c>
      <c r="D375" s="33">
        <v>0</v>
      </c>
      <c r="E375" s="33" t="s">
        <v>20</v>
      </c>
      <c r="F375" s="33" t="s">
        <v>21</v>
      </c>
      <c r="G375" s="33">
        <v>3750</v>
      </c>
      <c r="H375" s="33">
        <v>0</v>
      </c>
      <c r="I375" s="33">
        <v>100</v>
      </c>
      <c r="J375" s="33">
        <v>360</v>
      </c>
      <c r="K375" s="33">
        <v>1</v>
      </c>
      <c r="L375" s="33" t="s">
        <v>26</v>
      </c>
      <c r="M375" s="33" t="s">
        <v>27</v>
      </c>
      <c r="N375" s="33">
        <v>3750</v>
      </c>
      <c r="O375" s="33" t="s">
        <v>24</v>
      </c>
      <c r="P375" s="34">
        <v>0.38</v>
      </c>
      <c r="Q375" s="33">
        <v>2.666666666666667</v>
      </c>
    </row>
    <row r="376" spans="1:17">
      <c r="A376" s="31" t="s">
        <v>405</v>
      </c>
      <c r="B376" s="31" t="s">
        <v>18</v>
      </c>
      <c r="C376" s="31" t="s">
        <v>21</v>
      </c>
      <c r="D376" s="31">
        <v>0</v>
      </c>
      <c r="E376" s="31" t="s">
        <v>20</v>
      </c>
      <c r="F376" s="31" t="s">
        <v>21</v>
      </c>
      <c r="G376" s="31">
        <v>1926</v>
      </c>
      <c r="H376" s="31">
        <v>1851</v>
      </c>
      <c r="I376" s="31">
        <v>50</v>
      </c>
      <c r="J376" s="31">
        <v>360</v>
      </c>
      <c r="K376" s="31">
        <v>1</v>
      </c>
      <c r="L376" s="31" t="s">
        <v>34</v>
      </c>
      <c r="M376" s="31" t="s">
        <v>27</v>
      </c>
      <c r="N376" s="31">
        <v>3777</v>
      </c>
      <c r="O376" s="31" t="s">
        <v>24</v>
      </c>
      <c r="P376" s="32">
        <v>0.76</v>
      </c>
      <c r="Q376" s="31">
        <v>1.3238019592268997</v>
      </c>
    </row>
    <row r="377" spans="1:17">
      <c r="A377" s="33" t="s">
        <v>406</v>
      </c>
      <c r="B377" s="33" t="s">
        <v>18</v>
      </c>
      <c r="C377" s="33" t="s">
        <v>21</v>
      </c>
      <c r="D377" s="33">
        <v>0</v>
      </c>
      <c r="E377" s="33" t="s">
        <v>20</v>
      </c>
      <c r="F377" s="33" t="s">
        <v>19</v>
      </c>
      <c r="G377" s="33">
        <v>10416</v>
      </c>
      <c r="H377" s="33">
        <v>0</v>
      </c>
      <c r="I377" s="33">
        <v>187</v>
      </c>
      <c r="J377" s="33">
        <v>360</v>
      </c>
      <c r="K377" s="33">
        <v>0</v>
      </c>
      <c r="L377" s="33" t="s">
        <v>26</v>
      </c>
      <c r="M377" s="33" t="s">
        <v>23</v>
      </c>
      <c r="N377" s="33">
        <v>10416</v>
      </c>
      <c r="O377" s="33" t="s">
        <v>35</v>
      </c>
      <c r="P377" s="34">
        <v>0.56000000000000005</v>
      </c>
      <c r="Q377" s="33">
        <v>1.7953149001536099</v>
      </c>
    </row>
    <row r="378" spans="1:17">
      <c r="A378" s="31" t="s">
        <v>407</v>
      </c>
      <c r="B378" s="31" t="s">
        <v>46</v>
      </c>
      <c r="C378" s="31" t="s">
        <v>19</v>
      </c>
      <c r="D378" s="31">
        <v>0</v>
      </c>
      <c r="E378" s="31" t="s">
        <v>29</v>
      </c>
      <c r="F378" s="31" t="s">
        <v>19</v>
      </c>
      <c r="G378" s="31">
        <v>7142</v>
      </c>
      <c r="H378" s="31">
        <v>0</v>
      </c>
      <c r="I378" s="31">
        <v>138</v>
      </c>
      <c r="J378" s="31">
        <v>360</v>
      </c>
      <c r="K378" s="31">
        <v>1</v>
      </c>
      <c r="L378" s="31" t="s">
        <v>22</v>
      </c>
      <c r="M378" s="31" t="s">
        <v>27</v>
      </c>
      <c r="N378" s="31">
        <v>7142</v>
      </c>
      <c r="O378" s="31" t="s">
        <v>24</v>
      </c>
      <c r="P378" s="32">
        <v>0.52</v>
      </c>
      <c r="Q378" s="31">
        <v>1.9322318678241388</v>
      </c>
    </row>
    <row r="379" spans="1:17">
      <c r="A379" s="33" t="s">
        <v>408</v>
      </c>
      <c r="B379" s="33" t="s">
        <v>18</v>
      </c>
      <c r="C379" s="33" t="s">
        <v>21</v>
      </c>
      <c r="D379" s="33">
        <v>0</v>
      </c>
      <c r="E379" s="33" t="s">
        <v>20</v>
      </c>
      <c r="F379" s="33" t="s">
        <v>21</v>
      </c>
      <c r="G379" s="33">
        <v>3660</v>
      </c>
      <c r="H379" s="33">
        <v>5064</v>
      </c>
      <c r="I379" s="33">
        <v>187</v>
      </c>
      <c r="J379" s="33">
        <v>360</v>
      </c>
      <c r="K379" s="33">
        <v>1</v>
      </c>
      <c r="L379" s="33" t="s">
        <v>34</v>
      </c>
      <c r="M379" s="33" t="s">
        <v>27</v>
      </c>
      <c r="N379" s="33">
        <v>8724</v>
      </c>
      <c r="O379" s="33" t="s">
        <v>24</v>
      </c>
      <c r="P379" s="34">
        <v>0.47</v>
      </c>
      <c r="Q379" s="33">
        <v>2.1435121503897294</v>
      </c>
    </row>
    <row r="380" spans="1:17">
      <c r="A380" s="31" t="s">
        <v>409</v>
      </c>
      <c r="B380" s="31" t="s">
        <v>18</v>
      </c>
      <c r="C380" s="31" t="s">
        <v>19</v>
      </c>
      <c r="D380" s="31">
        <v>0</v>
      </c>
      <c r="E380" s="31" t="s">
        <v>20</v>
      </c>
      <c r="F380" s="31" t="s">
        <v>21</v>
      </c>
      <c r="G380" s="31">
        <v>7901</v>
      </c>
      <c r="H380" s="31">
        <v>1833</v>
      </c>
      <c r="I380" s="31">
        <v>180</v>
      </c>
      <c r="J380" s="31">
        <v>360</v>
      </c>
      <c r="K380" s="31">
        <v>1</v>
      </c>
      <c r="L380" s="31" t="s">
        <v>22</v>
      </c>
      <c r="M380" s="31" t="s">
        <v>27</v>
      </c>
      <c r="N380" s="31">
        <v>9734</v>
      </c>
      <c r="O380" s="31" t="s">
        <v>24</v>
      </c>
      <c r="P380" s="32">
        <v>0.54</v>
      </c>
      <c r="Q380" s="31">
        <v>1.8491884117526198</v>
      </c>
    </row>
    <row r="381" spans="1:17">
      <c r="A381" s="33" t="s">
        <v>410</v>
      </c>
      <c r="B381" s="33" t="s">
        <v>18</v>
      </c>
      <c r="C381" s="33" t="s">
        <v>21</v>
      </c>
      <c r="D381" s="33">
        <v>3</v>
      </c>
      <c r="E381" s="33" t="s">
        <v>29</v>
      </c>
      <c r="F381" s="33" t="s">
        <v>21</v>
      </c>
      <c r="G381" s="33">
        <v>4707</v>
      </c>
      <c r="H381" s="33">
        <v>1993</v>
      </c>
      <c r="I381" s="33">
        <v>148</v>
      </c>
      <c r="J381" s="33">
        <v>360</v>
      </c>
      <c r="K381" s="33">
        <v>1</v>
      </c>
      <c r="L381" s="33" t="s">
        <v>34</v>
      </c>
      <c r="M381" s="33" t="s">
        <v>27</v>
      </c>
      <c r="N381" s="33">
        <v>6700</v>
      </c>
      <c r="O381" s="33" t="s">
        <v>24</v>
      </c>
      <c r="P381" s="34">
        <v>0.45</v>
      </c>
      <c r="Q381" s="33">
        <v>2.2089552238805972</v>
      </c>
    </row>
    <row r="382" spans="1:17">
      <c r="A382" s="31" t="s">
        <v>411</v>
      </c>
      <c r="B382" s="31" t="s">
        <v>18</v>
      </c>
      <c r="C382" s="31" t="s">
        <v>21</v>
      </c>
      <c r="D382" s="31">
        <v>1</v>
      </c>
      <c r="E382" s="31" t="s">
        <v>20</v>
      </c>
      <c r="F382" s="31" t="s">
        <v>21</v>
      </c>
      <c r="G382" s="31">
        <v>37719</v>
      </c>
      <c r="H382" s="31">
        <v>0</v>
      </c>
      <c r="I382" s="31">
        <v>152</v>
      </c>
      <c r="J382" s="31">
        <v>360</v>
      </c>
      <c r="K382" s="31">
        <v>1</v>
      </c>
      <c r="L382" s="31" t="s">
        <v>34</v>
      </c>
      <c r="M382" s="31" t="s">
        <v>27</v>
      </c>
      <c r="N382" s="31">
        <v>37719</v>
      </c>
      <c r="O382" s="31" t="s">
        <v>24</v>
      </c>
      <c r="P382" s="32">
        <v>2.48</v>
      </c>
      <c r="Q382" s="31">
        <v>0.40297993053898562</v>
      </c>
    </row>
    <row r="383" spans="1:17">
      <c r="A383" s="33" t="s">
        <v>412</v>
      </c>
      <c r="B383" s="33" t="s">
        <v>18</v>
      </c>
      <c r="C383" s="33" t="s">
        <v>19</v>
      </c>
      <c r="D383" s="33">
        <v>1</v>
      </c>
      <c r="E383" s="33" t="s">
        <v>20</v>
      </c>
      <c r="F383" s="33" t="s">
        <v>19</v>
      </c>
      <c r="G383" s="33">
        <v>3466</v>
      </c>
      <c r="H383" s="33">
        <v>1210</v>
      </c>
      <c r="I383" s="33">
        <v>130</v>
      </c>
      <c r="J383" s="33">
        <v>360</v>
      </c>
      <c r="K383" s="33">
        <v>1</v>
      </c>
      <c r="L383" s="33" t="s">
        <v>22</v>
      </c>
      <c r="M383" s="33" t="s">
        <v>27</v>
      </c>
      <c r="N383" s="33">
        <v>4676</v>
      </c>
      <c r="O383" s="33" t="s">
        <v>24</v>
      </c>
      <c r="P383" s="34">
        <v>0.36</v>
      </c>
      <c r="Q383" s="33">
        <v>2.780153977758768</v>
      </c>
    </row>
    <row r="384" spans="1:17">
      <c r="A384" s="31" t="s">
        <v>413</v>
      </c>
      <c r="B384" s="31" t="s">
        <v>18</v>
      </c>
      <c r="C384" s="31" t="s">
        <v>19</v>
      </c>
      <c r="D384" s="31">
        <v>2</v>
      </c>
      <c r="E384" s="31" t="s">
        <v>29</v>
      </c>
      <c r="F384" s="31" t="s">
        <v>21</v>
      </c>
      <c r="G384" s="31">
        <v>4652</v>
      </c>
      <c r="H384" s="31">
        <v>0</v>
      </c>
      <c r="I384" s="31">
        <v>110</v>
      </c>
      <c r="J384" s="31">
        <v>360</v>
      </c>
      <c r="K384" s="31">
        <v>1</v>
      </c>
      <c r="L384" s="31" t="s">
        <v>22</v>
      </c>
      <c r="M384" s="31" t="s">
        <v>27</v>
      </c>
      <c r="N384" s="31">
        <v>4652</v>
      </c>
      <c r="O384" s="31" t="s">
        <v>24</v>
      </c>
      <c r="P384" s="32">
        <v>0.42</v>
      </c>
      <c r="Q384" s="31">
        <v>2.3645743766122096</v>
      </c>
    </row>
    <row r="385" spans="1:17">
      <c r="A385" s="33" t="s">
        <v>414</v>
      </c>
      <c r="B385" s="33" t="s">
        <v>18</v>
      </c>
      <c r="C385" s="33" t="s">
        <v>19</v>
      </c>
      <c r="D385" s="33">
        <v>0</v>
      </c>
      <c r="E385" s="33" t="s">
        <v>20</v>
      </c>
      <c r="F385" s="33" t="s">
        <v>40</v>
      </c>
      <c r="G385" s="33">
        <v>3539</v>
      </c>
      <c r="H385" s="33">
        <v>1376</v>
      </c>
      <c r="I385" s="33">
        <v>55</v>
      </c>
      <c r="J385" s="33">
        <v>360</v>
      </c>
      <c r="K385" s="33">
        <v>1</v>
      </c>
      <c r="L385" s="33" t="s">
        <v>22</v>
      </c>
      <c r="M385" s="33" t="s">
        <v>23</v>
      </c>
      <c r="N385" s="33">
        <v>4915</v>
      </c>
      <c r="O385" s="33" t="s">
        <v>24</v>
      </c>
      <c r="P385" s="34">
        <v>0.89</v>
      </c>
      <c r="Q385" s="33">
        <v>1.119023397761953</v>
      </c>
    </row>
    <row r="386" spans="1:17">
      <c r="A386" s="31" t="s">
        <v>415</v>
      </c>
      <c r="B386" s="31" t="s">
        <v>18</v>
      </c>
      <c r="C386" s="31" t="s">
        <v>19</v>
      </c>
      <c r="D386" s="31">
        <v>2</v>
      </c>
      <c r="E386" s="31" t="s">
        <v>20</v>
      </c>
      <c r="F386" s="31" t="s">
        <v>21</v>
      </c>
      <c r="G386" s="31">
        <v>3340</v>
      </c>
      <c r="H386" s="31">
        <v>1710</v>
      </c>
      <c r="I386" s="31">
        <v>150</v>
      </c>
      <c r="J386" s="31">
        <v>360</v>
      </c>
      <c r="K386" s="31">
        <v>0</v>
      </c>
      <c r="L386" s="31" t="s">
        <v>22</v>
      </c>
      <c r="M386" s="31" t="s">
        <v>23</v>
      </c>
      <c r="N386" s="31">
        <v>5050</v>
      </c>
      <c r="O386" s="31" t="s">
        <v>35</v>
      </c>
      <c r="P386" s="32">
        <v>0.34</v>
      </c>
      <c r="Q386" s="31">
        <v>2.9702970297029703</v>
      </c>
    </row>
    <row r="387" spans="1:17">
      <c r="A387" s="33" t="s">
        <v>416</v>
      </c>
      <c r="B387" s="33" t="s">
        <v>18</v>
      </c>
      <c r="C387" s="33" t="s">
        <v>19</v>
      </c>
      <c r="D387" s="33">
        <v>2</v>
      </c>
      <c r="E387" s="33" t="s">
        <v>29</v>
      </c>
      <c r="F387" s="33" t="s">
        <v>21</v>
      </c>
      <c r="G387" s="33">
        <v>2309</v>
      </c>
      <c r="H387" s="33">
        <v>1255</v>
      </c>
      <c r="I387" s="33">
        <v>125</v>
      </c>
      <c r="J387" s="33">
        <v>360</v>
      </c>
      <c r="K387" s="33">
        <v>0</v>
      </c>
      <c r="L387" s="33" t="s">
        <v>22</v>
      </c>
      <c r="M387" s="33" t="s">
        <v>23</v>
      </c>
      <c r="N387" s="33">
        <v>3564</v>
      </c>
      <c r="O387" s="33" t="s">
        <v>35</v>
      </c>
      <c r="P387" s="34">
        <v>0.28999999999999998</v>
      </c>
      <c r="Q387" s="33">
        <v>3.5072951739618405</v>
      </c>
    </row>
    <row r="388" spans="1:17">
      <c r="A388" s="31" t="s">
        <v>417</v>
      </c>
      <c r="B388" s="31" t="s">
        <v>18</v>
      </c>
      <c r="C388" s="31" t="s">
        <v>19</v>
      </c>
      <c r="D388" s="31">
        <v>0</v>
      </c>
      <c r="E388" s="31" t="s">
        <v>20</v>
      </c>
      <c r="F388" s="31" t="s">
        <v>21</v>
      </c>
      <c r="G388" s="31">
        <v>3948</v>
      </c>
      <c r="H388" s="31">
        <v>1733</v>
      </c>
      <c r="I388" s="31">
        <v>149</v>
      </c>
      <c r="J388" s="31">
        <v>360</v>
      </c>
      <c r="K388" s="31">
        <v>0</v>
      </c>
      <c r="L388" s="31" t="s">
        <v>22</v>
      </c>
      <c r="M388" s="31" t="s">
        <v>23</v>
      </c>
      <c r="N388" s="31">
        <v>5681</v>
      </c>
      <c r="O388" s="31" t="s">
        <v>35</v>
      </c>
      <c r="P388" s="32">
        <v>0.38</v>
      </c>
      <c r="Q388" s="31">
        <v>2.6227776799859179</v>
      </c>
    </row>
    <row r="389" spans="1:17">
      <c r="A389" s="33" t="s">
        <v>418</v>
      </c>
      <c r="B389" s="33" t="s">
        <v>18</v>
      </c>
      <c r="C389" s="33" t="s">
        <v>19</v>
      </c>
      <c r="D389" s="33">
        <v>0</v>
      </c>
      <c r="E389" s="33" t="s">
        <v>20</v>
      </c>
      <c r="F389" s="33" t="s">
        <v>21</v>
      </c>
      <c r="G389" s="33">
        <v>2483</v>
      </c>
      <c r="H389" s="33">
        <v>2466</v>
      </c>
      <c r="I389" s="33">
        <v>90</v>
      </c>
      <c r="J389" s="33">
        <v>180</v>
      </c>
      <c r="K389" s="33">
        <v>0</v>
      </c>
      <c r="L389" s="33" t="s">
        <v>22</v>
      </c>
      <c r="M389" s="33" t="s">
        <v>27</v>
      </c>
      <c r="N389" s="33">
        <v>4949</v>
      </c>
      <c r="O389" s="33" t="s">
        <v>35</v>
      </c>
      <c r="P389" s="34">
        <v>0.55000000000000004</v>
      </c>
      <c r="Q389" s="33">
        <v>1.8185492018589613</v>
      </c>
    </row>
    <row r="390" spans="1:17">
      <c r="A390" s="31" t="s">
        <v>419</v>
      </c>
      <c r="B390" s="31" t="s">
        <v>18</v>
      </c>
      <c r="C390" s="31" t="s">
        <v>21</v>
      </c>
      <c r="D390" s="31">
        <v>0</v>
      </c>
      <c r="E390" s="31" t="s">
        <v>20</v>
      </c>
      <c r="F390" s="31" t="s">
        <v>19</v>
      </c>
      <c r="G390" s="31">
        <v>7085</v>
      </c>
      <c r="H390" s="31">
        <v>0</v>
      </c>
      <c r="I390" s="31">
        <v>84</v>
      </c>
      <c r="J390" s="31">
        <v>360</v>
      </c>
      <c r="K390" s="31">
        <v>1</v>
      </c>
      <c r="L390" s="31" t="s">
        <v>34</v>
      </c>
      <c r="M390" s="31" t="s">
        <v>27</v>
      </c>
      <c r="N390" s="31">
        <v>7085</v>
      </c>
      <c r="O390" s="31" t="s">
        <v>24</v>
      </c>
      <c r="P390" s="32">
        <v>0.84</v>
      </c>
      <c r="Q390" s="31">
        <v>1.1856033874382499</v>
      </c>
    </row>
    <row r="391" spans="1:17">
      <c r="A391" s="33" t="s">
        <v>420</v>
      </c>
      <c r="B391" s="33" t="s">
        <v>18</v>
      </c>
      <c r="C391" s="33" t="s">
        <v>19</v>
      </c>
      <c r="D391" s="33">
        <v>2</v>
      </c>
      <c r="E391" s="33" t="s">
        <v>20</v>
      </c>
      <c r="F391" s="33" t="s">
        <v>21</v>
      </c>
      <c r="G391" s="33">
        <v>3859</v>
      </c>
      <c r="H391" s="33">
        <v>0</v>
      </c>
      <c r="I391" s="33">
        <v>96</v>
      </c>
      <c r="J391" s="33">
        <v>360</v>
      </c>
      <c r="K391" s="33">
        <v>1</v>
      </c>
      <c r="L391" s="33" t="s">
        <v>34</v>
      </c>
      <c r="M391" s="33" t="s">
        <v>27</v>
      </c>
      <c r="N391" s="33">
        <v>3859</v>
      </c>
      <c r="O391" s="33" t="s">
        <v>24</v>
      </c>
      <c r="P391" s="34">
        <v>0.4</v>
      </c>
      <c r="Q391" s="33">
        <v>2.4876911116869653</v>
      </c>
    </row>
    <row r="392" spans="1:17">
      <c r="A392" s="31" t="s">
        <v>421</v>
      </c>
      <c r="B392" s="31" t="s">
        <v>18</v>
      </c>
      <c r="C392" s="31" t="s">
        <v>19</v>
      </c>
      <c r="D392" s="31">
        <v>0</v>
      </c>
      <c r="E392" s="31" t="s">
        <v>20</v>
      </c>
      <c r="F392" s="31" t="s">
        <v>21</v>
      </c>
      <c r="G392" s="31">
        <v>4301</v>
      </c>
      <c r="H392" s="31">
        <v>0</v>
      </c>
      <c r="I392" s="31">
        <v>118</v>
      </c>
      <c r="J392" s="31">
        <v>360</v>
      </c>
      <c r="K392" s="31">
        <v>1</v>
      </c>
      <c r="L392" s="31" t="s">
        <v>26</v>
      </c>
      <c r="M392" s="31" t="s">
        <v>27</v>
      </c>
      <c r="N392" s="31">
        <v>4301</v>
      </c>
      <c r="O392" s="31" t="s">
        <v>24</v>
      </c>
      <c r="P392" s="32">
        <v>0.36</v>
      </c>
      <c r="Q392" s="31">
        <v>2.7435480120902116</v>
      </c>
    </row>
    <row r="393" spans="1:17">
      <c r="A393" s="33" t="s">
        <v>422</v>
      </c>
      <c r="B393" s="33" t="s">
        <v>18</v>
      </c>
      <c r="C393" s="33" t="s">
        <v>19</v>
      </c>
      <c r="D393" s="33">
        <v>0</v>
      </c>
      <c r="E393" s="33" t="s">
        <v>20</v>
      </c>
      <c r="F393" s="33" t="s">
        <v>21</v>
      </c>
      <c r="G393" s="33">
        <v>3708</v>
      </c>
      <c r="H393" s="33">
        <v>2569</v>
      </c>
      <c r="I393" s="33">
        <v>173</v>
      </c>
      <c r="J393" s="33">
        <v>360</v>
      </c>
      <c r="K393" s="33">
        <v>1</v>
      </c>
      <c r="L393" s="33" t="s">
        <v>26</v>
      </c>
      <c r="M393" s="33" t="s">
        <v>23</v>
      </c>
      <c r="N393" s="33">
        <v>6277</v>
      </c>
      <c r="O393" s="33" t="s">
        <v>24</v>
      </c>
      <c r="P393" s="34">
        <v>0.36</v>
      </c>
      <c r="Q393" s="33">
        <v>2.7560936753226062</v>
      </c>
    </row>
    <row r="394" spans="1:17">
      <c r="A394" s="31" t="s">
        <v>423</v>
      </c>
      <c r="B394" s="31" t="s">
        <v>18</v>
      </c>
      <c r="C394" s="31" t="s">
        <v>21</v>
      </c>
      <c r="D394" s="31">
        <v>2</v>
      </c>
      <c r="E394" s="31" t="s">
        <v>20</v>
      </c>
      <c r="F394" s="31" t="s">
        <v>21</v>
      </c>
      <c r="G394" s="31">
        <v>4354</v>
      </c>
      <c r="H394" s="31">
        <v>0</v>
      </c>
      <c r="I394" s="31">
        <v>136</v>
      </c>
      <c r="J394" s="31">
        <v>360</v>
      </c>
      <c r="K394" s="31">
        <v>1</v>
      </c>
      <c r="L394" s="31" t="s">
        <v>22</v>
      </c>
      <c r="M394" s="31" t="s">
        <v>27</v>
      </c>
      <c r="N394" s="31">
        <v>4354</v>
      </c>
      <c r="O394" s="31" t="s">
        <v>24</v>
      </c>
      <c r="P394" s="32">
        <v>0.32</v>
      </c>
      <c r="Q394" s="31">
        <v>3.1235645383555348</v>
      </c>
    </row>
    <row r="395" spans="1:17">
      <c r="A395" s="33" t="s">
        <v>424</v>
      </c>
      <c r="B395" s="33" t="s">
        <v>18</v>
      </c>
      <c r="C395" s="33" t="s">
        <v>19</v>
      </c>
      <c r="D395" s="33">
        <v>0</v>
      </c>
      <c r="E395" s="33" t="s">
        <v>20</v>
      </c>
      <c r="F395" s="33" t="s">
        <v>21</v>
      </c>
      <c r="G395" s="33">
        <v>8334</v>
      </c>
      <c r="H395" s="33">
        <v>0</v>
      </c>
      <c r="I395" s="33">
        <v>160</v>
      </c>
      <c r="J395" s="33">
        <v>360</v>
      </c>
      <c r="K395" s="33">
        <v>1</v>
      </c>
      <c r="L395" s="33" t="s">
        <v>34</v>
      </c>
      <c r="M395" s="33" t="s">
        <v>23</v>
      </c>
      <c r="N395" s="33">
        <v>8334</v>
      </c>
      <c r="O395" s="33" t="s">
        <v>24</v>
      </c>
      <c r="P395" s="34">
        <v>0.52</v>
      </c>
      <c r="Q395" s="33">
        <v>1.9198464122870171</v>
      </c>
    </row>
    <row r="396" spans="1:17">
      <c r="A396" s="31" t="s">
        <v>425</v>
      </c>
      <c r="B396" s="31" t="s">
        <v>18</v>
      </c>
      <c r="C396" s="31" t="s">
        <v>19</v>
      </c>
      <c r="D396" s="31">
        <v>3</v>
      </c>
      <c r="E396" s="31" t="s">
        <v>20</v>
      </c>
      <c r="F396" s="31" t="s">
        <v>21</v>
      </c>
      <c r="G396" s="31">
        <v>7740</v>
      </c>
      <c r="H396" s="31">
        <v>0</v>
      </c>
      <c r="I396" s="31">
        <v>128</v>
      </c>
      <c r="J396" s="31">
        <v>180</v>
      </c>
      <c r="K396" s="31">
        <v>1</v>
      </c>
      <c r="L396" s="31" t="s">
        <v>26</v>
      </c>
      <c r="M396" s="31" t="s">
        <v>27</v>
      </c>
      <c r="N396" s="31">
        <v>7740</v>
      </c>
      <c r="O396" s="31" t="s">
        <v>24</v>
      </c>
      <c r="P396" s="32">
        <v>0.6</v>
      </c>
      <c r="Q396" s="31">
        <v>1.6537467700258397</v>
      </c>
    </row>
    <row r="397" spans="1:17">
      <c r="A397" s="33" t="s">
        <v>426</v>
      </c>
      <c r="B397" s="33" t="s">
        <v>18</v>
      </c>
      <c r="C397" s="33" t="s">
        <v>19</v>
      </c>
      <c r="D397" s="33">
        <v>0</v>
      </c>
      <c r="E397" s="33" t="s">
        <v>20</v>
      </c>
      <c r="F397" s="33" t="s">
        <v>21</v>
      </c>
      <c r="G397" s="33">
        <v>3015</v>
      </c>
      <c r="H397" s="33">
        <v>2188</v>
      </c>
      <c r="I397" s="33">
        <v>153</v>
      </c>
      <c r="J397" s="33">
        <v>360</v>
      </c>
      <c r="K397" s="33">
        <v>1</v>
      </c>
      <c r="L397" s="33" t="s">
        <v>22</v>
      </c>
      <c r="M397" s="33" t="s">
        <v>27</v>
      </c>
      <c r="N397" s="33">
        <v>5203</v>
      </c>
      <c r="O397" s="33" t="s">
        <v>24</v>
      </c>
      <c r="P397" s="34">
        <v>0.34</v>
      </c>
      <c r="Q397" s="33">
        <v>2.9406111858543147</v>
      </c>
    </row>
    <row r="398" spans="1:17">
      <c r="A398" s="31" t="s">
        <v>427</v>
      </c>
      <c r="B398" s="31" t="s">
        <v>46</v>
      </c>
      <c r="C398" s="31" t="s">
        <v>21</v>
      </c>
      <c r="D398" s="31">
        <v>1</v>
      </c>
      <c r="E398" s="31" t="s">
        <v>29</v>
      </c>
      <c r="F398" s="31" t="s">
        <v>40</v>
      </c>
      <c r="G398" s="31">
        <v>5191</v>
      </c>
      <c r="H398" s="31">
        <v>0</v>
      </c>
      <c r="I398" s="31">
        <v>132</v>
      </c>
      <c r="J398" s="31">
        <v>360</v>
      </c>
      <c r="K398" s="31">
        <v>1</v>
      </c>
      <c r="L398" s="31" t="s">
        <v>34</v>
      </c>
      <c r="M398" s="31" t="s">
        <v>27</v>
      </c>
      <c r="N398" s="31">
        <v>5191</v>
      </c>
      <c r="O398" s="31" t="s">
        <v>24</v>
      </c>
      <c r="P398" s="32">
        <v>0.39</v>
      </c>
      <c r="Q398" s="31">
        <v>2.542862646888846</v>
      </c>
    </row>
    <row r="399" spans="1:17">
      <c r="A399" s="33" t="s">
        <v>428</v>
      </c>
      <c r="B399" s="33" t="s">
        <v>18</v>
      </c>
      <c r="C399" s="33" t="s">
        <v>21</v>
      </c>
      <c r="D399" s="33">
        <v>0</v>
      </c>
      <c r="E399" s="33" t="s">
        <v>20</v>
      </c>
      <c r="F399" s="33" t="s">
        <v>21</v>
      </c>
      <c r="G399" s="33">
        <v>4166</v>
      </c>
      <c r="H399" s="33">
        <v>0</v>
      </c>
      <c r="I399" s="33">
        <v>98</v>
      </c>
      <c r="J399" s="33">
        <v>360</v>
      </c>
      <c r="K399" s="33">
        <v>0</v>
      </c>
      <c r="L399" s="33" t="s">
        <v>34</v>
      </c>
      <c r="M399" s="33" t="s">
        <v>23</v>
      </c>
      <c r="N399" s="33">
        <v>4166</v>
      </c>
      <c r="O399" s="33" t="s">
        <v>35</v>
      </c>
      <c r="P399" s="34">
        <v>0.43</v>
      </c>
      <c r="Q399" s="33">
        <v>2.3523763802208353</v>
      </c>
    </row>
    <row r="400" spans="1:17">
      <c r="A400" s="31" t="s">
        <v>429</v>
      </c>
      <c r="B400" s="31" t="s">
        <v>18</v>
      </c>
      <c r="C400" s="31" t="s">
        <v>21</v>
      </c>
      <c r="D400" s="31">
        <v>0</v>
      </c>
      <c r="E400" s="31" t="s">
        <v>20</v>
      </c>
      <c r="F400" s="31" t="s">
        <v>21</v>
      </c>
      <c r="G400" s="31">
        <v>6000</v>
      </c>
      <c r="H400" s="31">
        <v>0</v>
      </c>
      <c r="I400" s="31">
        <v>140</v>
      </c>
      <c r="J400" s="31">
        <v>360</v>
      </c>
      <c r="K400" s="31">
        <v>1</v>
      </c>
      <c r="L400" s="31" t="s">
        <v>22</v>
      </c>
      <c r="M400" s="31" t="s">
        <v>27</v>
      </c>
      <c r="N400" s="31">
        <v>6000</v>
      </c>
      <c r="O400" s="31" t="s">
        <v>24</v>
      </c>
      <c r="P400" s="32">
        <v>0.43</v>
      </c>
      <c r="Q400" s="31">
        <v>2.3333333333333335</v>
      </c>
    </row>
    <row r="401" spans="1:17">
      <c r="A401" s="33" t="s">
        <v>430</v>
      </c>
      <c r="B401" s="33" t="s">
        <v>18</v>
      </c>
      <c r="C401" s="33" t="s">
        <v>19</v>
      </c>
      <c r="D401" s="33">
        <v>3</v>
      </c>
      <c r="E401" s="33" t="s">
        <v>29</v>
      </c>
      <c r="F401" s="33" t="s">
        <v>21</v>
      </c>
      <c r="G401" s="33">
        <v>2947</v>
      </c>
      <c r="H401" s="33">
        <v>1664</v>
      </c>
      <c r="I401" s="33">
        <v>70</v>
      </c>
      <c r="J401" s="33">
        <v>180</v>
      </c>
      <c r="K401" s="33">
        <v>0</v>
      </c>
      <c r="L401" s="33" t="s">
        <v>26</v>
      </c>
      <c r="M401" s="33" t="s">
        <v>23</v>
      </c>
      <c r="N401" s="33">
        <v>4611</v>
      </c>
      <c r="O401" s="33" t="s">
        <v>35</v>
      </c>
      <c r="P401" s="34">
        <v>0.66</v>
      </c>
      <c r="Q401" s="33">
        <v>1.5181088700932552</v>
      </c>
    </row>
    <row r="402" spans="1:17">
      <c r="A402" s="31" t="s">
        <v>431</v>
      </c>
      <c r="B402" s="31" t="s">
        <v>40</v>
      </c>
      <c r="C402" s="31" t="s">
        <v>19</v>
      </c>
      <c r="D402" s="31">
        <v>0</v>
      </c>
      <c r="E402" s="31" t="s">
        <v>20</v>
      </c>
      <c r="F402" s="31" t="s">
        <v>21</v>
      </c>
      <c r="G402" s="31">
        <v>16692</v>
      </c>
      <c r="H402" s="31">
        <v>0</v>
      </c>
      <c r="I402" s="31">
        <v>110</v>
      </c>
      <c r="J402" s="31">
        <v>360</v>
      </c>
      <c r="K402" s="31">
        <v>1</v>
      </c>
      <c r="L402" s="31" t="s">
        <v>34</v>
      </c>
      <c r="M402" s="31" t="s">
        <v>27</v>
      </c>
      <c r="N402" s="31">
        <v>16692</v>
      </c>
      <c r="O402" s="31" t="s">
        <v>24</v>
      </c>
      <c r="P402" s="32">
        <v>1.52</v>
      </c>
      <c r="Q402" s="31">
        <v>0.65899832254972435</v>
      </c>
    </row>
    <row r="403" spans="1:17">
      <c r="A403" s="33" t="s">
        <v>432</v>
      </c>
      <c r="B403" s="33" t="s">
        <v>46</v>
      </c>
      <c r="C403" s="33" t="s">
        <v>19</v>
      </c>
      <c r="D403" s="33">
        <v>2</v>
      </c>
      <c r="E403" s="33" t="s">
        <v>29</v>
      </c>
      <c r="F403" s="33" t="s">
        <v>40</v>
      </c>
      <c r="G403" s="33">
        <v>210</v>
      </c>
      <c r="H403" s="33">
        <v>2917</v>
      </c>
      <c r="I403" s="33">
        <v>98</v>
      </c>
      <c r="J403" s="33">
        <v>360</v>
      </c>
      <c r="K403" s="33">
        <v>1</v>
      </c>
      <c r="L403" s="33" t="s">
        <v>34</v>
      </c>
      <c r="M403" s="33" t="s">
        <v>27</v>
      </c>
      <c r="N403" s="33">
        <v>3127</v>
      </c>
      <c r="O403" s="33" t="s">
        <v>24</v>
      </c>
      <c r="P403" s="34">
        <v>0.32</v>
      </c>
      <c r="Q403" s="33">
        <v>3.1339942436840422</v>
      </c>
    </row>
    <row r="404" spans="1:17">
      <c r="A404" s="31" t="s">
        <v>433</v>
      </c>
      <c r="B404" s="31" t="s">
        <v>18</v>
      </c>
      <c r="C404" s="31" t="s">
        <v>19</v>
      </c>
      <c r="D404" s="31">
        <v>0</v>
      </c>
      <c r="E404" s="31" t="s">
        <v>20</v>
      </c>
      <c r="F404" s="31" t="s">
        <v>21</v>
      </c>
      <c r="G404" s="31">
        <v>4333</v>
      </c>
      <c r="H404" s="31">
        <v>2451</v>
      </c>
      <c r="I404" s="31">
        <v>110</v>
      </c>
      <c r="J404" s="31">
        <v>360</v>
      </c>
      <c r="K404" s="31">
        <v>1</v>
      </c>
      <c r="L404" s="31" t="s">
        <v>26</v>
      </c>
      <c r="M404" s="31" t="s">
        <v>23</v>
      </c>
      <c r="N404" s="31">
        <v>6784</v>
      </c>
      <c r="O404" s="31" t="s">
        <v>24</v>
      </c>
      <c r="P404" s="32">
        <v>0.62</v>
      </c>
      <c r="Q404" s="31">
        <v>1.6214622641509433</v>
      </c>
    </row>
    <row r="405" spans="1:17">
      <c r="A405" s="33" t="s">
        <v>434</v>
      </c>
      <c r="B405" s="33" t="s">
        <v>18</v>
      </c>
      <c r="C405" s="33" t="s">
        <v>19</v>
      </c>
      <c r="D405" s="33">
        <v>1</v>
      </c>
      <c r="E405" s="33" t="s">
        <v>20</v>
      </c>
      <c r="F405" s="33" t="s">
        <v>19</v>
      </c>
      <c r="G405" s="33">
        <v>3450</v>
      </c>
      <c r="H405" s="33">
        <v>2079</v>
      </c>
      <c r="I405" s="33">
        <v>162</v>
      </c>
      <c r="J405" s="33">
        <v>360</v>
      </c>
      <c r="K405" s="33">
        <v>1</v>
      </c>
      <c r="L405" s="33" t="s">
        <v>34</v>
      </c>
      <c r="M405" s="33" t="s">
        <v>27</v>
      </c>
      <c r="N405" s="33">
        <v>5529</v>
      </c>
      <c r="O405" s="33" t="s">
        <v>24</v>
      </c>
      <c r="P405" s="34">
        <v>0.34</v>
      </c>
      <c r="Q405" s="33">
        <v>2.930005425935974</v>
      </c>
    </row>
    <row r="406" spans="1:17">
      <c r="A406" s="31" t="s">
        <v>435</v>
      </c>
      <c r="B406" s="31" t="s">
        <v>18</v>
      </c>
      <c r="C406" s="31" t="s">
        <v>19</v>
      </c>
      <c r="D406" s="31">
        <v>1</v>
      </c>
      <c r="E406" s="31" t="s">
        <v>29</v>
      </c>
      <c r="F406" s="31" t="s">
        <v>21</v>
      </c>
      <c r="G406" s="31">
        <v>2653</v>
      </c>
      <c r="H406" s="31">
        <v>1500</v>
      </c>
      <c r="I406" s="31">
        <v>113</v>
      </c>
      <c r="J406" s="31">
        <v>180</v>
      </c>
      <c r="K406" s="31">
        <v>0</v>
      </c>
      <c r="L406" s="31" t="s">
        <v>22</v>
      </c>
      <c r="M406" s="31" t="s">
        <v>23</v>
      </c>
      <c r="N406" s="31">
        <v>4153</v>
      </c>
      <c r="O406" s="31" t="s">
        <v>35</v>
      </c>
      <c r="P406" s="32">
        <v>0.37</v>
      </c>
      <c r="Q406" s="31">
        <v>2.7209246327955694</v>
      </c>
    </row>
    <row r="407" spans="1:17">
      <c r="A407" s="33" t="s">
        <v>436</v>
      </c>
      <c r="B407" s="33" t="s">
        <v>18</v>
      </c>
      <c r="C407" s="33" t="s">
        <v>19</v>
      </c>
      <c r="D407" s="33">
        <v>3</v>
      </c>
      <c r="E407" s="33" t="s">
        <v>20</v>
      </c>
      <c r="F407" s="33" t="s">
        <v>21</v>
      </c>
      <c r="G407" s="33">
        <v>4691</v>
      </c>
      <c r="H407" s="33">
        <v>0</v>
      </c>
      <c r="I407" s="33">
        <v>100</v>
      </c>
      <c r="J407" s="33">
        <v>360</v>
      </c>
      <c r="K407" s="33">
        <v>1</v>
      </c>
      <c r="L407" s="33" t="s">
        <v>34</v>
      </c>
      <c r="M407" s="33" t="s">
        <v>27</v>
      </c>
      <c r="N407" s="33">
        <v>4691</v>
      </c>
      <c r="O407" s="33" t="s">
        <v>24</v>
      </c>
      <c r="P407" s="34">
        <v>0.47</v>
      </c>
      <c r="Q407" s="33">
        <v>2.1317416329140908</v>
      </c>
    </row>
    <row r="408" spans="1:17">
      <c r="A408" s="31" t="s">
        <v>437</v>
      </c>
      <c r="B408" s="31" t="s">
        <v>18</v>
      </c>
      <c r="C408" s="31" t="s">
        <v>21</v>
      </c>
      <c r="D408" s="31">
        <v>2</v>
      </c>
      <c r="E408" s="31" t="s">
        <v>20</v>
      </c>
      <c r="F408" s="31" t="s">
        <v>21</v>
      </c>
      <c r="G408" s="31">
        <v>5532</v>
      </c>
      <c r="H408" s="31">
        <v>4648</v>
      </c>
      <c r="I408" s="31">
        <v>162</v>
      </c>
      <c r="J408" s="31">
        <v>360</v>
      </c>
      <c r="K408" s="31">
        <v>1</v>
      </c>
      <c r="L408" s="31" t="s">
        <v>22</v>
      </c>
      <c r="M408" s="31" t="s">
        <v>27</v>
      </c>
      <c r="N408" s="31">
        <v>10180</v>
      </c>
      <c r="O408" s="31" t="s">
        <v>24</v>
      </c>
      <c r="P408" s="32">
        <v>0.63</v>
      </c>
      <c r="Q408" s="31">
        <v>1.5913555992141455</v>
      </c>
    </row>
    <row r="409" spans="1:17">
      <c r="A409" s="33" t="s">
        <v>438</v>
      </c>
      <c r="B409" s="33" t="s">
        <v>18</v>
      </c>
      <c r="C409" s="33" t="s">
        <v>19</v>
      </c>
      <c r="D409" s="33">
        <v>2</v>
      </c>
      <c r="E409" s="33" t="s">
        <v>20</v>
      </c>
      <c r="F409" s="33" t="s">
        <v>19</v>
      </c>
      <c r="G409" s="33">
        <v>16525</v>
      </c>
      <c r="H409" s="33">
        <v>1014</v>
      </c>
      <c r="I409" s="33">
        <v>150</v>
      </c>
      <c r="J409" s="33">
        <v>360</v>
      </c>
      <c r="K409" s="33">
        <v>1</v>
      </c>
      <c r="L409" s="33" t="s">
        <v>22</v>
      </c>
      <c r="M409" s="33" t="s">
        <v>27</v>
      </c>
      <c r="N409" s="33">
        <v>17539</v>
      </c>
      <c r="O409" s="33" t="s">
        <v>24</v>
      </c>
      <c r="P409" s="34">
        <v>1.17</v>
      </c>
      <c r="Q409" s="33">
        <v>0.85523690062147217</v>
      </c>
    </row>
    <row r="410" spans="1:17">
      <c r="A410" s="31" t="s">
        <v>439</v>
      </c>
      <c r="B410" s="31" t="s">
        <v>18</v>
      </c>
      <c r="C410" s="31" t="s">
        <v>19</v>
      </c>
      <c r="D410" s="31">
        <v>2</v>
      </c>
      <c r="E410" s="31" t="s">
        <v>20</v>
      </c>
      <c r="F410" s="31" t="s">
        <v>21</v>
      </c>
      <c r="G410" s="31">
        <v>6700</v>
      </c>
      <c r="H410" s="31">
        <v>1750</v>
      </c>
      <c r="I410" s="31">
        <v>230</v>
      </c>
      <c r="J410" s="31">
        <v>300</v>
      </c>
      <c r="K410" s="31">
        <v>1</v>
      </c>
      <c r="L410" s="31" t="s">
        <v>34</v>
      </c>
      <c r="M410" s="31" t="s">
        <v>27</v>
      </c>
      <c r="N410" s="31">
        <v>8450</v>
      </c>
      <c r="O410" s="31" t="s">
        <v>24</v>
      </c>
      <c r="P410" s="32">
        <v>0.37</v>
      </c>
      <c r="Q410" s="31">
        <v>2.72189349112426</v>
      </c>
    </row>
    <row r="411" spans="1:17">
      <c r="A411" s="33" t="s">
        <v>440</v>
      </c>
      <c r="B411" s="33" t="s">
        <v>40</v>
      </c>
      <c r="C411" s="33" t="s">
        <v>19</v>
      </c>
      <c r="D411" s="33">
        <v>2</v>
      </c>
      <c r="E411" s="33" t="s">
        <v>20</v>
      </c>
      <c r="F411" s="33" t="s">
        <v>21</v>
      </c>
      <c r="G411" s="33">
        <v>2873</v>
      </c>
      <c r="H411" s="33">
        <v>1872</v>
      </c>
      <c r="I411" s="33">
        <v>132</v>
      </c>
      <c r="J411" s="33">
        <v>360</v>
      </c>
      <c r="K411" s="33">
        <v>0</v>
      </c>
      <c r="L411" s="33" t="s">
        <v>34</v>
      </c>
      <c r="M411" s="33" t="s">
        <v>23</v>
      </c>
      <c r="N411" s="33">
        <v>4745</v>
      </c>
      <c r="O411" s="33" t="s">
        <v>35</v>
      </c>
      <c r="P411" s="34">
        <v>0.36</v>
      </c>
      <c r="Q411" s="33">
        <v>2.7818756585879871</v>
      </c>
    </row>
    <row r="412" spans="1:17">
      <c r="A412" s="31" t="s">
        <v>441</v>
      </c>
      <c r="B412" s="31" t="s">
        <v>18</v>
      </c>
      <c r="C412" s="31" t="s">
        <v>19</v>
      </c>
      <c r="D412" s="31">
        <v>1</v>
      </c>
      <c r="E412" s="31" t="s">
        <v>20</v>
      </c>
      <c r="F412" s="31" t="s">
        <v>19</v>
      </c>
      <c r="G412" s="31">
        <v>16667</v>
      </c>
      <c r="H412" s="31">
        <v>2250</v>
      </c>
      <c r="I412" s="31">
        <v>86</v>
      </c>
      <c r="J412" s="31">
        <v>360</v>
      </c>
      <c r="K412" s="31">
        <v>1</v>
      </c>
      <c r="L412" s="31" t="s">
        <v>34</v>
      </c>
      <c r="M412" s="31" t="s">
        <v>27</v>
      </c>
      <c r="N412" s="31">
        <v>18917</v>
      </c>
      <c r="O412" s="31" t="s">
        <v>24</v>
      </c>
      <c r="P412" s="32">
        <v>2.2000000000000002</v>
      </c>
      <c r="Q412" s="31">
        <v>0.45461753977903469</v>
      </c>
    </row>
    <row r="413" spans="1:17">
      <c r="A413" s="33" t="s">
        <v>442</v>
      </c>
      <c r="B413" s="33" t="s">
        <v>46</v>
      </c>
      <c r="C413" s="33" t="s">
        <v>21</v>
      </c>
      <c r="D413" s="33">
        <v>0</v>
      </c>
      <c r="E413" s="33" t="s">
        <v>29</v>
      </c>
      <c r="F413" s="33" t="s">
        <v>21</v>
      </c>
      <c r="G413" s="33">
        <v>4350</v>
      </c>
      <c r="H413" s="33">
        <v>0</v>
      </c>
      <c r="I413" s="33">
        <v>154</v>
      </c>
      <c r="J413" s="33">
        <v>360</v>
      </c>
      <c r="K413" s="33">
        <v>1</v>
      </c>
      <c r="L413" s="33" t="s">
        <v>22</v>
      </c>
      <c r="M413" s="33" t="s">
        <v>27</v>
      </c>
      <c r="N413" s="33">
        <v>4350</v>
      </c>
      <c r="O413" s="33" t="s">
        <v>24</v>
      </c>
      <c r="P413" s="34">
        <v>0.28000000000000003</v>
      </c>
      <c r="Q413" s="33">
        <v>3.5402298850574714</v>
      </c>
    </row>
    <row r="414" spans="1:17">
      <c r="A414" s="31" t="s">
        <v>443</v>
      </c>
      <c r="B414" s="31" t="s">
        <v>18</v>
      </c>
      <c r="C414" s="31" t="s">
        <v>19</v>
      </c>
      <c r="D414" s="31">
        <v>3</v>
      </c>
      <c r="E414" s="31" t="s">
        <v>29</v>
      </c>
      <c r="F414" s="31" t="s">
        <v>21</v>
      </c>
      <c r="G414" s="31">
        <v>3095</v>
      </c>
      <c r="H414" s="31">
        <v>0</v>
      </c>
      <c r="I414" s="31">
        <v>113</v>
      </c>
      <c r="J414" s="31">
        <v>360</v>
      </c>
      <c r="K414" s="31">
        <v>1</v>
      </c>
      <c r="L414" s="31" t="s">
        <v>22</v>
      </c>
      <c r="M414" s="31" t="s">
        <v>27</v>
      </c>
      <c r="N414" s="31">
        <v>3095</v>
      </c>
      <c r="O414" s="31" t="s">
        <v>24</v>
      </c>
      <c r="P414" s="32">
        <v>0.27</v>
      </c>
      <c r="Q414" s="31">
        <v>3.6510500807754442</v>
      </c>
    </row>
    <row r="415" spans="1:17">
      <c r="A415" s="33" t="s">
        <v>444</v>
      </c>
      <c r="B415" s="33" t="s">
        <v>18</v>
      </c>
      <c r="C415" s="33" t="s">
        <v>19</v>
      </c>
      <c r="D415" s="33">
        <v>0</v>
      </c>
      <c r="E415" s="33" t="s">
        <v>20</v>
      </c>
      <c r="F415" s="33" t="s">
        <v>21</v>
      </c>
      <c r="G415" s="33">
        <v>2083</v>
      </c>
      <c r="H415" s="33">
        <v>3150</v>
      </c>
      <c r="I415" s="33">
        <v>128</v>
      </c>
      <c r="J415" s="33">
        <v>360</v>
      </c>
      <c r="K415" s="33">
        <v>1</v>
      </c>
      <c r="L415" s="33" t="s">
        <v>34</v>
      </c>
      <c r="M415" s="33" t="s">
        <v>27</v>
      </c>
      <c r="N415" s="33">
        <v>5233</v>
      </c>
      <c r="O415" s="33" t="s">
        <v>24</v>
      </c>
      <c r="P415" s="34">
        <v>0.41</v>
      </c>
      <c r="Q415" s="33">
        <v>2.4460156697878843</v>
      </c>
    </row>
    <row r="416" spans="1:17">
      <c r="A416" s="31" t="s">
        <v>445</v>
      </c>
      <c r="B416" s="31" t="s">
        <v>18</v>
      </c>
      <c r="C416" s="31" t="s">
        <v>19</v>
      </c>
      <c r="D416" s="31">
        <v>0</v>
      </c>
      <c r="E416" s="31" t="s">
        <v>20</v>
      </c>
      <c r="F416" s="31" t="s">
        <v>21</v>
      </c>
      <c r="G416" s="31">
        <v>10833</v>
      </c>
      <c r="H416" s="31">
        <v>0</v>
      </c>
      <c r="I416" s="31">
        <v>234</v>
      </c>
      <c r="J416" s="31">
        <v>360</v>
      </c>
      <c r="K416" s="31">
        <v>1</v>
      </c>
      <c r="L416" s="31" t="s">
        <v>34</v>
      </c>
      <c r="M416" s="31" t="s">
        <v>27</v>
      </c>
      <c r="N416" s="31">
        <v>10833</v>
      </c>
      <c r="O416" s="31" t="s">
        <v>24</v>
      </c>
      <c r="P416" s="32">
        <v>0.46</v>
      </c>
      <c r="Q416" s="31">
        <v>2.1600664635834947</v>
      </c>
    </row>
    <row r="417" spans="1:17">
      <c r="A417" s="33" t="s">
        <v>446</v>
      </c>
      <c r="B417" s="33" t="s">
        <v>18</v>
      </c>
      <c r="C417" s="33" t="s">
        <v>19</v>
      </c>
      <c r="D417" s="33">
        <v>2</v>
      </c>
      <c r="E417" s="33" t="s">
        <v>20</v>
      </c>
      <c r="F417" s="33" t="s">
        <v>21</v>
      </c>
      <c r="G417" s="33">
        <v>8333</v>
      </c>
      <c r="H417" s="33">
        <v>0</v>
      </c>
      <c r="I417" s="33">
        <v>246</v>
      </c>
      <c r="J417" s="33">
        <v>360</v>
      </c>
      <c r="K417" s="33">
        <v>1</v>
      </c>
      <c r="L417" s="33" t="s">
        <v>34</v>
      </c>
      <c r="M417" s="33" t="s">
        <v>27</v>
      </c>
      <c r="N417" s="33">
        <v>8333</v>
      </c>
      <c r="O417" s="33" t="s">
        <v>24</v>
      </c>
      <c r="P417" s="34">
        <v>0.34</v>
      </c>
      <c r="Q417" s="33">
        <v>2.9521180847233888</v>
      </c>
    </row>
    <row r="418" spans="1:17">
      <c r="A418" s="31" t="s">
        <v>447</v>
      </c>
      <c r="B418" s="31" t="s">
        <v>18</v>
      </c>
      <c r="C418" s="31" t="s">
        <v>19</v>
      </c>
      <c r="D418" s="31">
        <v>1</v>
      </c>
      <c r="E418" s="31" t="s">
        <v>29</v>
      </c>
      <c r="F418" s="31" t="s">
        <v>21</v>
      </c>
      <c r="G418" s="31">
        <v>1958</v>
      </c>
      <c r="H418" s="31">
        <v>2436</v>
      </c>
      <c r="I418" s="31">
        <v>131</v>
      </c>
      <c r="J418" s="31">
        <v>360</v>
      </c>
      <c r="K418" s="31">
        <v>1</v>
      </c>
      <c r="L418" s="31" t="s">
        <v>22</v>
      </c>
      <c r="M418" s="31" t="s">
        <v>27</v>
      </c>
      <c r="N418" s="31">
        <v>4394</v>
      </c>
      <c r="O418" s="31" t="s">
        <v>24</v>
      </c>
      <c r="P418" s="32">
        <v>0.34</v>
      </c>
      <c r="Q418" s="31">
        <v>2.9813381884387802</v>
      </c>
    </row>
    <row r="419" spans="1:17">
      <c r="A419" s="33" t="s">
        <v>448</v>
      </c>
      <c r="B419" s="33" t="s">
        <v>18</v>
      </c>
      <c r="C419" s="33" t="s">
        <v>21</v>
      </c>
      <c r="D419" s="33">
        <v>2</v>
      </c>
      <c r="E419" s="33" t="s">
        <v>20</v>
      </c>
      <c r="F419" s="33" t="s">
        <v>21</v>
      </c>
      <c r="G419" s="33">
        <v>3547</v>
      </c>
      <c r="H419" s="33">
        <v>0</v>
      </c>
      <c r="I419" s="33">
        <v>80</v>
      </c>
      <c r="J419" s="33">
        <v>360</v>
      </c>
      <c r="K419" s="33">
        <v>0</v>
      </c>
      <c r="L419" s="33" t="s">
        <v>22</v>
      </c>
      <c r="M419" s="33" t="s">
        <v>23</v>
      </c>
      <c r="N419" s="33">
        <v>3547</v>
      </c>
      <c r="O419" s="33" t="s">
        <v>35</v>
      </c>
      <c r="P419" s="34">
        <v>0.44</v>
      </c>
      <c r="Q419" s="33">
        <v>2.2554271215111359</v>
      </c>
    </row>
    <row r="420" spans="1:17">
      <c r="A420" s="31" t="s">
        <v>449</v>
      </c>
      <c r="B420" s="31" t="s">
        <v>18</v>
      </c>
      <c r="C420" s="31" t="s">
        <v>19</v>
      </c>
      <c r="D420" s="31">
        <v>1</v>
      </c>
      <c r="E420" s="31" t="s">
        <v>20</v>
      </c>
      <c r="F420" s="31" t="s">
        <v>21</v>
      </c>
      <c r="G420" s="31">
        <v>18333</v>
      </c>
      <c r="H420" s="31">
        <v>0</v>
      </c>
      <c r="I420" s="31">
        <v>500</v>
      </c>
      <c r="J420" s="31">
        <v>360</v>
      </c>
      <c r="K420" s="31">
        <v>1</v>
      </c>
      <c r="L420" s="31" t="s">
        <v>26</v>
      </c>
      <c r="M420" s="31" t="s">
        <v>23</v>
      </c>
      <c r="N420" s="31">
        <v>18333</v>
      </c>
      <c r="O420" s="31" t="s">
        <v>24</v>
      </c>
      <c r="P420" s="32">
        <v>0.37</v>
      </c>
      <c r="Q420" s="31">
        <v>2.7273223149511807</v>
      </c>
    </row>
    <row r="421" spans="1:17">
      <c r="A421" s="33" t="s">
        <v>450</v>
      </c>
      <c r="B421" s="33" t="s">
        <v>18</v>
      </c>
      <c r="C421" s="33" t="s">
        <v>19</v>
      </c>
      <c r="D421" s="33">
        <v>2</v>
      </c>
      <c r="E421" s="33" t="s">
        <v>20</v>
      </c>
      <c r="F421" s="33" t="s">
        <v>19</v>
      </c>
      <c r="G421" s="33">
        <v>4583</v>
      </c>
      <c r="H421" s="33">
        <v>2083</v>
      </c>
      <c r="I421" s="33">
        <v>160</v>
      </c>
      <c r="J421" s="33">
        <v>360</v>
      </c>
      <c r="K421" s="33">
        <v>1</v>
      </c>
      <c r="L421" s="33" t="s">
        <v>34</v>
      </c>
      <c r="M421" s="33" t="s">
        <v>27</v>
      </c>
      <c r="N421" s="33">
        <v>6666</v>
      </c>
      <c r="O421" s="33" t="s">
        <v>24</v>
      </c>
      <c r="P421" s="34">
        <v>0.42</v>
      </c>
      <c r="Q421" s="33">
        <v>2.4002400240024002</v>
      </c>
    </row>
    <row r="422" spans="1:17">
      <c r="A422" s="31" t="s">
        <v>451</v>
      </c>
      <c r="B422" s="31" t="s">
        <v>18</v>
      </c>
      <c r="C422" s="31" t="s">
        <v>21</v>
      </c>
      <c r="D422" s="31">
        <v>0</v>
      </c>
      <c r="E422" s="31" t="s">
        <v>20</v>
      </c>
      <c r="F422" s="31" t="s">
        <v>21</v>
      </c>
      <c r="G422" s="31">
        <v>2435</v>
      </c>
      <c r="H422" s="31">
        <v>0</v>
      </c>
      <c r="I422" s="31">
        <v>75</v>
      </c>
      <c r="J422" s="31">
        <v>360</v>
      </c>
      <c r="K422" s="31">
        <v>1</v>
      </c>
      <c r="L422" s="31" t="s">
        <v>26</v>
      </c>
      <c r="M422" s="31" t="s">
        <v>23</v>
      </c>
      <c r="N422" s="31">
        <v>2435</v>
      </c>
      <c r="O422" s="31" t="s">
        <v>24</v>
      </c>
      <c r="P422" s="32">
        <v>0.32</v>
      </c>
      <c r="Q422" s="31">
        <v>3.0800821355236137</v>
      </c>
    </row>
    <row r="423" spans="1:17">
      <c r="A423" s="33" t="s">
        <v>452</v>
      </c>
      <c r="B423" s="33" t="s">
        <v>18</v>
      </c>
      <c r="C423" s="33" t="s">
        <v>21</v>
      </c>
      <c r="D423" s="33">
        <v>0</v>
      </c>
      <c r="E423" s="33" t="s">
        <v>29</v>
      </c>
      <c r="F423" s="33" t="s">
        <v>21</v>
      </c>
      <c r="G423" s="33">
        <v>3691</v>
      </c>
      <c r="H423" s="33">
        <v>0</v>
      </c>
      <c r="I423" s="33">
        <v>110</v>
      </c>
      <c r="J423" s="33">
        <v>360</v>
      </c>
      <c r="K423" s="33">
        <v>1</v>
      </c>
      <c r="L423" s="33" t="s">
        <v>22</v>
      </c>
      <c r="M423" s="33" t="s">
        <v>27</v>
      </c>
      <c r="N423" s="33">
        <v>3691</v>
      </c>
      <c r="O423" s="33" t="s">
        <v>24</v>
      </c>
      <c r="P423" s="34">
        <v>0.34</v>
      </c>
      <c r="Q423" s="33">
        <v>2.9802221620157137</v>
      </c>
    </row>
    <row r="424" spans="1:17">
      <c r="A424" s="31" t="s">
        <v>453</v>
      </c>
      <c r="B424" s="31" t="s">
        <v>46</v>
      </c>
      <c r="C424" s="31" t="s">
        <v>21</v>
      </c>
      <c r="D424" s="31">
        <v>0</v>
      </c>
      <c r="E424" s="31" t="s">
        <v>29</v>
      </c>
      <c r="F424" s="31" t="s">
        <v>19</v>
      </c>
      <c r="G424" s="31">
        <v>17263</v>
      </c>
      <c r="H424" s="31">
        <v>0</v>
      </c>
      <c r="I424" s="31">
        <v>225</v>
      </c>
      <c r="J424" s="31">
        <v>360</v>
      </c>
      <c r="K424" s="31">
        <v>1</v>
      </c>
      <c r="L424" s="31" t="s">
        <v>34</v>
      </c>
      <c r="M424" s="31" t="s">
        <v>27</v>
      </c>
      <c r="N424" s="31">
        <v>17263</v>
      </c>
      <c r="O424" s="31" t="s">
        <v>24</v>
      </c>
      <c r="P424" s="32">
        <v>0.77</v>
      </c>
      <c r="Q424" s="31">
        <v>1.3033655795632277</v>
      </c>
    </row>
    <row r="425" spans="1:17">
      <c r="A425" s="33" t="s">
        <v>454</v>
      </c>
      <c r="B425" s="33" t="s">
        <v>18</v>
      </c>
      <c r="C425" s="33" t="s">
        <v>19</v>
      </c>
      <c r="D425" s="33">
        <v>0</v>
      </c>
      <c r="E425" s="33" t="s">
        <v>20</v>
      </c>
      <c r="F425" s="33" t="s">
        <v>21</v>
      </c>
      <c r="G425" s="33">
        <v>3597</v>
      </c>
      <c r="H425" s="33">
        <v>2157</v>
      </c>
      <c r="I425" s="33">
        <v>119</v>
      </c>
      <c r="J425" s="33">
        <v>360</v>
      </c>
      <c r="K425" s="33">
        <v>0</v>
      </c>
      <c r="L425" s="33" t="s">
        <v>22</v>
      </c>
      <c r="M425" s="33" t="s">
        <v>23</v>
      </c>
      <c r="N425" s="33">
        <v>5754</v>
      </c>
      <c r="O425" s="33" t="s">
        <v>35</v>
      </c>
      <c r="P425" s="34">
        <v>0.48</v>
      </c>
      <c r="Q425" s="33">
        <v>2.0681265206812651</v>
      </c>
    </row>
    <row r="426" spans="1:17">
      <c r="A426" s="31" t="s">
        <v>455</v>
      </c>
      <c r="B426" s="31" t="s">
        <v>46</v>
      </c>
      <c r="C426" s="31" t="s">
        <v>19</v>
      </c>
      <c r="D426" s="31">
        <v>1</v>
      </c>
      <c r="E426" s="31" t="s">
        <v>20</v>
      </c>
      <c r="F426" s="31" t="s">
        <v>21</v>
      </c>
      <c r="G426" s="31">
        <v>3326</v>
      </c>
      <c r="H426" s="31">
        <v>913</v>
      </c>
      <c r="I426" s="31">
        <v>105</v>
      </c>
      <c r="J426" s="31">
        <v>84</v>
      </c>
      <c r="K426" s="31">
        <v>1</v>
      </c>
      <c r="L426" s="31" t="s">
        <v>34</v>
      </c>
      <c r="M426" s="31" t="s">
        <v>27</v>
      </c>
      <c r="N426" s="31">
        <v>4239</v>
      </c>
      <c r="O426" s="31" t="s">
        <v>24</v>
      </c>
      <c r="P426" s="32">
        <v>0.4</v>
      </c>
      <c r="Q426" s="31">
        <v>2.4769992922859165</v>
      </c>
    </row>
    <row r="427" spans="1:17">
      <c r="A427" s="33" t="s">
        <v>456</v>
      </c>
      <c r="B427" s="33" t="s">
        <v>18</v>
      </c>
      <c r="C427" s="33" t="s">
        <v>19</v>
      </c>
      <c r="D427" s="33">
        <v>0</v>
      </c>
      <c r="E427" s="33" t="s">
        <v>29</v>
      </c>
      <c r="F427" s="33" t="s">
        <v>21</v>
      </c>
      <c r="G427" s="33">
        <v>2600</v>
      </c>
      <c r="H427" s="33">
        <v>1700</v>
      </c>
      <c r="I427" s="33">
        <v>107</v>
      </c>
      <c r="J427" s="33">
        <v>360</v>
      </c>
      <c r="K427" s="33">
        <v>1</v>
      </c>
      <c r="L427" s="33" t="s">
        <v>22</v>
      </c>
      <c r="M427" s="33" t="s">
        <v>27</v>
      </c>
      <c r="N427" s="33">
        <v>4300</v>
      </c>
      <c r="O427" s="33" t="s">
        <v>24</v>
      </c>
      <c r="P427" s="34">
        <v>0.4</v>
      </c>
      <c r="Q427" s="33">
        <v>2.4883720930232558</v>
      </c>
    </row>
    <row r="428" spans="1:17">
      <c r="A428" s="31" t="s">
        <v>457</v>
      </c>
      <c r="B428" s="31" t="s">
        <v>18</v>
      </c>
      <c r="C428" s="31" t="s">
        <v>19</v>
      </c>
      <c r="D428" s="31">
        <v>1</v>
      </c>
      <c r="E428" s="31" t="s">
        <v>20</v>
      </c>
      <c r="F428" s="31" t="s">
        <v>19</v>
      </c>
      <c r="G428" s="31">
        <v>2895</v>
      </c>
      <c r="H428" s="31">
        <v>0</v>
      </c>
      <c r="I428" s="31">
        <v>95</v>
      </c>
      <c r="J428" s="31">
        <v>360</v>
      </c>
      <c r="K428" s="31">
        <v>1</v>
      </c>
      <c r="L428" s="31" t="s">
        <v>34</v>
      </c>
      <c r="M428" s="31" t="s">
        <v>27</v>
      </c>
      <c r="N428" s="31">
        <v>2895</v>
      </c>
      <c r="O428" s="31" t="s">
        <v>24</v>
      </c>
      <c r="P428" s="32">
        <v>0.3</v>
      </c>
      <c r="Q428" s="31">
        <v>3.2815198618307431</v>
      </c>
    </row>
    <row r="429" spans="1:17">
      <c r="A429" s="33" t="s">
        <v>458</v>
      </c>
      <c r="B429" s="33" t="s">
        <v>18</v>
      </c>
      <c r="C429" s="33" t="s">
        <v>21</v>
      </c>
      <c r="D429" s="33">
        <v>0</v>
      </c>
      <c r="E429" s="33" t="s">
        <v>20</v>
      </c>
      <c r="F429" s="33" t="s">
        <v>21</v>
      </c>
      <c r="G429" s="33">
        <v>6283</v>
      </c>
      <c r="H429" s="33">
        <v>4416</v>
      </c>
      <c r="I429" s="33">
        <v>209</v>
      </c>
      <c r="J429" s="33">
        <v>360</v>
      </c>
      <c r="K429" s="33">
        <v>0</v>
      </c>
      <c r="L429" s="33" t="s">
        <v>22</v>
      </c>
      <c r="M429" s="33" t="s">
        <v>23</v>
      </c>
      <c r="N429" s="33">
        <v>10699</v>
      </c>
      <c r="O429" s="33" t="s">
        <v>35</v>
      </c>
      <c r="P429" s="34">
        <v>0.51</v>
      </c>
      <c r="Q429" s="33">
        <v>1.9534535937938124</v>
      </c>
    </row>
    <row r="430" spans="1:17">
      <c r="A430" s="31" t="s">
        <v>459</v>
      </c>
      <c r="B430" s="31" t="s">
        <v>46</v>
      </c>
      <c r="C430" s="31" t="s">
        <v>21</v>
      </c>
      <c r="D430" s="31">
        <v>0</v>
      </c>
      <c r="E430" s="31" t="s">
        <v>20</v>
      </c>
      <c r="F430" s="31" t="s">
        <v>21</v>
      </c>
      <c r="G430" s="31">
        <v>645</v>
      </c>
      <c r="H430" s="31">
        <v>3683</v>
      </c>
      <c r="I430" s="31">
        <v>113</v>
      </c>
      <c r="J430" s="31">
        <v>480</v>
      </c>
      <c r="K430" s="31">
        <v>1</v>
      </c>
      <c r="L430" s="31" t="s">
        <v>22</v>
      </c>
      <c r="M430" s="31" t="s">
        <v>27</v>
      </c>
      <c r="N430" s="31">
        <v>4328</v>
      </c>
      <c r="O430" s="31" t="s">
        <v>24</v>
      </c>
      <c r="P430" s="32">
        <v>0.38</v>
      </c>
      <c r="Q430" s="31">
        <v>2.6109057301293901</v>
      </c>
    </row>
    <row r="431" spans="1:17">
      <c r="A431" s="33" t="s">
        <v>460</v>
      </c>
      <c r="B431" s="33" t="s">
        <v>46</v>
      </c>
      <c r="C431" s="33" t="s">
        <v>21</v>
      </c>
      <c r="D431" s="33">
        <v>0</v>
      </c>
      <c r="E431" s="33" t="s">
        <v>20</v>
      </c>
      <c r="F431" s="33" t="s">
        <v>21</v>
      </c>
      <c r="G431" s="33">
        <v>3159</v>
      </c>
      <c r="H431" s="33">
        <v>0</v>
      </c>
      <c r="I431" s="33">
        <v>100</v>
      </c>
      <c r="J431" s="33">
        <v>360</v>
      </c>
      <c r="K431" s="33">
        <v>1</v>
      </c>
      <c r="L431" s="33" t="s">
        <v>34</v>
      </c>
      <c r="M431" s="33" t="s">
        <v>27</v>
      </c>
      <c r="N431" s="33">
        <v>3159</v>
      </c>
      <c r="O431" s="33" t="s">
        <v>24</v>
      </c>
      <c r="P431" s="34">
        <v>0.32</v>
      </c>
      <c r="Q431" s="33">
        <v>3.1655587211142771</v>
      </c>
    </row>
    <row r="432" spans="1:17">
      <c r="A432" s="31" t="s">
        <v>461</v>
      </c>
      <c r="B432" s="31" t="s">
        <v>18</v>
      </c>
      <c r="C432" s="31" t="s">
        <v>19</v>
      </c>
      <c r="D432" s="31">
        <v>2</v>
      </c>
      <c r="E432" s="31" t="s">
        <v>20</v>
      </c>
      <c r="F432" s="31" t="s">
        <v>21</v>
      </c>
      <c r="G432" s="31">
        <v>4865</v>
      </c>
      <c r="H432" s="31">
        <v>5624</v>
      </c>
      <c r="I432" s="31">
        <v>208</v>
      </c>
      <c r="J432" s="31">
        <v>360</v>
      </c>
      <c r="K432" s="31">
        <v>1</v>
      </c>
      <c r="L432" s="31" t="s">
        <v>34</v>
      </c>
      <c r="M432" s="31" t="s">
        <v>27</v>
      </c>
      <c r="N432" s="31">
        <v>10489</v>
      </c>
      <c r="O432" s="31" t="s">
        <v>24</v>
      </c>
      <c r="P432" s="32">
        <v>0.5</v>
      </c>
      <c r="Q432" s="31">
        <v>1.9830298407855849</v>
      </c>
    </row>
    <row r="433" spans="1:17">
      <c r="A433" s="33" t="s">
        <v>462</v>
      </c>
      <c r="B433" s="33" t="s">
        <v>18</v>
      </c>
      <c r="C433" s="33" t="s">
        <v>19</v>
      </c>
      <c r="D433" s="33">
        <v>0</v>
      </c>
      <c r="E433" s="33" t="s">
        <v>29</v>
      </c>
      <c r="F433" s="33" t="s">
        <v>21</v>
      </c>
      <c r="G433" s="33">
        <v>3814</v>
      </c>
      <c r="H433" s="33">
        <v>1483</v>
      </c>
      <c r="I433" s="33">
        <v>124</v>
      </c>
      <c r="J433" s="33">
        <v>300</v>
      </c>
      <c r="K433" s="33">
        <v>1</v>
      </c>
      <c r="L433" s="33" t="s">
        <v>34</v>
      </c>
      <c r="M433" s="33" t="s">
        <v>27</v>
      </c>
      <c r="N433" s="33">
        <v>5297</v>
      </c>
      <c r="O433" s="33" t="s">
        <v>24</v>
      </c>
      <c r="P433" s="34">
        <v>0.43</v>
      </c>
      <c r="Q433" s="33">
        <v>2.3409477062488202</v>
      </c>
    </row>
    <row r="434" spans="1:17">
      <c r="A434" s="31" t="s">
        <v>463</v>
      </c>
      <c r="B434" s="31" t="s">
        <v>18</v>
      </c>
      <c r="C434" s="31" t="s">
        <v>19</v>
      </c>
      <c r="D434" s="31">
        <v>2</v>
      </c>
      <c r="E434" s="31" t="s">
        <v>20</v>
      </c>
      <c r="F434" s="31" t="s">
        <v>21</v>
      </c>
      <c r="G434" s="31">
        <v>3510</v>
      </c>
      <c r="H434" s="31">
        <v>4416</v>
      </c>
      <c r="I434" s="31">
        <v>243</v>
      </c>
      <c r="J434" s="31">
        <v>360</v>
      </c>
      <c r="K434" s="31">
        <v>1</v>
      </c>
      <c r="L434" s="31" t="s">
        <v>22</v>
      </c>
      <c r="M434" s="31" t="s">
        <v>27</v>
      </c>
      <c r="N434" s="31">
        <v>7926</v>
      </c>
      <c r="O434" s="31" t="s">
        <v>24</v>
      </c>
      <c r="P434" s="32">
        <v>0.33</v>
      </c>
      <c r="Q434" s="31">
        <v>3.0658591975775926</v>
      </c>
    </row>
    <row r="435" spans="1:17">
      <c r="A435" s="33" t="s">
        <v>464</v>
      </c>
      <c r="B435" s="33" t="s">
        <v>40</v>
      </c>
      <c r="C435" s="33" t="s">
        <v>21</v>
      </c>
      <c r="D435" s="33">
        <v>0</v>
      </c>
      <c r="E435" s="33" t="s">
        <v>20</v>
      </c>
      <c r="F435" s="33" t="s">
        <v>21</v>
      </c>
      <c r="G435" s="33">
        <v>3583</v>
      </c>
      <c r="H435" s="33">
        <v>0</v>
      </c>
      <c r="I435" s="33">
        <v>96</v>
      </c>
      <c r="J435" s="33">
        <v>360</v>
      </c>
      <c r="K435" s="33">
        <v>1</v>
      </c>
      <c r="L435" s="33" t="s">
        <v>26</v>
      </c>
      <c r="M435" s="33" t="s">
        <v>23</v>
      </c>
      <c r="N435" s="33">
        <v>3583</v>
      </c>
      <c r="O435" s="33" t="s">
        <v>24</v>
      </c>
      <c r="P435" s="34">
        <v>0.37</v>
      </c>
      <c r="Q435" s="33">
        <v>2.6793190064192016</v>
      </c>
    </row>
    <row r="436" spans="1:17">
      <c r="A436" s="31" t="s">
        <v>465</v>
      </c>
      <c r="B436" s="31" t="s">
        <v>18</v>
      </c>
      <c r="C436" s="31" t="s">
        <v>19</v>
      </c>
      <c r="D436" s="31">
        <v>0</v>
      </c>
      <c r="E436" s="31" t="s">
        <v>20</v>
      </c>
      <c r="F436" s="31" t="s">
        <v>19</v>
      </c>
      <c r="G436" s="31">
        <v>2479</v>
      </c>
      <c r="H436" s="31">
        <v>3013</v>
      </c>
      <c r="I436" s="31">
        <v>188</v>
      </c>
      <c r="J436" s="31">
        <v>360</v>
      </c>
      <c r="K436" s="31">
        <v>1</v>
      </c>
      <c r="L436" s="31" t="s">
        <v>26</v>
      </c>
      <c r="M436" s="31" t="s">
        <v>27</v>
      </c>
      <c r="N436" s="31">
        <v>5492</v>
      </c>
      <c r="O436" s="31" t="s">
        <v>24</v>
      </c>
      <c r="P436" s="32">
        <v>0.28999999999999998</v>
      </c>
      <c r="Q436" s="31">
        <v>3.423160961398398</v>
      </c>
    </row>
    <row r="437" spans="1:17">
      <c r="A437" s="33" t="s">
        <v>466</v>
      </c>
      <c r="B437" s="33" t="s">
        <v>46</v>
      </c>
      <c r="C437" s="33" t="s">
        <v>21</v>
      </c>
      <c r="D437" s="33">
        <v>1</v>
      </c>
      <c r="E437" s="33" t="s">
        <v>20</v>
      </c>
      <c r="F437" s="33" t="s">
        <v>21</v>
      </c>
      <c r="G437" s="33">
        <v>13262</v>
      </c>
      <c r="H437" s="33">
        <v>0</v>
      </c>
      <c r="I437" s="33">
        <v>40</v>
      </c>
      <c r="J437" s="33">
        <v>360</v>
      </c>
      <c r="K437" s="33">
        <v>1</v>
      </c>
      <c r="L437" s="33" t="s">
        <v>26</v>
      </c>
      <c r="M437" s="33" t="s">
        <v>27</v>
      </c>
      <c r="N437" s="33">
        <v>13262</v>
      </c>
      <c r="O437" s="33" t="s">
        <v>24</v>
      </c>
      <c r="P437" s="34">
        <v>3.32</v>
      </c>
      <c r="Q437" s="33">
        <v>0.30161363293620869</v>
      </c>
    </row>
    <row r="438" spans="1:17">
      <c r="A438" s="31" t="s">
        <v>467</v>
      </c>
      <c r="B438" s="31" t="s">
        <v>18</v>
      </c>
      <c r="C438" s="31" t="s">
        <v>21</v>
      </c>
      <c r="D438" s="31">
        <v>0</v>
      </c>
      <c r="E438" s="31" t="s">
        <v>29</v>
      </c>
      <c r="F438" s="31" t="s">
        <v>21</v>
      </c>
      <c r="G438" s="31">
        <v>3598</v>
      </c>
      <c r="H438" s="31">
        <v>1287</v>
      </c>
      <c r="I438" s="31">
        <v>100</v>
      </c>
      <c r="J438" s="31">
        <v>360</v>
      </c>
      <c r="K438" s="31">
        <v>1</v>
      </c>
      <c r="L438" s="31" t="s">
        <v>22</v>
      </c>
      <c r="M438" s="31" t="s">
        <v>23</v>
      </c>
      <c r="N438" s="31">
        <v>4885</v>
      </c>
      <c r="O438" s="31" t="s">
        <v>24</v>
      </c>
      <c r="P438" s="32">
        <v>0.49</v>
      </c>
      <c r="Q438" s="31">
        <v>2.0470829068577281</v>
      </c>
    </row>
    <row r="439" spans="1:17">
      <c r="A439" s="33" t="s">
        <v>468</v>
      </c>
      <c r="B439" s="33" t="s">
        <v>18</v>
      </c>
      <c r="C439" s="33" t="s">
        <v>19</v>
      </c>
      <c r="D439" s="33">
        <v>1</v>
      </c>
      <c r="E439" s="33" t="s">
        <v>20</v>
      </c>
      <c r="F439" s="33" t="s">
        <v>21</v>
      </c>
      <c r="G439" s="33">
        <v>6065</v>
      </c>
      <c r="H439" s="33">
        <v>2004</v>
      </c>
      <c r="I439" s="33">
        <v>250</v>
      </c>
      <c r="J439" s="33">
        <v>360</v>
      </c>
      <c r="K439" s="33">
        <v>1</v>
      </c>
      <c r="L439" s="33" t="s">
        <v>34</v>
      </c>
      <c r="M439" s="33" t="s">
        <v>27</v>
      </c>
      <c r="N439" s="33">
        <v>8069</v>
      </c>
      <c r="O439" s="33" t="s">
        <v>24</v>
      </c>
      <c r="P439" s="34">
        <v>0.32</v>
      </c>
      <c r="Q439" s="33">
        <v>3.098277357789069</v>
      </c>
    </row>
    <row r="440" spans="1:17">
      <c r="A440" s="31" t="s">
        <v>469</v>
      </c>
      <c r="B440" s="31" t="s">
        <v>18</v>
      </c>
      <c r="C440" s="31" t="s">
        <v>19</v>
      </c>
      <c r="D440" s="31">
        <v>2</v>
      </c>
      <c r="E440" s="31" t="s">
        <v>20</v>
      </c>
      <c r="F440" s="31" t="s">
        <v>21</v>
      </c>
      <c r="G440" s="31">
        <v>3283</v>
      </c>
      <c r="H440" s="31">
        <v>2035</v>
      </c>
      <c r="I440" s="31">
        <v>148</v>
      </c>
      <c r="J440" s="31">
        <v>360</v>
      </c>
      <c r="K440" s="31">
        <v>1</v>
      </c>
      <c r="L440" s="31" t="s">
        <v>26</v>
      </c>
      <c r="M440" s="31" t="s">
        <v>27</v>
      </c>
      <c r="N440" s="31">
        <v>5318</v>
      </c>
      <c r="O440" s="31" t="s">
        <v>24</v>
      </c>
      <c r="P440" s="32">
        <v>0.36</v>
      </c>
      <c r="Q440" s="31">
        <v>2.7830011282437006</v>
      </c>
    </row>
    <row r="441" spans="1:17">
      <c r="A441" s="33" t="s">
        <v>470</v>
      </c>
      <c r="B441" s="33" t="s">
        <v>18</v>
      </c>
      <c r="C441" s="33" t="s">
        <v>19</v>
      </c>
      <c r="D441" s="33">
        <v>0</v>
      </c>
      <c r="E441" s="33" t="s">
        <v>20</v>
      </c>
      <c r="F441" s="33" t="s">
        <v>21</v>
      </c>
      <c r="G441" s="33">
        <v>2130</v>
      </c>
      <c r="H441" s="33">
        <v>6666</v>
      </c>
      <c r="I441" s="33">
        <v>70</v>
      </c>
      <c r="J441" s="33">
        <v>180</v>
      </c>
      <c r="K441" s="33">
        <v>1</v>
      </c>
      <c r="L441" s="33" t="s">
        <v>34</v>
      </c>
      <c r="M441" s="33" t="s">
        <v>23</v>
      </c>
      <c r="N441" s="33">
        <v>8796</v>
      </c>
      <c r="O441" s="33" t="s">
        <v>24</v>
      </c>
      <c r="P441" s="34">
        <v>1.26</v>
      </c>
      <c r="Q441" s="33">
        <v>0.79581628012733063</v>
      </c>
    </row>
    <row r="442" spans="1:17">
      <c r="A442" s="31" t="s">
        <v>471</v>
      </c>
      <c r="B442" s="31" t="s">
        <v>18</v>
      </c>
      <c r="C442" s="31" t="s">
        <v>21</v>
      </c>
      <c r="D442" s="31">
        <v>0</v>
      </c>
      <c r="E442" s="31" t="s">
        <v>20</v>
      </c>
      <c r="F442" s="31" t="s">
        <v>21</v>
      </c>
      <c r="G442" s="31">
        <v>5815</v>
      </c>
      <c r="H442" s="31">
        <v>3666</v>
      </c>
      <c r="I442" s="31">
        <v>311</v>
      </c>
      <c r="J442" s="31">
        <v>360</v>
      </c>
      <c r="K442" s="31">
        <v>1</v>
      </c>
      <c r="L442" s="31" t="s">
        <v>22</v>
      </c>
      <c r="M442" s="31" t="s">
        <v>23</v>
      </c>
      <c r="N442" s="31">
        <v>9481</v>
      </c>
      <c r="O442" s="31" t="s">
        <v>24</v>
      </c>
      <c r="P442" s="32">
        <v>0.3</v>
      </c>
      <c r="Q442" s="31">
        <v>3.2802446999261679</v>
      </c>
    </row>
    <row r="443" spans="1:17">
      <c r="A443" s="33" t="s">
        <v>472</v>
      </c>
      <c r="B443" s="33" t="s">
        <v>18</v>
      </c>
      <c r="C443" s="33" t="s">
        <v>19</v>
      </c>
      <c r="D443" s="33">
        <v>3</v>
      </c>
      <c r="E443" s="33" t="s">
        <v>20</v>
      </c>
      <c r="F443" s="33" t="s">
        <v>21</v>
      </c>
      <c r="G443" s="33">
        <v>3466</v>
      </c>
      <c r="H443" s="33">
        <v>3428</v>
      </c>
      <c r="I443" s="33">
        <v>150</v>
      </c>
      <c r="J443" s="33">
        <v>360</v>
      </c>
      <c r="K443" s="33">
        <v>1</v>
      </c>
      <c r="L443" s="33" t="s">
        <v>22</v>
      </c>
      <c r="M443" s="33" t="s">
        <v>27</v>
      </c>
      <c r="N443" s="33">
        <v>6894</v>
      </c>
      <c r="O443" s="33" t="s">
        <v>24</v>
      </c>
      <c r="P443" s="34">
        <v>0.46</v>
      </c>
      <c r="Q443" s="33">
        <v>2.1758050478677111</v>
      </c>
    </row>
    <row r="444" spans="1:17">
      <c r="A444" s="31" t="s">
        <v>473</v>
      </c>
      <c r="B444" s="31" t="s">
        <v>46</v>
      </c>
      <c r="C444" s="31" t="s">
        <v>19</v>
      </c>
      <c r="D444" s="31">
        <v>2</v>
      </c>
      <c r="E444" s="31" t="s">
        <v>20</v>
      </c>
      <c r="F444" s="31" t="s">
        <v>21</v>
      </c>
      <c r="G444" s="31">
        <v>2031</v>
      </c>
      <c r="H444" s="31">
        <v>1632</v>
      </c>
      <c r="I444" s="31">
        <v>113</v>
      </c>
      <c r="J444" s="31">
        <v>480</v>
      </c>
      <c r="K444" s="31">
        <v>1</v>
      </c>
      <c r="L444" s="31" t="s">
        <v>34</v>
      </c>
      <c r="M444" s="31" t="s">
        <v>27</v>
      </c>
      <c r="N444" s="31">
        <v>3663</v>
      </c>
      <c r="O444" s="31" t="s">
        <v>24</v>
      </c>
      <c r="P444" s="32">
        <v>0.32</v>
      </c>
      <c r="Q444" s="31">
        <v>3.0849030849030847</v>
      </c>
    </row>
    <row r="445" spans="1:17">
      <c r="A445" s="33" t="s">
        <v>474</v>
      </c>
      <c r="B445" s="33" t="s">
        <v>18</v>
      </c>
      <c r="C445" s="33" t="s">
        <v>19</v>
      </c>
      <c r="D445" s="33">
        <v>0</v>
      </c>
      <c r="E445" s="33" t="s">
        <v>29</v>
      </c>
      <c r="F445" s="33" t="s">
        <v>21</v>
      </c>
      <c r="G445" s="33">
        <v>3074</v>
      </c>
      <c r="H445" s="33">
        <v>1800</v>
      </c>
      <c r="I445" s="33">
        <v>123</v>
      </c>
      <c r="J445" s="33">
        <v>360</v>
      </c>
      <c r="K445" s="33">
        <v>0</v>
      </c>
      <c r="L445" s="33" t="s">
        <v>34</v>
      </c>
      <c r="M445" s="33" t="s">
        <v>23</v>
      </c>
      <c r="N445" s="33">
        <v>4874</v>
      </c>
      <c r="O445" s="33" t="s">
        <v>35</v>
      </c>
      <c r="P445" s="34">
        <v>0.4</v>
      </c>
      <c r="Q445" s="33">
        <v>2.5235945835043085</v>
      </c>
    </row>
    <row r="446" spans="1:17">
      <c r="A446" s="31" t="s">
        <v>475</v>
      </c>
      <c r="B446" s="31" t="s">
        <v>18</v>
      </c>
      <c r="C446" s="31" t="s">
        <v>21</v>
      </c>
      <c r="D446" s="31">
        <v>0</v>
      </c>
      <c r="E446" s="31" t="s">
        <v>20</v>
      </c>
      <c r="F446" s="31" t="s">
        <v>21</v>
      </c>
      <c r="G446" s="31">
        <v>4683</v>
      </c>
      <c r="H446" s="31">
        <v>1915</v>
      </c>
      <c r="I446" s="31">
        <v>185</v>
      </c>
      <c r="J446" s="31">
        <v>360</v>
      </c>
      <c r="K446" s="31">
        <v>1</v>
      </c>
      <c r="L446" s="31" t="s">
        <v>34</v>
      </c>
      <c r="M446" s="31" t="s">
        <v>23</v>
      </c>
      <c r="N446" s="31">
        <v>6598</v>
      </c>
      <c r="O446" s="31" t="s">
        <v>24</v>
      </c>
      <c r="P446" s="32">
        <v>0.36</v>
      </c>
      <c r="Q446" s="31">
        <v>2.8038799636253411</v>
      </c>
    </row>
    <row r="447" spans="1:17">
      <c r="A447" s="33" t="s">
        <v>476</v>
      </c>
      <c r="B447" s="33" t="s">
        <v>46</v>
      </c>
      <c r="C447" s="33" t="s">
        <v>21</v>
      </c>
      <c r="D447" s="33">
        <v>0</v>
      </c>
      <c r="E447" s="33" t="s">
        <v>29</v>
      </c>
      <c r="F447" s="33" t="s">
        <v>21</v>
      </c>
      <c r="G447" s="33">
        <v>3400</v>
      </c>
      <c r="H447" s="33">
        <v>0</v>
      </c>
      <c r="I447" s="33">
        <v>95</v>
      </c>
      <c r="J447" s="33">
        <v>360</v>
      </c>
      <c r="K447" s="33">
        <v>1</v>
      </c>
      <c r="L447" s="33" t="s">
        <v>22</v>
      </c>
      <c r="M447" s="33" t="s">
        <v>23</v>
      </c>
      <c r="N447" s="33">
        <v>3400</v>
      </c>
      <c r="O447" s="33" t="s">
        <v>24</v>
      </c>
      <c r="P447" s="34">
        <v>0.36</v>
      </c>
      <c r="Q447" s="33">
        <v>2.7941176470588238</v>
      </c>
    </row>
    <row r="448" spans="1:17">
      <c r="A448" s="31" t="s">
        <v>477</v>
      </c>
      <c r="B448" s="31" t="s">
        <v>18</v>
      </c>
      <c r="C448" s="31" t="s">
        <v>19</v>
      </c>
      <c r="D448" s="31">
        <v>2</v>
      </c>
      <c r="E448" s="31" t="s">
        <v>29</v>
      </c>
      <c r="F448" s="31" t="s">
        <v>21</v>
      </c>
      <c r="G448" s="31">
        <v>2192</v>
      </c>
      <c r="H448" s="31">
        <v>1742</v>
      </c>
      <c r="I448" s="31">
        <v>45</v>
      </c>
      <c r="J448" s="31">
        <v>360</v>
      </c>
      <c r="K448" s="31">
        <v>1</v>
      </c>
      <c r="L448" s="31" t="s">
        <v>34</v>
      </c>
      <c r="M448" s="31" t="s">
        <v>27</v>
      </c>
      <c r="N448" s="31">
        <v>3934</v>
      </c>
      <c r="O448" s="31" t="s">
        <v>24</v>
      </c>
      <c r="P448" s="32">
        <v>0.87</v>
      </c>
      <c r="Q448" s="31">
        <v>1.1438739196746313</v>
      </c>
    </row>
    <row r="449" spans="1:17">
      <c r="A449" s="33" t="s">
        <v>478</v>
      </c>
      <c r="B449" s="33" t="s">
        <v>18</v>
      </c>
      <c r="C449" s="33" t="s">
        <v>21</v>
      </c>
      <c r="D449" s="33">
        <v>0</v>
      </c>
      <c r="E449" s="33" t="s">
        <v>20</v>
      </c>
      <c r="F449" s="33" t="s">
        <v>21</v>
      </c>
      <c r="G449" s="33">
        <v>2500</v>
      </c>
      <c r="H449" s="33">
        <v>0</v>
      </c>
      <c r="I449" s="33">
        <v>55</v>
      </c>
      <c r="J449" s="33">
        <v>360</v>
      </c>
      <c r="K449" s="33">
        <v>1</v>
      </c>
      <c r="L449" s="33" t="s">
        <v>34</v>
      </c>
      <c r="M449" s="33" t="s">
        <v>27</v>
      </c>
      <c r="N449" s="33">
        <v>2500</v>
      </c>
      <c r="O449" s="33" t="s">
        <v>24</v>
      </c>
      <c r="P449" s="34">
        <v>0.45</v>
      </c>
      <c r="Q449" s="33">
        <v>2.1999999999999997</v>
      </c>
    </row>
    <row r="450" spans="1:17">
      <c r="A450" s="31" t="s">
        <v>479</v>
      </c>
      <c r="B450" s="31" t="s">
        <v>18</v>
      </c>
      <c r="C450" s="31" t="s">
        <v>19</v>
      </c>
      <c r="D450" s="31">
        <v>3</v>
      </c>
      <c r="E450" s="31" t="s">
        <v>20</v>
      </c>
      <c r="F450" s="31" t="s">
        <v>19</v>
      </c>
      <c r="G450" s="31">
        <v>5677</v>
      </c>
      <c r="H450" s="31">
        <v>1424</v>
      </c>
      <c r="I450" s="31">
        <v>100</v>
      </c>
      <c r="J450" s="31">
        <v>360</v>
      </c>
      <c r="K450" s="31">
        <v>1</v>
      </c>
      <c r="L450" s="31" t="s">
        <v>22</v>
      </c>
      <c r="M450" s="31" t="s">
        <v>27</v>
      </c>
      <c r="N450" s="31">
        <v>7101</v>
      </c>
      <c r="O450" s="31" t="s">
        <v>24</v>
      </c>
      <c r="P450" s="32">
        <v>0.71</v>
      </c>
      <c r="Q450" s="31">
        <v>1.4082523588227009</v>
      </c>
    </row>
    <row r="451" spans="1:17">
      <c r="A451" s="33" t="s">
        <v>480</v>
      </c>
      <c r="B451" s="33" t="s">
        <v>18</v>
      </c>
      <c r="C451" s="33" t="s">
        <v>19</v>
      </c>
      <c r="D451" s="33">
        <v>2</v>
      </c>
      <c r="E451" s="33" t="s">
        <v>20</v>
      </c>
      <c r="F451" s="33" t="s">
        <v>19</v>
      </c>
      <c r="G451" s="33">
        <v>7948</v>
      </c>
      <c r="H451" s="33">
        <v>7166</v>
      </c>
      <c r="I451" s="33">
        <v>480</v>
      </c>
      <c r="J451" s="33">
        <v>360</v>
      </c>
      <c r="K451" s="33">
        <v>1</v>
      </c>
      <c r="L451" s="33" t="s">
        <v>22</v>
      </c>
      <c r="M451" s="33" t="s">
        <v>27</v>
      </c>
      <c r="N451" s="33">
        <v>15114</v>
      </c>
      <c r="O451" s="33" t="s">
        <v>24</v>
      </c>
      <c r="P451" s="34">
        <v>0.31</v>
      </c>
      <c r="Q451" s="33">
        <v>3.1758634378721715</v>
      </c>
    </row>
    <row r="452" spans="1:17">
      <c r="A452" s="31" t="s">
        <v>481</v>
      </c>
      <c r="B452" s="31" t="s">
        <v>18</v>
      </c>
      <c r="C452" s="31" t="s">
        <v>19</v>
      </c>
      <c r="D452" s="31">
        <v>2</v>
      </c>
      <c r="E452" s="31" t="s">
        <v>20</v>
      </c>
      <c r="F452" s="31" t="s">
        <v>19</v>
      </c>
      <c r="G452" s="31">
        <v>17500</v>
      </c>
      <c r="H452" s="31">
        <v>0</v>
      </c>
      <c r="I452" s="31">
        <v>400</v>
      </c>
      <c r="J452" s="31">
        <v>360</v>
      </c>
      <c r="K452" s="31">
        <v>1</v>
      </c>
      <c r="L452" s="31" t="s">
        <v>22</v>
      </c>
      <c r="M452" s="31" t="s">
        <v>27</v>
      </c>
      <c r="N452" s="31">
        <v>17500</v>
      </c>
      <c r="O452" s="31" t="s">
        <v>24</v>
      </c>
      <c r="P452" s="32">
        <v>0.44</v>
      </c>
      <c r="Q452" s="31">
        <v>2.2857142857142856</v>
      </c>
    </row>
    <row r="453" spans="1:17">
      <c r="A453" s="33" t="s">
        <v>482</v>
      </c>
      <c r="B453" s="33" t="s">
        <v>18</v>
      </c>
      <c r="C453" s="33" t="s">
        <v>19</v>
      </c>
      <c r="D453" s="33">
        <v>0</v>
      </c>
      <c r="E453" s="33" t="s">
        <v>20</v>
      </c>
      <c r="F453" s="33" t="s">
        <v>21</v>
      </c>
      <c r="G453" s="33">
        <v>3775</v>
      </c>
      <c r="H453" s="33">
        <v>0</v>
      </c>
      <c r="I453" s="33">
        <v>110</v>
      </c>
      <c r="J453" s="33">
        <v>360</v>
      </c>
      <c r="K453" s="33">
        <v>1</v>
      </c>
      <c r="L453" s="33" t="s">
        <v>34</v>
      </c>
      <c r="M453" s="33" t="s">
        <v>27</v>
      </c>
      <c r="N453" s="33">
        <v>3775</v>
      </c>
      <c r="O453" s="33" t="s">
        <v>24</v>
      </c>
      <c r="P453" s="34">
        <v>0.34</v>
      </c>
      <c r="Q453" s="33">
        <v>2.9139072847682121</v>
      </c>
    </row>
    <row r="454" spans="1:17">
      <c r="A454" s="31" t="s">
        <v>483</v>
      </c>
      <c r="B454" s="31" t="s">
        <v>18</v>
      </c>
      <c r="C454" s="31" t="s">
        <v>19</v>
      </c>
      <c r="D454" s="31">
        <v>1</v>
      </c>
      <c r="E454" s="31" t="s">
        <v>29</v>
      </c>
      <c r="F454" s="31" t="s">
        <v>21</v>
      </c>
      <c r="G454" s="31">
        <v>5285</v>
      </c>
      <c r="H454" s="31">
        <v>1430</v>
      </c>
      <c r="I454" s="31">
        <v>161</v>
      </c>
      <c r="J454" s="31">
        <v>360</v>
      </c>
      <c r="K454" s="31">
        <v>0</v>
      </c>
      <c r="L454" s="31" t="s">
        <v>34</v>
      </c>
      <c r="M454" s="31" t="s">
        <v>27</v>
      </c>
      <c r="N454" s="31">
        <v>6715</v>
      </c>
      <c r="O454" s="31" t="s">
        <v>35</v>
      </c>
      <c r="P454" s="32">
        <v>0.42</v>
      </c>
      <c r="Q454" s="31">
        <v>2.3976172747580042</v>
      </c>
    </row>
    <row r="455" spans="1:17">
      <c r="A455" s="33" t="s">
        <v>484</v>
      </c>
      <c r="B455" s="33" t="s">
        <v>18</v>
      </c>
      <c r="C455" s="33" t="s">
        <v>21</v>
      </c>
      <c r="D455" s="33">
        <v>1</v>
      </c>
      <c r="E455" s="33" t="s">
        <v>29</v>
      </c>
      <c r="F455" s="33" t="s">
        <v>21</v>
      </c>
      <c r="G455" s="33">
        <v>2679</v>
      </c>
      <c r="H455" s="33">
        <v>1302</v>
      </c>
      <c r="I455" s="33">
        <v>94</v>
      </c>
      <c r="J455" s="33">
        <v>360</v>
      </c>
      <c r="K455" s="33">
        <v>1</v>
      </c>
      <c r="L455" s="33" t="s">
        <v>34</v>
      </c>
      <c r="M455" s="33" t="s">
        <v>27</v>
      </c>
      <c r="N455" s="33">
        <v>3981</v>
      </c>
      <c r="O455" s="33" t="s">
        <v>24</v>
      </c>
      <c r="P455" s="34">
        <v>0.42</v>
      </c>
      <c r="Q455" s="33">
        <v>2.3612157749309222</v>
      </c>
    </row>
    <row r="456" spans="1:17">
      <c r="A456" s="31" t="s">
        <v>485</v>
      </c>
      <c r="B456" s="31" t="s">
        <v>18</v>
      </c>
      <c r="C456" s="31" t="s">
        <v>21</v>
      </c>
      <c r="D456" s="31">
        <v>0</v>
      </c>
      <c r="E456" s="31" t="s">
        <v>29</v>
      </c>
      <c r="F456" s="31" t="s">
        <v>21</v>
      </c>
      <c r="G456" s="31">
        <v>6783</v>
      </c>
      <c r="H456" s="31">
        <v>0</v>
      </c>
      <c r="I456" s="31">
        <v>130</v>
      </c>
      <c r="J456" s="31">
        <v>360</v>
      </c>
      <c r="K456" s="31">
        <v>1</v>
      </c>
      <c r="L456" s="31" t="s">
        <v>34</v>
      </c>
      <c r="M456" s="31" t="s">
        <v>27</v>
      </c>
      <c r="N456" s="31">
        <v>6783</v>
      </c>
      <c r="O456" s="31" t="s">
        <v>24</v>
      </c>
      <c r="P456" s="32">
        <v>0.52</v>
      </c>
      <c r="Q456" s="31">
        <v>1.9165560961226595</v>
      </c>
    </row>
    <row r="457" spans="1:17">
      <c r="A457" s="33" t="s">
        <v>486</v>
      </c>
      <c r="B457" s="33" t="s">
        <v>18</v>
      </c>
      <c r="C457" s="33" t="s">
        <v>19</v>
      </c>
      <c r="D457" s="33">
        <v>3</v>
      </c>
      <c r="E457" s="33" t="s">
        <v>20</v>
      </c>
      <c r="F457" s="33" t="s">
        <v>21</v>
      </c>
      <c r="G457" s="33">
        <v>4281</v>
      </c>
      <c r="H457" s="33">
        <v>0</v>
      </c>
      <c r="I457" s="33">
        <v>100</v>
      </c>
      <c r="J457" s="33">
        <v>360</v>
      </c>
      <c r="K457" s="33">
        <v>1</v>
      </c>
      <c r="L457" s="33" t="s">
        <v>26</v>
      </c>
      <c r="M457" s="33" t="s">
        <v>27</v>
      </c>
      <c r="N457" s="33">
        <v>4281</v>
      </c>
      <c r="O457" s="33" t="s">
        <v>24</v>
      </c>
      <c r="P457" s="34">
        <v>0.43</v>
      </c>
      <c r="Q457" s="33">
        <v>2.3359028264424198</v>
      </c>
    </row>
    <row r="458" spans="1:17">
      <c r="A458" s="31" t="s">
        <v>487</v>
      </c>
      <c r="B458" s="31" t="s">
        <v>18</v>
      </c>
      <c r="C458" s="31" t="s">
        <v>21</v>
      </c>
      <c r="D458" s="31">
        <v>2</v>
      </c>
      <c r="E458" s="31" t="s">
        <v>20</v>
      </c>
      <c r="F458" s="31" t="s">
        <v>21</v>
      </c>
      <c r="G458" s="31">
        <v>3588</v>
      </c>
      <c r="H458" s="31">
        <v>0</v>
      </c>
      <c r="I458" s="31">
        <v>110</v>
      </c>
      <c r="J458" s="31">
        <v>360</v>
      </c>
      <c r="K458" s="31">
        <v>0</v>
      </c>
      <c r="L458" s="31" t="s">
        <v>22</v>
      </c>
      <c r="M458" s="31" t="s">
        <v>23</v>
      </c>
      <c r="N458" s="31">
        <v>3588</v>
      </c>
      <c r="O458" s="31" t="s">
        <v>35</v>
      </c>
      <c r="P458" s="32">
        <v>0.33</v>
      </c>
      <c r="Q458" s="31">
        <v>3.0657748049052396</v>
      </c>
    </row>
    <row r="459" spans="1:17">
      <c r="A459" s="33" t="s">
        <v>488</v>
      </c>
      <c r="B459" s="33" t="s">
        <v>46</v>
      </c>
      <c r="C459" s="33" t="s">
        <v>21</v>
      </c>
      <c r="D459" s="33">
        <v>0</v>
      </c>
      <c r="E459" s="33" t="s">
        <v>29</v>
      </c>
      <c r="F459" s="33" t="s">
        <v>19</v>
      </c>
      <c r="G459" s="33">
        <v>18165</v>
      </c>
      <c r="H459" s="33">
        <v>0</v>
      </c>
      <c r="I459" s="33">
        <v>125</v>
      </c>
      <c r="J459" s="33">
        <v>360</v>
      </c>
      <c r="K459" s="33">
        <v>1</v>
      </c>
      <c r="L459" s="33" t="s">
        <v>26</v>
      </c>
      <c r="M459" s="33" t="s">
        <v>27</v>
      </c>
      <c r="N459" s="33">
        <v>18165</v>
      </c>
      <c r="O459" s="33" t="s">
        <v>24</v>
      </c>
      <c r="P459" s="34">
        <v>1.45</v>
      </c>
      <c r="Q459" s="33">
        <v>0.68813652628681532</v>
      </c>
    </row>
    <row r="460" spans="1:17">
      <c r="A460" s="31" t="s">
        <v>489</v>
      </c>
      <c r="B460" s="31" t="s">
        <v>18</v>
      </c>
      <c r="C460" s="31" t="s">
        <v>21</v>
      </c>
      <c r="D460" s="31">
        <v>0</v>
      </c>
      <c r="E460" s="31" t="s">
        <v>29</v>
      </c>
      <c r="F460" s="31" t="s">
        <v>40</v>
      </c>
      <c r="G460" s="31">
        <v>2550</v>
      </c>
      <c r="H460" s="31">
        <v>2042</v>
      </c>
      <c r="I460" s="31">
        <v>126</v>
      </c>
      <c r="J460" s="31">
        <v>360</v>
      </c>
      <c r="K460" s="31">
        <v>1</v>
      </c>
      <c r="L460" s="31" t="s">
        <v>22</v>
      </c>
      <c r="M460" s="31" t="s">
        <v>27</v>
      </c>
      <c r="N460" s="31">
        <v>4592</v>
      </c>
      <c r="O460" s="31" t="s">
        <v>24</v>
      </c>
      <c r="P460" s="32">
        <v>0.36</v>
      </c>
      <c r="Q460" s="31">
        <v>2.7439024390243905</v>
      </c>
    </row>
    <row r="461" spans="1:17">
      <c r="A461" s="33" t="s">
        <v>490</v>
      </c>
      <c r="B461" s="33" t="s">
        <v>18</v>
      </c>
      <c r="C461" s="33" t="s">
        <v>19</v>
      </c>
      <c r="D461" s="33">
        <v>0</v>
      </c>
      <c r="E461" s="33" t="s">
        <v>20</v>
      </c>
      <c r="F461" s="33" t="s">
        <v>21</v>
      </c>
      <c r="G461" s="33">
        <v>6133</v>
      </c>
      <c r="H461" s="33">
        <v>3906</v>
      </c>
      <c r="I461" s="33">
        <v>324</v>
      </c>
      <c r="J461" s="33">
        <v>360</v>
      </c>
      <c r="K461" s="33">
        <v>1</v>
      </c>
      <c r="L461" s="33" t="s">
        <v>26</v>
      </c>
      <c r="M461" s="33" t="s">
        <v>27</v>
      </c>
      <c r="N461" s="33">
        <v>10039</v>
      </c>
      <c r="O461" s="33" t="s">
        <v>24</v>
      </c>
      <c r="P461" s="34">
        <v>0.31</v>
      </c>
      <c r="Q461" s="33">
        <v>3.227413088953083</v>
      </c>
    </row>
    <row r="462" spans="1:17">
      <c r="A462" s="31" t="s">
        <v>491</v>
      </c>
      <c r="B462" s="31" t="s">
        <v>18</v>
      </c>
      <c r="C462" s="31" t="s">
        <v>21</v>
      </c>
      <c r="D462" s="31">
        <v>2</v>
      </c>
      <c r="E462" s="31" t="s">
        <v>20</v>
      </c>
      <c r="F462" s="31" t="s">
        <v>21</v>
      </c>
      <c r="G462" s="31">
        <v>3617</v>
      </c>
      <c r="H462" s="31">
        <v>0</v>
      </c>
      <c r="I462" s="31">
        <v>107</v>
      </c>
      <c r="J462" s="31">
        <v>360</v>
      </c>
      <c r="K462" s="31">
        <v>1</v>
      </c>
      <c r="L462" s="31" t="s">
        <v>34</v>
      </c>
      <c r="M462" s="31" t="s">
        <v>27</v>
      </c>
      <c r="N462" s="31">
        <v>3617</v>
      </c>
      <c r="O462" s="31" t="s">
        <v>24</v>
      </c>
      <c r="P462" s="32">
        <v>0.34</v>
      </c>
      <c r="Q462" s="31">
        <v>2.958252695604092</v>
      </c>
    </row>
    <row r="463" spans="1:17">
      <c r="A463" s="33" t="s">
        <v>492</v>
      </c>
      <c r="B463" s="33" t="s">
        <v>18</v>
      </c>
      <c r="C463" s="33" t="s">
        <v>19</v>
      </c>
      <c r="D463" s="33">
        <v>0</v>
      </c>
      <c r="E463" s="33" t="s">
        <v>29</v>
      </c>
      <c r="F463" s="33" t="s">
        <v>21</v>
      </c>
      <c r="G463" s="33">
        <v>2917</v>
      </c>
      <c r="H463" s="33">
        <v>536</v>
      </c>
      <c r="I463" s="33">
        <v>66</v>
      </c>
      <c r="J463" s="33">
        <v>360</v>
      </c>
      <c r="K463" s="33">
        <v>1</v>
      </c>
      <c r="L463" s="33" t="s">
        <v>22</v>
      </c>
      <c r="M463" s="33" t="s">
        <v>23</v>
      </c>
      <c r="N463" s="33">
        <v>3453</v>
      </c>
      <c r="O463" s="33" t="s">
        <v>24</v>
      </c>
      <c r="P463" s="34">
        <v>0.52</v>
      </c>
      <c r="Q463" s="33">
        <v>1.9113814074717639</v>
      </c>
    </row>
    <row r="464" spans="1:17">
      <c r="A464" s="31" t="s">
        <v>493</v>
      </c>
      <c r="B464" s="31" t="s">
        <v>18</v>
      </c>
      <c r="C464" s="31" t="s">
        <v>19</v>
      </c>
      <c r="D464" s="31">
        <v>3</v>
      </c>
      <c r="E464" s="31" t="s">
        <v>20</v>
      </c>
      <c r="F464" s="31" t="s">
        <v>21</v>
      </c>
      <c r="G464" s="31">
        <v>6417</v>
      </c>
      <c r="H464" s="31">
        <v>0</v>
      </c>
      <c r="I464" s="31">
        <v>157</v>
      </c>
      <c r="J464" s="31">
        <v>180</v>
      </c>
      <c r="K464" s="31">
        <v>1</v>
      </c>
      <c r="L464" s="31" t="s">
        <v>22</v>
      </c>
      <c r="M464" s="31" t="s">
        <v>27</v>
      </c>
      <c r="N464" s="31">
        <v>6417</v>
      </c>
      <c r="O464" s="31" t="s">
        <v>24</v>
      </c>
      <c r="P464" s="32">
        <v>0.41</v>
      </c>
      <c r="Q464" s="31">
        <v>2.446626149290946</v>
      </c>
    </row>
    <row r="465" spans="1:17">
      <c r="A465" s="33" t="s">
        <v>494</v>
      </c>
      <c r="B465" s="33" t="s">
        <v>46</v>
      </c>
      <c r="C465" s="33" t="s">
        <v>19</v>
      </c>
      <c r="D465" s="33">
        <v>1</v>
      </c>
      <c r="E465" s="33" t="s">
        <v>20</v>
      </c>
      <c r="F465" s="33" t="s">
        <v>21</v>
      </c>
      <c r="G465" s="33">
        <v>4608</v>
      </c>
      <c r="H465" s="33">
        <v>2845</v>
      </c>
      <c r="I465" s="33">
        <v>140</v>
      </c>
      <c r="J465" s="33">
        <v>180</v>
      </c>
      <c r="K465" s="33">
        <v>1</v>
      </c>
      <c r="L465" s="33" t="s">
        <v>34</v>
      </c>
      <c r="M465" s="33" t="s">
        <v>27</v>
      </c>
      <c r="N465" s="33">
        <v>7453</v>
      </c>
      <c r="O465" s="33" t="s">
        <v>24</v>
      </c>
      <c r="P465" s="34">
        <v>0.53</v>
      </c>
      <c r="Q465" s="33">
        <v>1.8784382128002146</v>
      </c>
    </row>
    <row r="466" spans="1:17">
      <c r="A466" s="31" t="s">
        <v>495</v>
      </c>
      <c r="B466" s="31" t="s">
        <v>46</v>
      </c>
      <c r="C466" s="31" t="s">
        <v>21</v>
      </c>
      <c r="D466" s="31">
        <v>0</v>
      </c>
      <c r="E466" s="31" t="s">
        <v>20</v>
      </c>
      <c r="F466" s="31" t="s">
        <v>21</v>
      </c>
      <c r="G466" s="31">
        <v>2138</v>
      </c>
      <c r="H466" s="31">
        <v>0</v>
      </c>
      <c r="I466" s="31">
        <v>99</v>
      </c>
      <c r="J466" s="31">
        <v>360</v>
      </c>
      <c r="K466" s="31">
        <v>0</v>
      </c>
      <c r="L466" s="31" t="s">
        <v>34</v>
      </c>
      <c r="M466" s="31" t="s">
        <v>23</v>
      </c>
      <c r="N466" s="31">
        <v>2138</v>
      </c>
      <c r="O466" s="31" t="s">
        <v>35</v>
      </c>
      <c r="P466" s="32">
        <v>0.22</v>
      </c>
      <c r="Q466" s="31">
        <v>4.6304957904583723</v>
      </c>
    </row>
    <row r="467" spans="1:17">
      <c r="A467" s="33" t="s">
        <v>496</v>
      </c>
      <c r="B467" s="33" t="s">
        <v>46</v>
      </c>
      <c r="C467" s="33" t="s">
        <v>21</v>
      </c>
      <c r="D467" s="33">
        <v>1</v>
      </c>
      <c r="E467" s="33" t="s">
        <v>20</v>
      </c>
      <c r="F467" s="33" t="s">
        <v>40</v>
      </c>
      <c r="G467" s="33">
        <v>3652</v>
      </c>
      <c r="H467" s="33">
        <v>0</v>
      </c>
      <c r="I467" s="33">
        <v>95</v>
      </c>
      <c r="J467" s="33">
        <v>360</v>
      </c>
      <c r="K467" s="33">
        <v>1</v>
      </c>
      <c r="L467" s="33" t="s">
        <v>34</v>
      </c>
      <c r="M467" s="33" t="s">
        <v>27</v>
      </c>
      <c r="N467" s="33">
        <v>3652</v>
      </c>
      <c r="O467" s="33" t="s">
        <v>24</v>
      </c>
      <c r="P467" s="34">
        <v>0.38</v>
      </c>
      <c r="Q467" s="33">
        <v>2.6013143483023002</v>
      </c>
    </row>
    <row r="468" spans="1:17">
      <c r="A468" s="31" t="s">
        <v>497</v>
      </c>
      <c r="B468" s="31" t="s">
        <v>18</v>
      </c>
      <c r="C468" s="31" t="s">
        <v>19</v>
      </c>
      <c r="D468" s="31">
        <v>1</v>
      </c>
      <c r="E468" s="31" t="s">
        <v>29</v>
      </c>
      <c r="F468" s="31" t="s">
        <v>21</v>
      </c>
      <c r="G468" s="31">
        <v>2239</v>
      </c>
      <c r="H468" s="31">
        <v>2524</v>
      </c>
      <c r="I468" s="31">
        <v>128</v>
      </c>
      <c r="J468" s="31">
        <v>360</v>
      </c>
      <c r="K468" s="31">
        <v>1</v>
      </c>
      <c r="L468" s="31" t="s">
        <v>26</v>
      </c>
      <c r="M468" s="31" t="s">
        <v>27</v>
      </c>
      <c r="N468" s="31">
        <v>4763</v>
      </c>
      <c r="O468" s="31" t="s">
        <v>24</v>
      </c>
      <c r="P468" s="32">
        <v>0.37</v>
      </c>
      <c r="Q468" s="31">
        <v>2.6873819021625023</v>
      </c>
    </row>
    <row r="469" spans="1:17">
      <c r="A469" s="33" t="s">
        <v>498</v>
      </c>
      <c r="B469" s="33" t="s">
        <v>18</v>
      </c>
      <c r="C469" s="33" t="s">
        <v>19</v>
      </c>
      <c r="D469" s="33">
        <v>0</v>
      </c>
      <c r="E469" s="33" t="s">
        <v>20</v>
      </c>
      <c r="F469" s="33" t="s">
        <v>21</v>
      </c>
      <c r="G469" s="33">
        <v>2768</v>
      </c>
      <c r="H469" s="33">
        <v>1950</v>
      </c>
      <c r="I469" s="33">
        <v>155</v>
      </c>
      <c r="J469" s="33">
        <v>360</v>
      </c>
      <c r="K469" s="33">
        <v>1</v>
      </c>
      <c r="L469" s="33" t="s">
        <v>22</v>
      </c>
      <c r="M469" s="33" t="s">
        <v>27</v>
      </c>
      <c r="N469" s="33">
        <v>4718</v>
      </c>
      <c r="O469" s="33" t="s">
        <v>24</v>
      </c>
      <c r="P469" s="34">
        <v>0.3</v>
      </c>
      <c r="Q469" s="33">
        <v>3.2852903772785083</v>
      </c>
    </row>
    <row r="470" spans="1:17">
      <c r="A470" s="31" t="s">
        <v>499</v>
      </c>
      <c r="B470" s="31" t="s">
        <v>18</v>
      </c>
      <c r="C470" s="31" t="s">
        <v>21</v>
      </c>
      <c r="D470" s="31">
        <v>0</v>
      </c>
      <c r="E470" s="31" t="s">
        <v>29</v>
      </c>
      <c r="F470" s="31" t="s">
        <v>21</v>
      </c>
      <c r="G470" s="31">
        <v>3358</v>
      </c>
      <c r="H470" s="31">
        <v>0</v>
      </c>
      <c r="I470" s="31">
        <v>80</v>
      </c>
      <c r="J470" s="31">
        <v>36</v>
      </c>
      <c r="K470" s="31">
        <v>1</v>
      </c>
      <c r="L470" s="31" t="s">
        <v>34</v>
      </c>
      <c r="M470" s="31" t="s">
        <v>23</v>
      </c>
      <c r="N470" s="31">
        <v>3358</v>
      </c>
      <c r="O470" s="31" t="s">
        <v>24</v>
      </c>
      <c r="P470" s="32">
        <v>0.42</v>
      </c>
      <c r="Q470" s="31">
        <v>2.3823704586063132</v>
      </c>
    </row>
    <row r="471" spans="1:17">
      <c r="A471" s="33" t="s">
        <v>500</v>
      </c>
      <c r="B471" s="33" t="s">
        <v>18</v>
      </c>
      <c r="C471" s="33" t="s">
        <v>21</v>
      </c>
      <c r="D471" s="33">
        <v>0</v>
      </c>
      <c r="E471" s="33" t="s">
        <v>20</v>
      </c>
      <c r="F471" s="33" t="s">
        <v>21</v>
      </c>
      <c r="G471" s="33">
        <v>2526</v>
      </c>
      <c r="H471" s="33">
        <v>1783</v>
      </c>
      <c r="I471" s="33">
        <v>145</v>
      </c>
      <c r="J471" s="33">
        <v>360</v>
      </c>
      <c r="K471" s="33">
        <v>1</v>
      </c>
      <c r="L471" s="33" t="s">
        <v>22</v>
      </c>
      <c r="M471" s="33" t="s">
        <v>27</v>
      </c>
      <c r="N471" s="33">
        <v>4309</v>
      </c>
      <c r="O471" s="33" t="s">
        <v>24</v>
      </c>
      <c r="P471" s="34">
        <v>0.3</v>
      </c>
      <c r="Q471" s="33">
        <v>3.3650498955674171</v>
      </c>
    </row>
    <row r="472" spans="1:17">
      <c r="A472" s="31" t="s">
        <v>501</v>
      </c>
      <c r="B472" s="31" t="s">
        <v>46</v>
      </c>
      <c r="C472" s="31" t="s">
        <v>21</v>
      </c>
      <c r="D472" s="31">
        <v>0</v>
      </c>
      <c r="E472" s="31" t="s">
        <v>20</v>
      </c>
      <c r="F472" s="31" t="s">
        <v>21</v>
      </c>
      <c r="G472" s="31">
        <v>5000</v>
      </c>
      <c r="H472" s="31">
        <v>0</v>
      </c>
      <c r="I472" s="31">
        <v>103</v>
      </c>
      <c r="J472" s="31">
        <v>360</v>
      </c>
      <c r="K472" s="31">
        <v>0</v>
      </c>
      <c r="L472" s="31" t="s">
        <v>34</v>
      </c>
      <c r="M472" s="31" t="s">
        <v>23</v>
      </c>
      <c r="N472" s="31">
        <v>5000</v>
      </c>
      <c r="O472" s="31" t="s">
        <v>35</v>
      </c>
      <c r="P472" s="32">
        <v>0.49</v>
      </c>
      <c r="Q472" s="31">
        <v>2.06</v>
      </c>
    </row>
    <row r="473" spans="1:17">
      <c r="A473" s="33" t="s">
        <v>502</v>
      </c>
      <c r="B473" s="33" t="s">
        <v>18</v>
      </c>
      <c r="C473" s="33" t="s">
        <v>19</v>
      </c>
      <c r="D473" s="33">
        <v>0</v>
      </c>
      <c r="E473" s="33" t="s">
        <v>20</v>
      </c>
      <c r="F473" s="33" t="s">
        <v>21</v>
      </c>
      <c r="G473" s="33">
        <v>2785</v>
      </c>
      <c r="H473" s="33">
        <v>2016</v>
      </c>
      <c r="I473" s="33">
        <v>110</v>
      </c>
      <c r="J473" s="33">
        <v>360</v>
      </c>
      <c r="K473" s="33">
        <v>1</v>
      </c>
      <c r="L473" s="33" t="s">
        <v>22</v>
      </c>
      <c r="M473" s="33" t="s">
        <v>27</v>
      </c>
      <c r="N473" s="33">
        <v>4801</v>
      </c>
      <c r="O473" s="33" t="s">
        <v>24</v>
      </c>
      <c r="P473" s="34">
        <v>0.44</v>
      </c>
      <c r="Q473" s="33">
        <v>2.2911893355550927</v>
      </c>
    </row>
    <row r="474" spans="1:17">
      <c r="A474" s="31" t="s">
        <v>503</v>
      </c>
      <c r="B474" s="31" t="s">
        <v>18</v>
      </c>
      <c r="C474" s="31" t="s">
        <v>19</v>
      </c>
      <c r="D474" s="31">
        <v>1</v>
      </c>
      <c r="E474" s="31" t="s">
        <v>20</v>
      </c>
      <c r="F474" s="31" t="s">
        <v>21</v>
      </c>
      <c r="G474" s="31">
        <v>3333</v>
      </c>
      <c r="H474" s="31">
        <v>3250</v>
      </c>
      <c r="I474" s="31">
        <v>158</v>
      </c>
      <c r="J474" s="31">
        <v>360</v>
      </c>
      <c r="K474" s="31">
        <v>1</v>
      </c>
      <c r="L474" s="31" t="s">
        <v>26</v>
      </c>
      <c r="M474" s="31" t="s">
        <v>27</v>
      </c>
      <c r="N474" s="31">
        <v>6583</v>
      </c>
      <c r="O474" s="31" t="s">
        <v>24</v>
      </c>
      <c r="P474" s="32">
        <v>0.42</v>
      </c>
      <c r="Q474" s="31">
        <v>2.4001215251405137</v>
      </c>
    </row>
    <row r="475" spans="1:17">
      <c r="A475" s="33" t="s">
        <v>504</v>
      </c>
      <c r="B475" s="33" t="s">
        <v>18</v>
      </c>
      <c r="C475" s="33" t="s">
        <v>19</v>
      </c>
      <c r="D475" s="33">
        <v>0</v>
      </c>
      <c r="E475" s="33" t="s">
        <v>29</v>
      </c>
      <c r="F475" s="33" t="s">
        <v>21</v>
      </c>
      <c r="G475" s="33">
        <v>2454</v>
      </c>
      <c r="H475" s="33">
        <v>2333</v>
      </c>
      <c r="I475" s="33">
        <v>181</v>
      </c>
      <c r="J475" s="33">
        <v>360</v>
      </c>
      <c r="K475" s="33">
        <v>0</v>
      </c>
      <c r="L475" s="33" t="s">
        <v>26</v>
      </c>
      <c r="M475" s="33" t="s">
        <v>23</v>
      </c>
      <c r="N475" s="33">
        <v>4787</v>
      </c>
      <c r="O475" s="33" t="s">
        <v>35</v>
      </c>
      <c r="P475" s="34">
        <v>0.26</v>
      </c>
      <c r="Q475" s="33">
        <v>3.7810737413829121</v>
      </c>
    </row>
    <row r="476" spans="1:17">
      <c r="A476" s="31" t="s">
        <v>505</v>
      </c>
      <c r="B476" s="31" t="s">
        <v>18</v>
      </c>
      <c r="C476" s="31" t="s">
        <v>19</v>
      </c>
      <c r="D476" s="31">
        <v>0</v>
      </c>
      <c r="E476" s="31" t="s">
        <v>20</v>
      </c>
      <c r="F476" s="31" t="s">
        <v>21</v>
      </c>
      <c r="G476" s="31">
        <v>3593</v>
      </c>
      <c r="H476" s="31">
        <v>4266</v>
      </c>
      <c r="I476" s="31">
        <v>132</v>
      </c>
      <c r="J476" s="31">
        <v>180</v>
      </c>
      <c r="K476" s="31">
        <v>0</v>
      </c>
      <c r="L476" s="31" t="s">
        <v>22</v>
      </c>
      <c r="M476" s="31" t="s">
        <v>23</v>
      </c>
      <c r="N476" s="31">
        <v>7859</v>
      </c>
      <c r="O476" s="31" t="s">
        <v>35</v>
      </c>
      <c r="P476" s="32">
        <v>0.6</v>
      </c>
      <c r="Q476" s="31">
        <v>1.6796030029265809</v>
      </c>
    </row>
    <row r="477" spans="1:17">
      <c r="A477" s="33" t="s">
        <v>506</v>
      </c>
      <c r="B477" s="33" t="s">
        <v>18</v>
      </c>
      <c r="C477" s="33" t="s">
        <v>19</v>
      </c>
      <c r="D477" s="33">
        <v>1</v>
      </c>
      <c r="E477" s="33" t="s">
        <v>20</v>
      </c>
      <c r="F477" s="33" t="s">
        <v>21</v>
      </c>
      <c r="G477" s="33">
        <v>5468</v>
      </c>
      <c r="H477" s="33">
        <v>1032</v>
      </c>
      <c r="I477" s="33">
        <v>26</v>
      </c>
      <c r="J477" s="33">
        <v>360</v>
      </c>
      <c r="K477" s="33">
        <v>1</v>
      </c>
      <c r="L477" s="33" t="s">
        <v>34</v>
      </c>
      <c r="M477" s="33" t="s">
        <v>27</v>
      </c>
      <c r="N477" s="33">
        <v>6500</v>
      </c>
      <c r="O477" s="33" t="s">
        <v>24</v>
      </c>
      <c r="P477" s="34">
        <v>2.5</v>
      </c>
      <c r="Q477" s="33">
        <v>0.4</v>
      </c>
    </row>
    <row r="478" spans="1:17">
      <c r="A478" s="31" t="s">
        <v>507</v>
      </c>
      <c r="B478" s="31" t="s">
        <v>18</v>
      </c>
      <c r="C478" s="31" t="s">
        <v>19</v>
      </c>
      <c r="D478" s="31">
        <v>3</v>
      </c>
      <c r="E478" s="31" t="s">
        <v>20</v>
      </c>
      <c r="F478" s="31" t="s">
        <v>19</v>
      </c>
      <c r="G478" s="31">
        <v>10139</v>
      </c>
      <c r="H478" s="31">
        <v>0</v>
      </c>
      <c r="I478" s="31">
        <v>260</v>
      </c>
      <c r="J478" s="31">
        <v>360</v>
      </c>
      <c r="K478" s="31">
        <v>1</v>
      </c>
      <c r="L478" s="31" t="s">
        <v>34</v>
      </c>
      <c r="M478" s="31" t="s">
        <v>27</v>
      </c>
      <c r="N478" s="31">
        <v>10139</v>
      </c>
      <c r="O478" s="31" t="s">
        <v>24</v>
      </c>
      <c r="P478" s="32">
        <v>0.39</v>
      </c>
      <c r="Q478" s="31">
        <v>2.5643554591182562</v>
      </c>
    </row>
    <row r="479" spans="1:17">
      <c r="A479" s="33" t="s">
        <v>508</v>
      </c>
      <c r="B479" s="33" t="s">
        <v>18</v>
      </c>
      <c r="C479" s="33" t="s">
        <v>19</v>
      </c>
      <c r="D479" s="33">
        <v>0</v>
      </c>
      <c r="E479" s="33" t="s">
        <v>20</v>
      </c>
      <c r="F479" s="33" t="s">
        <v>21</v>
      </c>
      <c r="G479" s="33">
        <v>3887</v>
      </c>
      <c r="H479" s="33">
        <v>2669</v>
      </c>
      <c r="I479" s="33">
        <v>162</v>
      </c>
      <c r="J479" s="33">
        <v>360</v>
      </c>
      <c r="K479" s="33">
        <v>1</v>
      </c>
      <c r="L479" s="33" t="s">
        <v>34</v>
      </c>
      <c r="M479" s="33" t="s">
        <v>27</v>
      </c>
      <c r="N479" s="33">
        <v>6556</v>
      </c>
      <c r="O479" s="33" t="s">
        <v>24</v>
      </c>
      <c r="P479" s="34">
        <v>0.4</v>
      </c>
      <c r="Q479" s="33">
        <v>2.4710189139719341</v>
      </c>
    </row>
    <row r="480" spans="1:17">
      <c r="A480" s="31" t="s">
        <v>509</v>
      </c>
      <c r="B480" s="31" t="s">
        <v>46</v>
      </c>
      <c r="C480" s="31" t="s">
        <v>19</v>
      </c>
      <c r="D480" s="31">
        <v>0</v>
      </c>
      <c r="E480" s="31" t="s">
        <v>20</v>
      </c>
      <c r="F480" s="31" t="s">
        <v>21</v>
      </c>
      <c r="G480" s="31">
        <v>4180</v>
      </c>
      <c r="H480" s="31">
        <v>2306</v>
      </c>
      <c r="I480" s="31">
        <v>182</v>
      </c>
      <c r="J480" s="31">
        <v>360</v>
      </c>
      <c r="K480" s="31">
        <v>1</v>
      </c>
      <c r="L480" s="31" t="s">
        <v>34</v>
      </c>
      <c r="M480" s="31" t="s">
        <v>27</v>
      </c>
      <c r="N480" s="31">
        <v>6486</v>
      </c>
      <c r="O480" s="31" t="s">
        <v>24</v>
      </c>
      <c r="P480" s="32">
        <v>0.36</v>
      </c>
      <c r="Q480" s="31">
        <v>2.8060437866173298</v>
      </c>
    </row>
    <row r="481" spans="1:17">
      <c r="A481" s="33" t="s">
        <v>510</v>
      </c>
      <c r="B481" s="33" t="s">
        <v>18</v>
      </c>
      <c r="C481" s="33" t="s">
        <v>19</v>
      </c>
      <c r="D481" s="33">
        <v>2</v>
      </c>
      <c r="E481" s="33" t="s">
        <v>29</v>
      </c>
      <c r="F481" s="33" t="s">
        <v>21</v>
      </c>
      <c r="G481" s="33">
        <v>3675</v>
      </c>
      <c r="H481" s="33">
        <v>242</v>
      </c>
      <c r="I481" s="33">
        <v>108</v>
      </c>
      <c r="J481" s="33">
        <v>360</v>
      </c>
      <c r="K481" s="33">
        <v>1</v>
      </c>
      <c r="L481" s="33" t="s">
        <v>34</v>
      </c>
      <c r="M481" s="33" t="s">
        <v>27</v>
      </c>
      <c r="N481" s="33">
        <v>3917</v>
      </c>
      <c r="O481" s="33" t="s">
        <v>24</v>
      </c>
      <c r="P481" s="34">
        <v>0.36</v>
      </c>
      <c r="Q481" s="33">
        <v>2.7572121521572632</v>
      </c>
    </row>
    <row r="482" spans="1:17">
      <c r="A482" s="31" t="s">
        <v>511</v>
      </c>
      <c r="B482" s="31" t="s">
        <v>46</v>
      </c>
      <c r="C482" s="31" t="s">
        <v>19</v>
      </c>
      <c r="D482" s="31">
        <v>1</v>
      </c>
      <c r="E482" s="31" t="s">
        <v>20</v>
      </c>
      <c r="F482" s="31" t="s">
        <v>19</v>
      </c>
      <c r="G482" s="31">
        <v>19484</v>
      </c>
      <c r="H482" s="31">
        <v>0</v>
      </c>
      <c r="I482" s="31">
        <v>600</v>
      </c>
      <c r="J482" s="31">
        <v>360</v>
      </c>
      <c r="K482" s="31">
        <v>1</v>
      </c>
      <c r="L482" s="31" t="s">
        <v>34</v>
      </c>
      <c r="M482" s="31" t="s">
        <v>27</v>
      </c>
      <c r="N482" s="31">
        <v>19484</v>
      </c>
      <c r="O482" s="31" t="s">
        <v>24</v>
      </c>
      <c r="P482" s="32">
        <v>0.32</v>
      </c>
      <c r="Q482" s="31">
        <v>3.0794498049681791</v>
      </c>
    </row>
    <row r="483" spans="1:17">
      <c r="A483" s="33" t="s">
        <v>512</v>
      </c>
      <c r="B483" s="33" t="s">
        <v>18</v>
      </c>
      <c r="C483" s="33" t="s">
        <v>19</v>
      </c>
      <c r="D483" s="33">
        <v>0</v>
      </c>
      <c r="E483" s="33" t="s">
        <v>20</v>
      </c>
      <c r="F483" s="33" t="s">
        <v>21</v>
      </c>
      <c r="G483" s="33">
        <v>5923</v>
      </c>
      <c r="H483" s="33">
        <v>2054</v>
      </c>
      <c r="I483" s="33">
        <v>211</v>
      </c>
      <c r="J483" s="33">
        <v>360</v>
      </c>
      <c r="K483" s="33">
        <v>1</v>
      </c>
      <c r="L483" s="33" t="s">
        <v>22</v>
      </c>
      <c r="M483" s="33" t="s">
        <v>27</v>
      </c>
      <c r="N483" s="33">
        <v>7977</v>
      </c>
      <c r="O483" s="33" t="s">
        <v>24</v>
      </c>
      <c r="P483" s="34">
        <v>0.38</v>
      </c>
      <c r="Q483" s="33">
        <v>2.6451046759433368</v>
      </c>
    </row>
    <row r="484" spans="1:17">
      <c r="A484" s="31" t="s">
        <v>513</v>
      </c>
      <c r="B484" s="31" t="s">
        <v>18</v>
      </c>
      <c r="C484" s="31" t="s">
        <v>21</v>
      </c>
      <c r="D484" s="31">
        <v>0</v>
      </c>
      <c r="E484" s="31" t="s">
        <v>29</v>
      </c>
      <c r="F484" s="31" t="s">
        <v>19</v>
      </c>
      <c r="G484" s="31">
        <v>5800</v>
      </c>
      <c r="H484" s="31">
        <v>0</v>
      </c>
      <c r="I484" s="31">
        <v>132</v>
      </c>
      <c r="J484" s="31">
        <v>360</v>
      </c>
      <c r="K484" s="31">
        <v>1</v>
      </c>
      <c r="L484" s="31" t="s">
        <v>34</v>
      </c>
      <c r="M484" s="31" t="s">
        <v>27</v>
      </c>
      <c r="N484" s="31">
        <v>5800</v>
      </c>
      <c r="O484" s="31" t="s">
        <v>24</v>
      </c>
      <c r="P484" s="32">
        <v>0.44</v>
      </c>
      <c r="Q484" s="31">
        <v>2.2758620689655173</v>
      </c>
    </row>
    <row r="485" spans="1:17">
      <c r="A485" s="33" t="s">
        <v>514</v>
      </c>
      <c r="B485" s="33" t="s">
        <v>18</v>
      </c>
      <c r="C485" s="33" t="s">
        <v>19</v>
      </c>
      <c r="D485" s="33">
        <v>2</v>
      </c>
      <c r="E485" s="33" t="s">
        <v>20</v>
      </c>
      <c r="F485" s="33" t="s">
        <v>21</v>
      </c>
      <c r="G485" s="33">
        <v>8799</v>
      </c>
      <c r="H485" s="33">
        <v>0</v>
      </c>
      <c r="I485" s="33">
        <v>258</v>
      </c>
      <c r="J485" s="33">
        <v>360</v>
      </c>
      <c r="K485" s="33">
        <v>0</v>
      </c>
      <c r="L485" s="33" t="s">
        <v>26</v>
      </c>
      <c r="M485" s="33" t="s">
        <v>23</v>
      </c>
      <c r="N485" s="33">
        <v>8799</v>
      </c>
      <c r="O485" s="33" t="s">
        <v>35</v>
      </c>
      <c r="P485" s="34">
        <v>0.34</v>
      </c>
      <c r="Q485" s="33">
        <v>2.9321513808387314</v>
      </c>
    </row>
    <row r="486" spans="1:17">
      <c r="A486" s="31" t="s">
        <v>515</v>
      </c>
      <c r="B486" s="31" t="s">
        <v>18</v>
      </c>
      <c r="C486" s="31" t="s">
        <v>21</v>
      </c>
      <c r="D486" s="31">
        <v>0</v>
      </c>
      <c r="E486" s="31" t="s">
        <v>20</v>
      </c>
      <c r="F486" s="31" t="s">
        <v>21</v>
      </c>
      <c r="G486" s="31">
        <v>3333</v>
      </c>
      <c r="H486" s="31">
        <v>0</v>
      </c>
      <c r="I486" s="31">
        <v>70</v>
      </c>
      <c r="J486" s="31">
        <v>360</v>
      </c>
      <c r="K486" s="31">
        <v>1</v>
      </c>
      <c r="L486" s="31" t="s">
        <v>26</v>
      </c>
      <c r="M486" s="31" t="s">
        <v>27</v>
      </c>
      <c r="N486" s="31">
        <v>3333</v>
      </c>
      <c r="O486" s="31" t="s">
        <v>24</v>
      </c>
      <c r="P486" s="32">
        <v>0.48</v>
      </c>
      <c r="Q486" s="31">
        <v>2.1002100210021002</v>
      </c>
    </row>
    <row r="487" spans="1:17">
      <c r="A487" s="33" t="s">
        <v>516</v>
      </c>
      <c r="B487" s="33" t="s">
        <v>18</v>
      </c>
      <c r="C487" s="33" t="s">
        <v>19</v>
      </c>
      <c r="D487" s="33">
        <v>3</v>
      </c>
      <c r="E487" s="33" t="s">
        <v>20</v>
      </c>
      <c r="F487" s="33" t="s">
        <v>21</v>
      </c>
      <c r="G487" s="33">
        <v>3400</v>
      </c>
      <c r="H487" s="33">
        <v>2500</v>
      </c>
      <c r="I487" s="33">
        <v>123</v>
      </c>
      <c r="J487" s="33">
        <v>360</v>
      </c>
      <c r="K487" s="33">
        <v>0</v>
      </c>
      <c r="L487" s="33" t="s">
        <v>22</v>
      </c>
      <c r="M487" s="33" t="s">
        <v>23</v>
      </c>
      <c r="N487" s="33">
        <v>5900</v>
      </c>
      <c r="O487" s="33" t="s">
        <v>35</v>
      </c>
      <c r="P487" s="34">
        <v>0.48</v>
      </c>
      <c r="Q487" s="33">
        <v>2.0847457627118646</v>
      </c>
    </row>
    <row r="488" spans="1:17">
      <c r="A488" s="31" t="s">
        <v>517</v>
      </c>
      <c r="B488" s="31" t="s">
        <v>46</v>
      </c>
      <c r="C488" s="31" t="s">
        <v>21</v>
      </c>
      <c r="D488" s="31">
        <v>0</v>
      </c>
      <c r="E488" s="31" t="s">
        <v>20</v>
      </c>
      <c r="F488" s="31" t="s">
        <v>21</v>
      </c>
      <c r="G488" s="31">
        <v>2378</v>
      </c>
      <c r="H488" s="31">
        <v>0</v>
      </c>
      <c r="I488" s="31">
        <v>9</v>
      </c>
      <c r="J488" s="31">
        <v>360</v>
      </c>
      <c r="K488" s="31">
        <v>1</v>
      </c>
      <c r="L488" s="31" t="s">
        <v>26</v>
      </c>
      <c r="M488" s="31" t="s">
        <v>23</v>
      </c>
      <c r="N488" s="31">
        <v>2378</v>
      </c>
      <c r="O488" s="31" t="s">
        <v>24</v>
      </c>
      <c r="P488" s="32">
        <v>2.64</v>
      </c>
      <c r="Q488" s="31">
        <v>0.37846930193439865</v>
      </c>
    </row>
    <row r="489" spans="1:17">
      <c r="A489" s="33" t="s">
        <v>518</v>
      </c>
      <c r="B489" s="33" t="s">
        <v>18</v>
      </c>
      <c r="C489" s="33" t="s">
        <v>19</v>
      </c>
      <c r="D489" s="33">
        <v>0</v>
      </c>
      <c r="E489" s="33" t="s">
        <v>20</v>
      </c>
      <c r="F489" s="33" t="s">
        <v>21</v>
      </c>
      <c r="G489" s="33">
        <v>3166</v>
      </c>
      <c r="H489" s="33">
        <v>2064</v>
      </c>
      <c r="I489" s="33">
        <v>104</v>
      </c>
      <c r="J489" s="33">
        <v>360</v>
      </c>
      <c r="K489" s="33">
        <v>0</v>
      </c>
      <c r="L489" s="33" t="s">
        <v>26</v>
      </c>
      <c r="M489" s="33" t="s">
        <v>23</v>
      </c>
      <c r="N489" s="33">
        <v>5230</v>
      </c>
      <c r="O489" s="33" t="s">
        <v>35</v>
      </c>
      <c r="P489" s="34">
        <v>0.5</v>
      </c>
      <c r="Q489" s="33">
        <v>1.9885277246653918</v>
      </c>
    </row>
    <row r="490" spans="1:17">
      <c r="A490" s="31" t="s">
        <v>519</v>
      </c>
      <c r="B490" s="31" t="s">
        <v>18</v>
      </c>
      <c r="C490" s="31" t="s">
        <v>19</v>
      </c>
      <c r="D490" s="31">
        <v>1</v>
      </c>
      <c r="E490" s="31" t="s">
        <v>20</v>
      </c>
      <c r="F490" s="31" t="s">
        <v>21</v>
      </c>
      <c r="G490" s="31">
        <v>3417</v>
      </c>
      <c r="H490" s="31">
        <v>1750</v>
      </c>
      <c r="I490" s="31">
        <v>186</v>
      </c>
      <c r="J490" s="31">
        <v>360</v>
      </c>
      <c r="K490" s="31">
        <v>1</v>
      </c>
      <c r="L490" s="31" t="s">
        <v>26</v>
      </c>
      <c r="M490" s="31" t="s">
        <v>27</v>
      </c>
      <c r="N490" s="31">
        <v>5167</v>
      </c>
      <c r="O490" s="31" t="s">
        <v>24</v>
      </c>
      <c r="P490" s="32">
        <v>0.28000000000000003</v>
      </c>
      <c r="Q490" s="31">
        <v>3.5997677569189084</v>
      </c>
    </row>
    <row r="491" spans="1:17">
      <c r="A491" s="33" t="s">
        <v>520</v>
      </c>
      <c r="B491" s="33" t="s">
        <v>18</v>
      </c>
      <c r="C491" s="33" t="s">
        <v>19</v>
      </c>
      <c r="D491" s="33">
        <v>0</v>
      </c>
      <c r="E491" s="33" t="s">
        <v>20</v>
      </c>
      <c r="F491" s="33" t="s">
        <v>21</v>
      </c>
      <c r="G491" s="33">
        <v>5116</v>
      </c>
      <c r="H491" s="33">
        <v>1451</v>
      </c>
      <c r="I491" s="33">
        <v>165</v>
      </c>
      <c r="J491" s="33">
        <v>360</v>
      </c>
      <c r="K491" s="33">
        <v>0</v>
      </c>
      <c r="L491" s="33" t="s">
        <v>26</v>
      </c>
      <c r="M491" s="33" t="s">
        <v>23</v>
      </c>
      <c r="N491" s="33">
        <v>6567</v>
      </c>
      <c r="O491" s="33" t="s">
        <v>35</v>
      </c>
      <c r="P491" s="34">
        <v>0.4</v>
      </c>
      <c r="Q491" s="33">
        <v>2.512562814070352</v>
      </c>
    </row>
    <row r="492" spans="1:17">
      <c r="A492" s="31" t="s">
        <v>521</v>
      </c>
      <c r="B492" s="31" t="s">
        <v>18</v>
      </c>
      <c r="C492" s="31" t="s">
        <v>19</v>
      </c>
      <c r="D492" s="31">
        <v>2</v>
      </c>
      <c r="E492" s="31" t="s">
        <v>20</v>
      </c>
      <c r="F492" s="31" t="s">
        <v>21</v>
      </c>
      <c r="G492" s="31">
        <v>16666</v>
      </c>
      <c r="H492" s="31">
        <v>0</v>
      </c>
      <c r="I492" s="31">
        <v>275</v>
      </c>
      <c r="J492" s="31">
        <v>360</v>
      </c>
      <c r="K492" s="31">
        <v>1</v>
      </c>
      <c r="L492" s="31" t="s">
        <v>26</v>
      </c>
      <c r="M492" s="31" t="s">
        <v>27</v>
      </c>
      <c r="N492" s="31">
        <v>16666</v>
      </c>
      <c r="O492" s="31" t="s">
        <v>24</v>
      </c>
      <c r="P492" s="32">
        <v>0.61</v>
      </c>
      <c r="Q492" s="31">
        <v>1.6500660026401055</v>
      </c>
    </row>
    <row r="493" spans="1:17">
      <c r="A493" s="33" t="s">
        <v>522</v>
      </c>
      <c r="B493" s="33" t="s">
        <v>18</v>
      </c>
      <c r="C493" s="33" t="s">
        <v>19</v>
      </c>
      <c r="D493" s="33">
        <v>2</v>
      </c>
      <c r="E493" s="33" t="s">
        <v>29</v>
      </c>
      <c r="F493" s="33" t="s">
        <v>21</v>
      </c>
      <c r="G493" s="33">
        <v>6125</v>
      </c>
      <c r="H493" s="33">
        <v>1625</v>
      </c>
      <c r="I493" s="33">
        <v>187</v>
      </c>
      <c r="J493" s="33">
        <v>480</v>
      </c>
      <c r="K493" s="33">
        <v>1</v>
      </c>
      <c r="L493" s="33" t="s">
        <v>34</v>
      </c>
      <c r="M493" s="33" t="s">
        <v>23</v>
      </c>
      <c r="N493" s="33">
        <v>7750</v>
      </c>
      <c r="O493" s="33" t="s">
        <v>24</v>
      </c>
      <c r="P493" s="34">
        <v>0.41</v>
      </c>
      <c r="Q493" s="33">
        <v>2.4129032258064518</v>
      </c>
    </row>
    <row r="494" spans="1:17">
      <c r="A494" s="31" t="s">
        <v>523</v>
      </c>
      <c r="B494" s="31" t="s">
        <v>18</v>
      </c>
      <c r="C494" s="31" t="s">
        <v>19</v>
      </c>
      <c r="D494" s="31">
        <v>3</v>
      </c>
      <c r="E494" s="31" t="s">
        <v>20</v>
      </c>
      <c r="F494" s="31" t="s">
        <v>21</v>
      </c>
      <c r="G494" s="31">
        <v>6406</v>
      </c>
      <c r="H494" s="31">
        <v>0</v>
      </c>
      <c r="I494" s="31">
        <v>150</v>
      </c>
      <c r="J494" s="31">
        <v>360</v>
      </c>
      <c r="K494" s="31">
        <v>1</v>
      </c>
      <c r="L494" s="31" t="s">
        <v>34</v>
      </c>
      <c r="M494" s="31" t="s">
        <v>23</v>
      </c>
      <c r="N494" s="31">
        <v>6406</v>
      </c>
      <c r="O494" s="31" t="s">
        <v>24</v>
      </c>
      <c r="P494" s="32">
        <v>0.43</v>
      </c>
      <c r="Q494" s="31">
        <v>2.3415547923821416</v>
      </c>
    </row>
    <row r="495" spans="1:17">
      <c r="A495" s="33" t="s">
        <v>524</v>
      </c>
      <c r="B495" s="33" t="s">
        <v>18</v>
      </c>
      <c r="C495" s="33" t="s">
        <v>19</v>
      </c>
      <c r="D495" s="33">
        <v>2</v>
      </c>
      <c r="E495" s="33" t="s">
        <v>20</v>
      </c>
      <c r="F495" s="33" t="s">
        <v>21</v>
      </c>
      <c r="G495" s="33">
        <v>3159</v>
      </c>
      <c r="H495" s="33">
        <v>461</v>
      </c>
      <c r="I495" s="33">
        <v>108</v>
      </c>
      <c r="J495" s="33">
        <v>84</v>
      </c>
      <c r="K495" s="33">
        <v>1</v>
      </c>
      <c r="L495" s="33" t="s">
        <v>26</v>
      </c>
      <c r="M495" s="33" t="s">
        <v>27</v>
      </c>
      <c r="N495" s="33">
        <v>3620</v>
      </c>
      <c r="O495" s="33" t="s">
        <v>24</v>
      </c>
      <c r="P495" s="34">
        <v>0.34</v>
      </c>
      <c r="Q495" s="33">
        <v>2.9834254143646408</v>
      </c>
    </row>
    <row r="496" spans="1:17">
      <c r="A496" s="31" t="s">
        <v>525</v>
      </c>
      <c r="B496" s="31" t="s">
        <v>40</v>
      </c>
      <c r="C496" s="31" t="s">
        <v>19</v>
      </c>
      <c r="D496" s="31">
        <v>0</v>
      </c>
      <c r="E496" s="31" t="s">
        <v>20</v>
      </c>
      <c r="F496" s="31" t="s">
        <v>21</v>
      </c>
      <c r="G496" s="31">
        <v>3087</v>
      </c>
      <c r="H496" s="31">
        <v>2210</v>
      </c>
      <c r="I496" s="31">
        <v>136</v>
      </c>
      <c r="J496" s="31">
        <v>360</v>
      </c>
      <c r="K496" s="31">
        <v>0</v>
      </c>
      <c r="L496" s="31" t="s">
        <v>34</v>
      </c>
      <c r="M496" s="31" t="s">
        <v>23</v>
      </c>
      <c r="N496" s="31">
        <v>5297</v>
      </c>
      <c r="O496" s="31" t="s">
        <v>35</v>
      </c>
      <c r="P496" s="32">
        <v>0.39</v>
      </c>
      <c r="Q496" s="31">
        <v>2.567491032659996</v>
      </c>
    </row>
    <row r="497" spans="1:17">
      <c r="A497" s="33" t="s">
        <v>526</v>
      </c>
      <c r="B497" s="33" t="s">
        <v>18</v>
      </c>
      <c r="C497" s="33" t="s">
        <v>21</v>
      </c>
      <c r="D497" s="33">
        <v>0</v>
      </c>
      <c r="E497" s="33" t="s">
        <v>20</v>
      </c>
      <c r="F497" s="33" t="s">
        <v>21</v>
      </c>
      <c r="G497" s="33">
        <v>3229</v>
      </c>
      <c r="H497" s="33">
        <v>2739</v>
      </c>
      <c r="I497" s="33">
        <v>110</v>
      </c>
      <c r="J497" s="33">
        <v>360</v>
      </c>
      <c r="K497" s="33">
        <v>1</v>
      </c>
      <c r="L497" s="33" t="s">
        <v>26</v>
      </c>
      <c r="M497" s="33" t="s">
        <v>27</v>
      </c>
      <c r="N497" s="33">
        <v>5968</v>
      </c>
      <c r="O497" s="33" t="s">
        <v>24</v>
      </c>
      <c r="P497" s="34">
        <v>0.54</v>
      </c>
      <c r="Q497" s="33">
        <v>1.8431635388739944</v>
      </c>
    </row>
    <row r="498" spans="1:17">
      <c r="A498" s="31" t="s">
        <v>527</v>
      </c>
      <c r="B498" s="31" t="s">
        <v>18</v>
      </c>
      <c r="C498" s="31" t="s">
        <v>19</v>
      </c>
      <c r="D498" s="31">
        <v>1</v>
      </c>
      <c r="E498" s="31" t="s">
        <v>20</v>
      </c>
      <c r="F498" s="31" t="s">
        <v>21</v>
      </c>
      <c r="G498" s="31">
        <v>1782</v>
      </c>
      <c r="H498" s="31">
        <v>2232</v>
      </c>
      <c r="I498" s="31">
        <v>107</v>
      </c>
      <c r="J498" s="31">
        <v>360</v>
      </c>
      <c r="K498" s="31">
        <v>1</v>
      </c>
      <c r="L498" s="31" t="s">
        <v>22</v>
      </c>
      <c r="M498" s="31" t="s">
        <v>27</v>
      </c>
      <c r="N498" s="31">
        <v>4014</v>
      </c>
      <c r="O498" s="31" t="s">
        <v>24</v>
      </c>
      <c r="P498" s="32">
        <v>0.38</v>
      </c>
      <c r="Q498" s="31">
        <v>2.6656701544593919</v>
      </c>
    </row>
    <row r="499" spans="1:17">
      <c r="A499" s="33" t="s">
        <v>528</v>
      </c>
      <c r="B499" s="33" t="s">
        <v>18</v>
      </c>
      <c r="C499" s="33" t="s">
        <v>21</v>
      </c>
      <c r="D499" s="33">
        <v>0</v>
      </c>
      <c r="E499" s="33" t="s">
        <v>20</v>
      </c>
      <c r="F499" s="33" t="s">
        <v>40</v>
      </c>
      <c r="G499" s="33">
        <v>3182</v>
      </c>
      <c r="H499" s="33">
        <v>2917</v>
      </c>
      <c r="I499" s="33">
        <v>161</v>
      </c>
      <c r="J499" s="33">
        <v>360</v>
      </c>
      <c r="K499" s="33">
        <v>1</v>
      </c>
      <c r="L499" s="33" t="s">
        <v>26</v>
      </c>
      <c r="M499" s="33" t="s">
        <v>27</v>
      </c>
      <c r="N499" s="33">
        <v>6099</v>
      </c>
      <c r="O499" s="33" t="s">
        <v>24</v>
      </c>
      <c r="P499" s="34">
        <v>0.38</v>
      </c>
      <c r="Q499" s="33">
        <v>2.6397770126250206</v>
      </c>
    </row>
    <row r="500" spans="1:17">
      <c r="A500" s="31" t="s">
        <v>529</v>
      </c>
      <c r="B500" s="31" t="s">
        <v>18</v>
      </c>
      <c r="C500" s="31" t="s">
        <v>19</v>
      </c>
      <c r="D500" s="31">
        <v>2</v>
      </c>
      <c r="E500" s="31" t="s">
        <v>20</v>
      </c>
      <c r="F500" s="31" t="s">
        <v>21</v>
      </c>
      <c r="G500" s="31">
        <v>6540</v>
      </c>
      <c r="H500" s="31">
        <v>0</v>
      </c>
      <c r="I500" s="31">
        <v>205</v>
      </c>
      <c r="J500" s="31">
        <v>360</v>
      </c>
      <c r="K500" s="31">
        <v>1</v>
      </c>
      <c r="L500" s="31" t="s">
        <v>34</v>
      </c>
      <c r="M500" s="31" t="s">
        <v>27</v>
      </c>
      <c r="N500" s="31">
        <v>6540</v>
      </c>
      <c r="O500" s="31" t="s">
        <v>24</v>
      </c>
      <c r="P500" s="32">
        <v>0.32</v>
      </c>
      <c r="Q500" s="31">
        <v>3.1345565749235469</v>
      </c>
    </row>
    <row r="501" spans="1:17">
      <c r="A501" s="33" t="s">
        <v>530</v>
      </c>
      <c r="B501" s="33" t="s">
        <v>18</v>
      </c>
      <c r="C501" s="33" t="s">
        <v>21</v>
      </c>
      <c r="D501" s="33">
        <v>0</v>
      </c>
      <c r="E501" s="33" t="s">
        <v>20</v>
      </c>
      <c r="F501" s="33" t="s">
        <v>21</v>
      </c>
      <c r="G501" s="33">
        <v>1836</v>
      </c>
      <c r="H501" s="33">
        <v>33837</v>
      </c>
      <c r="I501" s="33">
        <v>90</v>
      </c>
      <c r="J501" s="33">
        <v>360</v>
      </c>
      <c r="K501" s="33">
        <v>1</v>
      </c>
      <c r="L501" s="33" t="s">
        <v>26</v>
      </c>
      <c r="M501" s="33" t="s">
        <v>23</v>
      </c>
      <c r="N501" s="33">
        <v>35673</v>
      </c>
      <c r="O501" s="33" t="s">
        <v>24</v>
      </c>
      <c r="P501" s="34">
        <v>3.96</v>
      </c>
      <c r="Q501" s="33">
        <v>0.25229164914641322</v>
      </c>
    </row>
    <row r="502" spans="1:17">
      <c r="A502" s="31" t="s">
        <v>531</v>
      </c>
      <c r="B502" s="31" t="s">
        <v>46</v>
      </c>
      <c r="C502" s="31" t="s">
        <v>19</v>
      </c>
      <c r="D502" s="31">
        <v>0</v>
      </c>
      <c r="E502" s="31" t="s">
        <v>20</v>
      </c>
      <c r="F502" s="31" t="s">
        <v>21</v>
      </c>
      <c r="G502" s="31">
        <v>3166</v>
      </c>
      <c r="H502" s="31">
        <v>0</v>
      </c>
      <c r="I502" s="31">
        <v>36</v>
      </c>
      <c r="J502" s="31">
        <v>360</v>
      </c>
      <c r="K502" s="31">
        <v>1</v>
      </c>
      <c r="L502" s="31" t="s">
        <v>34</v>
      </c>
      <c r="M502" s="31" t="s">
        <v>27</v>
      </c>
      <c r="N502" s="31">
        <v>3166</v>
      </c>
      <c r="O502" s="31" t="s">
        <v>24</v>
      </c>
      <c r="P502" s="32">
        <v>0.88</v>
      </c>
      <c r="Q502" s="31">
        <v>1.137081490840177</v>
      </c>
    </row>
    <row r="503" spans="1:17">
      <c r="A503" s="33" t="s">
        <v>532</v>
      </c>
      <c r="B503" s="33" t="s">
        <v>18</v>
      </c>
      <c r="C503" s="33" t="s">
        <v>19</v>
      </c>
      <c r="D503" s="33">
        <v>1</v>
      </c>
      <c r="E503" s="33" t="s">
        <v>20</v>
      </c>
      <c r="F503" s="33" t="s">
        <v>21</v>
      </c>
      <c r="G503" s="33">
        <v>2787</v>
      </c>
      <c r="H503" s="33">
        <v>1917</v>
      </c>
      <c r="I503" s="33">
        <v>146</v>
      </c>
      <c r="J503" s="33">
        <v>360</v>
      </c>
      <c r="K503" s="33">
        <v>0</v>
      </c>
      <c r="L503" s="33" t="s">
        <v>22</v>
      </c>
      <c r="M503" s="33" t="s">
        <v>23</v>
      </c>
      <c r="N503" s="33">
        <v>4704</v>
      </c>
      <c r="O503" s="33" t="s">
        <v>35</v>
      </c>
      <c r="P503" s="34">
        <v>0.32</v>
      </c>
      <c r="Q503" s="33">
        <v>3.1037414965986394</v>
      </c>
    </row>
    <row r="504" spans="1:17">
      <c r="A504" s="31" t="s">
        <v>533</v>
      </c>
      <c r="B504" s="31" t="s">
        <v>18</v>
      </c>
      <c r="C504" s="31" t="s">
        <v>19</v>
      </c>
      <c r="D504" s="31">
        <v>1</v>
      </c>
      <c r="E504" s="31" t="s">
        <v>20</v>
      </c>
      <c r="F504" s="31" t="s">
        <v>21</v>
      </c>
      <c r="G504" s="31">
        <v>4283</v>
      </c>
      <c r="H504" s="31">
        <v>3000</v>
      </c>
      <c r="I504" s="31">
        <v>172</v>
      </c>
      <c r="J504" s="31">
        <v>84</v>
      </c>
      <c r="K504" s="31">
        <v>1</v>
      </c>
      <c r="L504" s="31" t="s">
        <v>22</v>
      </c>
      <c r="M504" s="31" t="s">
        <v>23</v>
      </c>
      <c r="N504" s="31">
        <v>7283</v>
      </c>
      <c r="O504" s="31" t="s">
        <v>24</v>
      </c>
      <c r="P504" s="32">
        <v>0.42</v>
      </c>
      <c r="Q504" s="31">
        <v>2.3616641493889881</v>
      </c>
    </row>
    <row r="505" spans="1:17">
      <c r="A505" s="33" t="s">
        <v>534</v>
      </c>
      <c r="B505" s="33" t="s">
        <v>18</v>
      </c>
      <c r="C505" s="33" t="s">
        <v>19</v>
      </c>
      <c r="D505" s="33">
        <v>0</v>
      </c>
      <c r="E505" s="33" t="s">
        <v>20</v>
      </c>
      <c r="F505" s="33" t="s">
        <v>21</v>
      </c>
      <c r="G505" s="33">
        <v>2297</v>
      </c>
      <c r="H505" s="33">
        <v>1522</v>
      </c>
      <c r="I505" s="33">
        <v>104</v>
      </c>
      <c r="J505" s="33">
        <v>360</v>
      </c>
      <c r="K505" s="33">
        <v>1</v>
      </c>
      <c r="L505" s="33" t="s">
        <v>26</v>
      </c>
      <c r="M505" s="33" t="s">
        <v>27</v>
      </c>
      <c r="N505" s="33">
        <v>3819</v>
      </c>
      <c r="O505" s="33" t="s">
        <v>24</v>
      </c>
      <c r="P505" s="34">
        <v>0.37</v>
      </c>
      <c r="Q505" s="33">
        <v>2.7232259753862267</v>
      </c>
    </row>
    <row r="506" spans="1:17">
      <c r="A506" s="31" t="s">
        <v>535</v>
      </c>
      <c r="B506" s="31" t="s">
        <v>46</v>
      </c>
      <c r="C506" s="31" t="s">
        <v>21</v>
      </c>
      <c r="D506" s="31">
        <v>0</v>
      </c>
      <c r="E506" s="31" t="s">
        <v>29</v>
      </c>
      <c r="F506" s="31" t="s">
        <v>21</v>
      </c>
      <c r="G506" s="31">
        <v>2165</v>
      </c>
      <c r="H506" s="31">
        <v>0</v>
      </c>
      <c r="I506" s="31">
        <v>70</v>
      </c>
      <c r="J506" s="31">
        <v>360</v>
      </c>
      <c r="K506" s="31">
        <v>1</v>
      </c>
      <c r="L506" s="31" t="s">
        <v>34</v>
      </c>
      <c r="M506" s="31" t="s">
        <v>27</v>
      </c>
      <c r="N506" s="31">
        <v>2165</v>
      </c>
      <c r="O506" s="31" t="s">
        <v>24</v>
      </c>
      <c r="P506" s="32">
        <v>0.31</v>
      </c>
      <c r="Q506" s="31">
        <v>3.2332563510392611</v>
      </c>
    </row>
    <row r="507" spans="1:17">
      <c r="A507" s="33" t="s">
        <v>536</v>
      </c>
      <c r="B507" s="33" t="s">
        <v>40</v>
      </c>
      <c r="C507" s="33" t="s">
        <v>21</v>
      </c>
      <c r="D507" s="33">
        <v>0</v>
      </c>
      <c r="E507" s="33" t="s">
        <v>20</v>
      </c>
      <c r="F507" s="33" t="s">
        <v>21</v>
      </c>
      <c r="G507" s="33">
        <v>4750</v>
      </c>
      <c r="H507" s="33">
        <v>0</v>
      </c>
      <c r="I507" s="33">
        <v>94</v>
      </c>
      <c r="J507" s="33">
        <v>360</v>
      </c>
      <c r="K507" s="33">
        <v>1</v>
      </c>
      <c r="L507" s="33" t="s">
        <v>34</v>
      </c>
      <c r="M507" s="33" t="s">
        <v>27</v>
      </c>
      <c r="N507" s="33">
        <v>4750</v>
      </c>
      <c r="O507" s="33" t="s">
        <v>24</v>
      </c>
      <c r="P507" s="34">
        <v>0.51</v>
      </c>
      <c r="Q507" s="33">
        <v>1.9789473684210528</v>
      </c>
    </row>
    <row r="508" spans="1:17">
      <c r="A508" s="31" t="s">
        <v>537</v>
      </c>
      <c r="B508" s="31" t="s">
        <v>18</v>
      </c>
      <c r="C508" s="31" t="s">
        <v>19</v>
      </c>
      <c r="D508" s="31">
        <v>2</v>
      </c>
      <c r="E508" s="31" t="s">
        <v>20</v>
      </c>
      <c r="F508" s="31" t="s">
        <v>19</v>
      </c>
      <c r="G508" s="31">
        <v>2726</v>
      </c>
      <c r="H508" s="31">
        <v>0</v>
      </c>
      <c r="I508" s="31">
        <v>106</v>
      </c>
      <c r="J508" s="31">
        <v>360</v>
      </c>
      <c r="K508" s="31">
        <v>0</v>
      </c>
      <c r="L508" s="31" t="s">
        <v>34</v>
      </c>
      <c r="M508" s="31" t="s">
        <v>23</v>
      </c>
      <c r="N508" s="31">
        <v>2726</v>
      </c>
      <c r="O508" s="31" t="s">
        <v>35</v>
      </c>
      <c r="P508" s="32">
        <v>0.26</v>
      </c>
      <c r="Q508" s="31">
        <v>3.8884812912692595</v>
      </c>
    </row>
    <row r="509" spans="1:17">
      <c r="A509" s="33" t="s">
        <v>538</v>
      </c>
      <c r="B509" s="33" t="s">
        <v>18</v>
      </c>
      <c r="C509" s="33" t="s">
        <v>19</v>
      </c>
      <c r="D509" s="33">
        <v>0</v>
      </c>
      <c r="E509" s="33" t="s">
        <v>20</v>
      </c>
      <c r="F509" s="33" t="s">
        <v>21</v>
      </c>
      <c r="G509" s="33">
        <v>3000</v>
      </c>
      <c r="H509" s="33">
        <v>3416</v>
      </c>
      <c r="I509" s="33">
        <v>56</v>
      </c>
      <c r="J509" s="33">
        <v>180</v>
      </c>
      <c r="K509" s="33">
        <v>1</v>
      </c>
      <c r="L509" s="33" t="s">
        <v>34</v>
      </c>
      <c r="M509" s="33" t="s">
        <v>27</v>
      </c>
      <c r="N509" s="33">
        <v>6416</v>
      </c>
      <c r="O509" s="33" t="s">
        <v>24</v>
      </c>
      <c r="P509" s="34">
        <v>1.1499999999999999</v>
      </c>
      <c r="Q509" s="33">
        <v>0.87281795511221938</v>
      </c>
    </row>
    <row r="510" spans="1:17">
      <c r="A510" s="31" t="s">
        <v>539</v>
      </c>
      <c r="B510" s="31" t="s">
        <v>18</v>
      </c>
      <c r="C510" s="31" t="s">
        <v>19</v>
      </c>
      <c r="D510" s="31">
        <v>2</v>
      </c>
      <c r="E510" s="31" t="s">
        <v>20</v>
      </c>
      <c r="F510" s="31" t="s">
        <v>19</v>
      </c>
      <c r="G510" s="31">
        <v>6000</v>
      </c>
      <c r="H510" s="31">
        <v>0</v>
      </c>
      <c r="I510" s="31">
        <v>205</v>
      </c>
      <c r="J510" s="31">
        <v>240</v>
      </c>
      <c r="K510" s="31">
        <v>1</v>
      </c>
      <c r="L510" s="31" t="s">
        <v>34</v>
      </c>
      <c r="M510" s="31" t="s">
        <v>23</v>
      </c>
      <c r="N510" s="31">
        <v>6000</v>
      </c>
      <c r="O510" s="31" t="s">
        <v>24</v>
      </c>
      <c r="P510" s="32">
        <v>0.28999999999999998</v>
      </c>
      <c r="Q510" s="31">
        <v>3.4166666666666665</v>
      </c>
    </row>
    <row r="511" spans="1:17">
      <c r="A511" s="33" t="s">
        <v>540</v>
      </c>
      <c r="B511" s="33" t="s">
        <v>40</v>
      </c>
      <c r="C511" s="33" t="s">
        <v>21</v>
      </c>
      <c r="D511" s="33">
        <v>3</v>
      </c>
      <c r="E511" s="33" t="s">
        <v>20</v>
      </c>
      <c r="F511" s="33" t="s">
        <v>19</v>
      </c>
      <c r="G511" s="33">
        <v>9357</v>
      </c>
      <c r="H511" s="33">
        <v>0</v>
      </c>
      <c r="I511" s="33">
        <v>292</v>
      </c>
      <c r="J511" s="33">
        <v>360</v>
      </c>
      <c r="K511" s="33">
        <v>1</v>
      </c>
      <c r="L511" s="33" t="s">
        <v>34</v>
      </c>
      <c r="M511" s="33" t="s">
        <v>27</v>
      </c>
      <c r="N511" s="33">
        <v>9357</v>
      </c>
      <c r="O511" s="33" t="s">
        <v>24</v>
      </c>
      <c r="P511" s="34">
        <v>0.32</v>
      </c>
      <c r="Q511" s="33">
        <v>3.120658330661537</v>
      </c>
    </row>
    <row r="512" spans="1:17">
      <c r="A512" s="31" t="s">
        <v>541</v>
      </c>
      <c r="B512" s="31" t="s">
        <v>18</v>
      </c>
      <c r="C512" s="31" t="s">
        <v>19</v>
      </c>
      <c r="D512" s="31">
        <v>0</v>
      </c>
      <c r="E512" s="31" t="s">
        <v>20</v>
      </c>
      <c r="F512" s="31" t="s">
        <v>21</v>
      </c>
      <c r="G512" s="31">
        <v>3859</v>
      </c>
      <c r="H512" s="31">
        <v>3300</v>
      </c>
      <c r="I512" s="31">
        <v>142</v>
      </c>
      <c r="J512" s="31">
        <v>180</v>
      </c>
      <c r="K512" s="31">
        <v>1</v>
      </c>
      <c r="L512" s="31" t="s">
        <v>22</v>
      </c>
      <c r="M512" s="31" t="s">
        <v>27</v>
      </c>
      <c r="N512" s="31">
        <v>7159</v>
      </c>
      <c r="O512" s="31" t="s">
        <v>24</v>
      </c>
      <c r="P512" s="32">
        <v>0.5</v>
      </c>
      <c r="Q512" s="31">
        <v>1.9835172510127113</v>
      </c>
    </row>
    <row r="513" spans="1:17">
      <c r="A513" s="33" t="s">
        <v>542</v>
      </c>
      <c r="B513" s="33" t="s">
        <v>18</v>
      </c>
      <c r="C513" s="33" t="s">
        <v>19</v>
      </c>
      <c r="D513" s="33">
        <v>0</v>
      </c>
      <c r="E513" s="33" t="s">
        <v>20</v>
      </c>
      <c r="F513" s="33" t="s">
        <v>19</v>
      </c>
      <c r="G513" s="33">
        <v>16120</v>
      </c>
      <c r="H513" s="33">
        <v>0</v>
      </c>
      <c r="I513" s="33">
        <v>260</v>
      </c>
      <c r="J513" s="33">
        <v>360</v>
      </c>
      <c r="K513" s="33">
        <v>1</v>
      </c>
      <c r="L513" s="33" t="s">
        <v>26</v>
      </c>
      <c r="M513" s="33" t="s">
        <v>27</v>
      </c>
      <c r="N513" s="33">
        <v>16120</v>
      </c>
      <c r="O513" s="33" t="s">
        <v>24</v>
      </c>
      <c r="P513" s="34">
        <v>0.62</v>
      </c>
      <c r="Q513" s="33">
        <v>1.6129032258064515</v>
      </c>
    </row>
    <row r="514" spans="1:17">
      <c r="A514" s="31" t="s">
        <v>543</v>
      </c>
      <c r="B514" s="31" t="s">
        <v>18</v>
      </c>
      <c r="C514" s="31" t="s">
        <v>21</v>
      </c>
      <c r="D514" s="31">
        <v>0</v>
      </c>
      <c r="E514" s="31" t="s">
        <v>29</v>
      </c>
      <c r="F514" s="31" t="s">
        <v>21</v>
      </c>
      <c r="G514" s="31">
        <v>3833</v>
      </c>
      <c r="H514" s="31">
        <v>0</v>
      </c>
      <c r="I514" s="31">
        <v>110</v>
      </c>
      <c r="J514" s="31">
        <v>360</v>
      </c>
      <c r="K514" s="31">
        <v>1</v>
      </c>
      <c r="L514" s="31" t="s">
        <v>22</v>
      </c>
      <c r="M514" s="31" t="s">
        <v>27</v>
      </c>
      <c r="N514" s="31">
        <v>3833</v>
      </c>
      <c r="O514" s="31" t="s">
        <v>24</v>
      </c>
      <c r="P514" s="32">
        <v>0.35</v>
      </c>
      <c r="Q514" s="31">
        <v>2.8698147665014351</v>
      </c>
    </row>
    <row r="515" spans="1:17">
      <c r="A515" s="33" t="s">
        <v>544</v>
      </c>
      <c r="B515" s="33" t="s">
        <v>18</v>
      </c>
      <c r="C515" s="33" t="s">
        <v>19</v>
      </c>
      <c r="D515" s="33">
        <v>2</v>
      </c>
      <c r="E515" s="33" t="s">
        <v>29</v>
      </c>
      <c r="F515" s="33" t="s">
        <v>19</v>
      </c>
      <c r="G515" s="33">
        <v>6383</v>
      </c>
      <c r="H515" s="33">
        <v>1000</v>
      </c>
      <c r="I515" s="33">
        <v>187</v>
      </c>
      <c r="J515" s="33">
        <v>360</v>
      </c>
      <c r="K515" s="33">
        <v>1</v>
      </c>
      <c r="L515" s="33" t="s">
        <v>22</v>
      </c>
      <c r="M515" s="33" t="s">
        <v>23</v>
      </c>
      <c r="N515" s="33">
        <v>7383</v>
      </c>
      <c r="O515" s="33" t="s">
        <v>24</v>
      </c>
      <c r="P515" s="34">
        <v>0.39</v>
      </c>
      <c r="Q515" s="33">
        <v>2.5328457266693758</v>
      </c>
    </row>
    <row r="516" spans="1:17">
      <c r="A516" s="31" t="s">
        <v>545</v>
      </c>
      <c r="B516" s="31" t="s">
        <v>18</v>
      </c>
      <c r="C516" s="31" t="s">
        <v>21</v>
      </c>
      <c r="D516" s="31">
        <v>0</v>
      </c>
      <c r="E516" s="31" t="s">
        <v>20</v>
      </c>
      <c r="F516" s="31" t="s">
        <v>21</v>
      </c>
      <c r="G516" s="31">
        <v>2987</v>
      </c>
      <c r="H516" s="31">
        <v>0</v>
      </c>
      <c r="I516" s="31">
        <v>88</v>
      </c>
      <c r="J516" s="31">
        <v>360</v>
      </c>
      <c r="K516" s="31">
        <v>0</v>
      </c>
      <c r="L516" s="31" t="s">
        <v>34</v>
      </c>
      <c r="M516" s="31" t="s">
        <v>23</v>
      </c>
      <c r="N516" s="31">
        <v>2987</v>
      </c>
      <c r="O516" s="31" t="s">
        <v>35</v>
      </c>
      <c r="P516" s="32">
        <v>0.34</v>
      </c>
      <c r="Q516" s="31">
        <v>2.9460997656511547</v>
      </c>
    </row>
    <row r="517" spans="1:17">
      <c r="A517" s="33" t="s">
        <v>546</v>
      </c>
      <c r="B517" s="33" t="s">
        <v>18</v>
      </c>
      <c r="C517" s="33" t="s">
        <v>19</v>
      </c>
      <c r="D517" s="33">
        <v>0</v>
      </c>
      <c r="E517" s="33" t="s">
        <v>20</v>
      </c>
      <c r="F517" s="33" t="s">
        <v>19</v>
      </c>
      <c r="G517" s="33">
        <v>9963</v>
      </c>
      <c r="H517" s="33">
        <v>0</v>
      </c>
      <c r="I517" s="33">
        <v>180</v>
      </c>
      <c r="J517" s="33">
        <v>360</v>
      </c>
      <c r="K517" s="33">
        <v>1</v>
      </c>
      <c r="L517" s="33" t="s">
        <v>22</v>
      </c>
      <c r="M517" s="33" t="s">
        <v>27</v>
      </c>
      <c r="N517" s="33">
        <v>9963</v>
      </c>
      <c r="O517" s="33" t="s">
        <v>24</v>
      </c>
      <c r="P517" s="34">
        <v>0.55000000000000004</v>
      </c>
      <c r="Q517" s="33">
        <v>1.8066847335140017</v>
      </c>
    </row>
    <row r="518" spans="1:17">
      <c r="A518" s="31" t="s">
        <v>547</v>
      </c>
      <c r="B518" s="31" t="s">
        <v>18</v>
      </c>
      <c r="C518" s="31" t="s">
        <v>19</v>
      </c>
      <c r="D518" s="31">
        <v>2</v>
      </c>
      <c r="E518" s="31" t="s">
        <v>20</v>
      </c>
      <c r="F518" s="31" t="s">
        <v>21</v>
      </c>
      <c r="G518" s="31">
        <v>5780</v>
      </c>
      <c r="H518" s="31">
        <v>0</v>
      </c>
      <c r="I518" s="31">
        <v>192</v>
      </c>
      <c r="J518" s="31">
        <v>360</v>
      </c>
      <c r="K518" s="31">
        <v>1</v>
      </c>
      <c r="L518" s="31" t="s">
        <v>26</v>
      </c>
      <c r="M518" s="31" t="s">
        <v>27</v>
      </c>
      <c r="N518" s="31">
        <v>5780</v>
      </c>
      <c r="O518" s="31" t="s">
        <v>24</v>
      </c>
      <c r="P518" s="32">
        <v>0.3</v>
      </c>
      <c r="Q518" s="31">
        <v>3.3217993079584778</v>
      </c>
    </row>
    <row r="519" spans="1:17">
      <c r="A519" s="33" t="s">
        <v>548</v>
      </c>
      <c r="B519" s="33" t="s">
        <v>18</v>
      </c>
      <c r="C519" s="33" t="s">
        <v>19</v>
      </c>
      <c r="D519" s="33">
        <v>0</v>
      </c>
      <c r="E519" s="33" t="s">
        <v>29</v>
      </c>
      <c r="F519" s="33" t="s">
        <v>40</v>
      </c>
      <c r="G519" s="33">
        <v>2894</v>
      </c>
      <c r="H519" s="33">
        <v>2792</v>
      </c>
      <c r="I519" s="33">
        <v>155</v>
      </c>
      <c r="J519" s="33">
        <v>360</v>
      </c>
      <c r="K519" s="33">
        <v>1</v>
      </c>
      <c r="L519" s="33" t="s">
        <v>22</v>
      </c>
      <c r="M519" s="33" t="s">
        <v>27</v>
      </c>
      <c r="N519" s="33">
        <v>5686</v>
      </c>
      <c r="O519" s="33" t="s">
        <v>24</v>
      </c>
      <c r="P519" s="34">
        <v>0.37</v>
      </c>
      <c r="Q519" s="33">
        <v>2.725993668659866</v>
      </c>
    </row>
    <row r="520" spans="1:17">
      <c r="A520" s="31" t="s">
        <v>549</v>
      </c>
      <c r="B520" s="31" t="s">
        <v>18</v>
      </c>
      <c r="C520" s="31" t="s">
        <v>19</v>
      </c>
      <c r="D520" s="31">
        <v>3</v>
      </c>
      <c r="E520" s="31" t="s">
        <v>20</v>
      </c>
      <c r="F520" s="31" t="s">
        <v>21</v>
      </c>
      <c r="G520" s="31">
        <v>5703</v>
      </c>
      <c r="H520" s="31">
        <v>0</v>
      </c>
      <c r="I520" s="31">
        <v>128</v>
      </c>
      <c r="J520" s="31">
        <v>360</v>
      </c>
      <c r="K520" s="31">
        <v>1</v>
      </c>
      <c r="L520" s="31" t="s">
        <v>26</v>
      </c>
      <c r="M520" s="31" t="s">
        <v>27</v>
      </c>
      <c r="N520" s="31">
        <v>5703</v>
      </c>
      <c r="O520" s="31" t="s">
        <v>24</v>
      </c>
      <c r="P520" s="32">
        <v>0.45</v>
      </c>
      <c r="Q520" s="31">
        <v>2.2444327546905138</v>
      </c>
    </row>
    <row r="521" spans="1:17">
      <c r="A521" s="33" t="s">
        <v>550</v>
      </c>
      <c r="B521" s="33" t="s">
        <v>18</v>
      </c>
      <c r="C521" s="33" t="s">
        <v>21</v>
      </c>
      <c r="D521" s="33">
        <v>0</v>
      </c>
      <c r="E521" s="33" t="s">
        <v>20</v>
      </c>
      <c r="F521" s="33" t="s">
        <v>21</v>
      </c>
      <c r="G521" s="33">
        <v>3676</v>
      </c>
      <c r="H521" s="33">
        <v>4301</v>
      </c>
      <c r="I521" s="33">
        <v>172</v>
      </c>
      <c r="J521" s="33">
        <v>360</v>
      </c>
      <c r="K521" s="33">
        <v>1</v>
      </c>
      <c r="L521" s="33" t="s">
        <v>22</v>
      </c>
      <c r="M521" s="33" t="s">
        <v>27</v>
      </c>
      <c r="N521" s="33">
        <v>7977</v>
      </c>
      <c r="O521" s="33" t="s">
        <v>24</v>
      </c>
      <c r="P521" s="34">
        <v>0.46</v>
      </c>
      <c r="Q521" s="33">
        <v>2.1561990723329574</v>
      </c>
    </row>
    <row r="522" spans="1:17">
      <c r="A522" s="31" t="s">
        <v>551</v>
      </c>
      <c r="B522" s="31" t="s">
        <v>46</v>
      </c>
      <c r="C522" s="31" t="s">
        <v>19</v>
      </c>
      <c r="D522" s="31">
        <v>1</v>
      </c>
      <c r="E522" s="31" t="s">
        <v>20</v>
      </c>
      <c r="F522" s="31" t="s">
        <v>21</v>
      </c>
      <c r="G522" s="31">
        <v>12000</v>
      </c>
      <c r="H522" s="31">
        <v>0</v>
      </c>
      <c r="I522" s="31">
        <v>496</v>
      </c>
      <c r="J522" s="31">
        <v>360</v>
      </c>
      <c r="K522" s="31">
        <v>1</v>
      </c>
      <c r="L522" s="31" t="s">
        <v>34</v>
      </c>
      <c r="M522" s="31" t="s">
        <v>27</v>
      </c>
      <c r="N522" s="31">
        <v>12000</v>
      </c>
      <c r="O522" s="31" t="s">
        <v>24</v>
      </c>
      <c r="P522" s="32">
        <v>0.24</v>
      </c>
      <c r="Q522" s="31">
        <v>4.1333333333333329</v>
      </c>
    </row>
    <row r="523" spans="1:17">
      <c r="A523" s="33" t="s">
        <v>552</v>
      </c>
      <c r="B523" s="33" t="s">
        <v>18</v>
      </c>
      <c r="C523" s="33" t="s">
        <v>19</v>
      </c>
      <c r="D523" s="33">
        <v>1</v>
      </c>
      <c r="E523" s="33" t="s">
        <v>20</v>
      </c>
      <c r="F523" s="33" t="s">
        <v>21</v>
      </c>
      <c r="G523" s="33">
        <v>3400</v>
      </c>
      <c r="H523" s="33">
        <v>2500</v>
      </c>
      <c r="I523" s="33">
        <v>173</v>
      </c>
      <c r="J523" s="33">
        <v>360</v>
      </c>
      <c r="K523" s="33">
        <v>1</v>
      </c>
      <c r="L523" s="33" t="s">
        <v>34</v>
      </c>
      <c r="M523" s="33" t="s">
        <v>27</v>
      </c>
      <c r="N523" s="33">
        <v>5900</v>
      </c>
      <c r="O523" s="33" t="s">
        <v>24</v>
      </c>
      <c r="P523" s="34">
        <v>0.34</v>
      </c>
      <c r="Q523" s="33">
        <v>2.9322033898305082</v>
      </c>
    </row>
    <row r="524" spans="1:17">
      <c r="A524" s="31" t="s">
        <v>553</v>
      </c>
      <c r="B524" s="31" t="s">
        <v>18</v>
      </c>
      <c r="C524" s="31" t="s">
        <v>19</v>
      </c>
      <c r="D524" s="31">
        <v>2</v>
      </c>
      <c r="E524" s="31" t="s">
        <v>29</v>
      </c>
      <c r="F524" s="31" t="s">
        <v>21</v>
      </c>
      <c r="G524" s="31">
        <v>3987</v>
      </c>
      <c r="H524" s="31">
        <v>1411</v>
      </c>
      <c r="I524" s="31">
        <v>157</v>
      </c>
      <c r="J524" s="31">
        <v>360</v>
      </c>
      <c r="K524" s="31">
        <v>1</v>
      </c>
      <c r="L524" s="31" t="s">
        <v>22</v>
      </c>
      <c r="M524" s="31" t="s">
        <v>27</v>
      </c>
      <c r="N524" s="31">
        <v>5398</v>
      </c>
      <c r="O524" s="31" t="s">
        <v>24</v>
      </c>
      <c r="P524" s="32">
        <v>0.34</v>
      </c>
      <c r="Q524" s="31">
        <v>2.9084846239347906</v>
      </c>
    </row>
    <row r="525" spans="1:17">
      <c r="A525" s="33" t="s">
        <v>554</v>
      </c>
      <c r="B525" s="33" t="s">
        <v>18</v>
      </c>
      <c r="C525" s="33" t="s">
        <v>19</v>
      </c>
      <c r="D525" s="33">
        <v>0</v>
      </c>
      <c r="E525" s="33" t="s">
        <v>20</v>
      </c>
      <c r="F525" s="33" t="s">
        <v>21</v>
      </c>
      <c r="G525" s="33">
        <v>3232</v>
      </c>
      <c r="H525" s="33">
        <v>1950</v>
      </c>
      <c r="I525" s="33">
        <v>108</v>
      </c>
      <c r="J525" s="33">
        <v>360</v>
      </c>
      <c r="K525" s="33">
        <v>1</v>
      </c>
      <c r="L525" s="33" t="s">
        <v>22</v>
      </c>
      <c r="M525" s="33" t="s">
        <v>27</v>
      </c>
      <c r="N525" s="33">
        <v>5182</v>
      </c>
      <c r="O525" s="33" t="s">
        <v>24</v>
      </c>
      <c r="P525" s="34">
        <v>0.48</v>
      </c>
      <c r="Q525" s="33">
        <v>2.0841373986877652</v>
      </c>
    </row>
    <row r="526" spans="1:17">
      <c r="A526" s="31" t="s">
        <v>555</v>
      </c>
      <c r="B526" s="31" t="s">
        <v>46</v>
      </c>
      <c r="C526" s="31" t="s">
        <v>21</v>
      </c>
      <c r="D526" s="31">
        <v>0</v>
      </c>
      <c r="E526" s="31" t="s">
        <v>20</v>
      </c>
      <c r="F526" s="31" t="s">
        <v>21</v>
      </c>
      <c r="G526" s="31">
        <v>2900</v>
      </c>
      <c r="H526" s="31">
        <v>0</v>
      </c>
      <c r="I526" s="31">
        <v>71</v>
      </c>
      <c r="J526" s="31">
        <v>360</v>
      </c>
      <c r="K526" s="31">
        <v>1</v>
      </c>
      <c r="L526" s="31" t="s">
        <v>22</v>
      </c>
      <c r="M526" s="31" t="s">
        <v>27</v>
      </c>
      <c r="N526" s="31">
        <v>2900</v>
      </c>
      <c r="O526" s="31" t="s">
        <v>24</v>
      </c>
      <c r="P526" s="32">
        <v>0.41</v>
      </c>
      <c r="Q526" s="31">
        <v>2.4482758620689657</v>
      </c>
    </row>
    <row r="527" spans="1:17">
      <c r="A527" s="33" t="s">
        <v>556</v>
      </c>
      <c r="B527" s="33" t="s">
        <v>18</v>
      </c>
      <c r="C527" s="33" t="s">
        <v>19</v>
      </c>
      <c r="D527" s="33">
        <v>3</v>
      </c>
      <c r="E527" s="33" t="s">
        <v>20</v>
      </c>
      <c r="F527" s="33" t="s">
        <v>21</v>
      </c>
      <c r="G527" s="33">
        <v>4106</v>
      </c>
      <c r="H527" s="33">
        <v>0</v>
      </c>
      <c r="I527" s="33">
        <v>40</v>
      </c>
      <c r="J527" s="33">
        <v>180</v>
      </c>
      <c r="K527" s="33">
        <v>1</v>
      </c>
      <c r="L527" s="33" t="s">
        <v>22</v>
      </c>
      <c r="M527" s="33" t="s">
        <v>27</v>
      </c>
      <c r="N527" s="33">
        <v>4106</v>
      </c>
      <c r="O527" s="33" t="s">
        <v>24</v>
      </c>
      <c r="P527" s="34">
        <v>1.03</v>
      </c>
      <c r="Q527" s="33">
        <v>0.97418412079883099</v>
      </c>
    </row>
    <row r="528" spans="1:17">
      <c r="A528" s="31" t="s">
        <v>557</v>
      </c>
      <c r="B528" s="31" t="s">
        <v>18</v>
      </c>
      <c r="C528" s="31" t="s">
        <v>19</v>
      </c>
      <c r="D528" s="31">
        <v>1</v>
      </c>
      <c r="E528" s="31" t="s">
        <v>20</v>
      </c>
      <c r="F528" s="31" t="s">
        <v>21</v>
      </c>
      <c r="G528" s="31">
        <v>8072</v>
      </c>
      <c r="H528" s="31">
        <v>240</v>
      </c>
      <c r="I528" s="31">
        <v>253</v>
      </c>
      <c r="J528" s="31">
        <v>360</v>
      </c>
      <c r="K528" s="31">
        <v>1</v>
      </c>
      <c r="L528" s="31" t="s">
        <v>26</v>
      </c>
      <c r="M528" s="31" t="s">
        <v>27</v>
      </c>
      <c r="N528" s="31">
        <v>8312</v>
      </c>
      <c r="O528" s="31" t="s">
        <v>24</v>
      </c>
      <c r="P528" s="32">
        <v>0.33</v>
      </c>
      <c r="Q528" s="31">
        <v>3.0437921077959578</v>
      </c>
    </row>
    <row r="529" spans="1:17">
      <c r="A529" s="33" t="s">
        <v>558</v>
      </c>
      <c r="B529" s="33" t="s">
        <v>18</v>
      </c>
      <c r="C529" s="33" t="s">
        <v>19</v>
      </c>
      <c r="D529" s="33">
        <v>2</v>
      </c>
      <c r="E529" s="33" t="s">
        <v>20</v>
      </c>
      <c r="F529" s="33" t="s">
        <v>21</v>
      </c>
      <c r="G529" s="33">
        <v>7583</v>
      </c>
      <c r="H529" s="33">
        <v>0</v>
      </c>
      <c r="I529" s="33">
        <v>187</v>
      </c>
      <c r="J529" s="33">
        <v>360</v>
      </c>
      <c r="K529" s="33">
        <v>1</v>
      </c>
      <c r="L529" s="33" t="s">
        <v>26</v>
      </c>
      <c r="M529" s="33" t="s">
        <v>27</v>
      </c>
      <c r="N529" s="33">
        <v>7583</v>
      </c>
      <c r="O529" s="33" t="s">
        <v>24</v>
      </c>
      <c r="P529" s="34">
        <v>0.41</v>
      </c>
      <c r="Q529" s="33">
        <v>2.4660424634049849</v>
      </c>
    </row>
    <row r="530" spans="1:17">
      <c r="A530" s="31" t="s">
        <v>559</v>
      </c>
      <c r="B530" s="31" t="s">
        <v>46</v>
      </c>
      <c r="C530" s="31" t="s">
        <v>21</v>
      </c>
      <c r="D530" s="31">
        <v>0</v>
      </c>
      <c r="E530" s="31" t="s">
        <v>20</v>
      </c>
      <c r="F530" s="31" t="s">
        <v>19</v>
      </c>
      <c r="G530" s="31">
        <v>4583</v>
      </c>
      <c r="H530" s="31">
        <v>0</v>
      </c>
      <c r="I530" s="31">
        <v>133</v>
      </c>
      <c r="J530" s="31">
        <v>360</v>
      </c>
      <c r="K530" s="31">
        <v>0</v>
      </c>
      <c r="L530" s="31" t="s">
        <v>34</v>
      </c>
      <c r="M530" s="31" t="s">
        <v>23</v>
      </c>
      <c r="N530" s="31">
        <v>4583</v>
      </c>
      <c r="O530" s="31" t="s">
        <v>35</v>
      </c>
      <c r="P530" s="32">
        <v>0.34</v>
      </c>
      <c r="Q530" s="31">
        <v>2.9020292384900719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D3B17-C4C3-4710-A2DE-D4A84C1CFD7C}">
  <dimension ref="A1"/>
  <sheetViews>
    <sheetView showGridLines="0" topLeftCell="D1" zoomScale="85" zoomScaleNormal="88" workbookViewId="0">
      <selection activeCell="X11" sqref="X11"/>
    </sheetView>
  </sheetViews>
  <sheetFormatPr defaultRowHeight="14.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6EB30-5D3E-4300-BBCD-DCF169394501}">
  <dimension ref="B3:R177"/>
  <sheetViews>
    <sheetView zoomScale="74" workbookViewId="0">
      <selection activeCell="G21" sqref="G21"/>
    </sheetView>
  </sheetViews>
  <sheetFormatPr defaultRowHeight="14.4"/>
  <cols>
    <col min="2" max="2" width="14.21875" customWidth="1"/>
    <col min="3" max="3" width="30" bestFit="1" customWidth="1"/>
    <col min="4" max="4" width="5.109375" bestFit="1" customWidth="1"/>
    <col min="5" max="5" width="30" bestFit="1" customWidth="1"/>
    <col min="6" max="6" width="5.109375" bestFit="1" customWidth="1"/>
    <col min="7" max="7" width="30" bestFit="1" customWidth="1"/>
    <col min="8" max="8" width="5.109375" bestFit="1" customWidth="1"/>
    <col min="9" max="9" width="19.44140625" bestFit="1" customWidth="1"/>
    <col min="10" max="10" width="7" customWidth="1"/>
    <col min="11" max="11" width="13.33203125" customWidth="1"/>
    <col min="12" max="12" width="13.5546875" customWidth="1"/>
    <col min="13" max="13" width="14" customWidth="1"/>
    <col min="14" max="14" width="20" customWidth="1"/>
    <col min="15" max="15" width="8.21875" style="7" customWidth="1"/>
    <col min="16" max="16" width="8.21875" customWidth="1"/>
    <col min="17" max="17" width="11" customWidth="1"/>
    <col min="18" max="18" width="9.88671875" customWidth="1"/>
  </cols>
  <sheetData>
    <row r="3" spans="2:18" ht="28.8">
      <c r="B3" s="37" t="s">
        <v>0</v>
      </c>
      <c r="C3" s="37" t="s">
        <v>1</v>
      </c>
      <c r="D3" s="37" t="s">
        <v>2</v>
      </c>
      <c r="E3" s="37" t="s">
        <v>3</v>
      </c>
      <c r="F3" s="37" t="s">
        <v>4</v>
      </c>
      <c r="G3" s="37" t="s">
        <v>5</v>
      </c>
      <c r="H3" s="37" t="s">
        <v>6</v>
      </c>
      <c r="I3" s="37" t="s">
        <v>7</v>
      </c>
      <c r="J3" s="37" t="s">
        <v>8</v>
      </c>
      <c r="K3" s="37" t="s">
        <v>9</v>
      </c>
      <c r="L3" s="37" t="s">
        <v>10</v>
      </c>
      <c r="M3" s="37" t="s">
        <v>11</v>
      </c>
      <c r="N3" s="38" t="s">
        <v>12</v>
      </c>
      <c r="O3" s="38" t="s">
        <v>13</v>
      </c>
      <c r="P3" s="38" t="s">
        <v>15</v>
      </c>
      <c r="Q3" s="38" t="s">
        <v>14</v>
      </c>
      <c r="R3" s="38" t="s">
        <v>16</v>
      </c>
    </row>
    <row r="4" spans="2:18">
      <c r="B4" s="36" t="s">
        <v>25</v>
      </c>
      <c r="C4" s="36" t="str">
        <f>INDEX(Table2[], MATCH($B$4,Table2[[#All],[Loan_ID]],0), MATCH(C3, Table2[#Headers], 0))</f>
        <v>Male</v>
      </c>
      <c r="D4" s="36" t="str">
        <f>INDEX(Table2[], MATCH($B$4,Loan_ID,0), MATCH(D3, Table2[#Headers], 0))</f>
        <v>Yes</v>
      </c>
      <c r="E4" s="36">
        <f>INDEX(Table2[], MATCH($B$4,Loan_ID,0), MATCH(E3, Table2[#Headers], 0))</f>
        <v>0</v>
      </c>
      <c r="F4" s="36" t="str">
        <f>INDEX(Table2[], MATCH($B$4,Loan_ID,0), MATCH(F3, Table2[#Headers], 0))</f>
        <v>Graduate</v>
      </c>
      <c r="G4" s="36" t="str">
        <f>INDEX(Table2[], MATCH($B$4,Loan_ID,0), MATCH(G3, Table2[#Headers], 0))</f>
        <v>Yes</v>
      </c>
      <c r="H4" s="36">
        <f>INDEX(Table2[], MATCH($B$4,Loan_ID,0), MATCH(H3, Table2[#Headers], 0))</f>
        <v>3000</v>
      </c>
      <c r="I4" s="36">
        <f>INDEX(Table2[], MATCH($B$4,Loan_ID,0), MATCH(I3, Table2[#Headers], 0))</f>
        <v>0</v>
      </c>
      <c r="J4" s="36">
        <f>INDEX(Table2[], MATCH($B$4,Loan_ID,0), MATCH(J3, Table2[#Headers], 0))</f>
        <v>66</v>
      </c>
      <c r="K4" s="36">
        <f>INDEX(Table2[], MATCH($B$4,Loan_ID,0), MATCH(K3, Table2[#Headers], 0))</f>
        <v>360</v>
      </c>
      <c r="L4" s="36">
        <f>INDEX(Table2[], MATCH($B$4,Loan_ID,0), MATCH(L3, Table2[#Headers], 0))</f>
        <v>1</v>
      </c>
      <c r="M4" s="36" t="str">
        <f>INDEX(Table2[], MATCH($B$4,Loan_ID,0), MATCH(M3, Table2[#Headers], 0))</f>
        <v>Urban</v>
      </c>
      <c r="N4" s="36" t="str">
        <f>INDEX(Table2[], MATCH($B$4,Loan_ID,0), MATCH(N3, Table2[#Headers], 0))</f>
        <v>Y</v>
      </c>
      <c r="O4" s="36" t="e">
        <f>INDEX(Table2[], MATCH($B$4,Loan_ID,0), MATCH(O3, Table2[#Headers], 0))</f>
        <v>#N/A</v>
      </c>
      <c r="P4" s="36" t="str">
        <f>INDEX(Table2[], MATCH($B$4,Loan_ID,0), MATCH(P3, Table2[#Headers], 0))</f>
        <v>Low Risk</v>
      </c>
      <c r="Q4" s="36">
        <f>INDEX(Table2[], MATCH($B$4,Loan_ID,0), MATCH(Q3, Table2[#Headers], 0))</f>
        <v>0.45</v>
      </c>
      <c r="R4" s="36">
        <f>INDEX(Table2[], MATCH($B$4,Loan_ID,0), MATCH(R3, Table2[#Headers], 0))</f>
        <v>2.1999999999999997</v>
      </c>
    </row>
    <row r="5" spans="2:18">
      <c r="B5" s="39">
        <f>MATCH(B3,Table2[#Headers],0)</f>
        <v>1</v>
      </c>
      <c r="C5" s="39">
        <f>MATCH(C3,Table2[#Headers],0)</f>
        <v>2</v>
      </c>
      <c r="D5" s="39">
        <f>MATCH(D3,Table2[#Headers],0)</f>
        <v>3</v>
      </c>
      <c r="E5" s="39">
        <f>MATCH(E3,Table2[#Headers],0)</f>
        <v>4</v>
      </c>
      <c r="F5" s="39">
        <f>MATCH(F3,Table2[#Headers],0)</f>
        <v>5</v>
      </c>
      <c r="G5" s="39">
        <f>MATCH(G3,Table2[#Headers],0)</f>
        <v>6</v>
      </c>
      <c r="H5" s="39">
        <f>MATCH(H3,Table2[#Headers],0)</f>
        <v>7</v>
      </c>
      <c r="I5" s="39">
        <f>MATCH(I3,Table2[#Headers],0)</f>
        <v>8</v>
      </c>
      <c r="J5" s="39">
        <f>MATCH(J3,Table2[#Headers],0)</f>
        <v>9</v>
      </c>
      <c r="K5" s="39">
        <f>MATCH(K3,Table2[#Headers],0)</f>
        <v>10</v>
      </c>
      <c r="L5" s="39">
        <f>MATCH(L3,Table2[#Headers],0)</f>
        <v>11</v>
      </c>
      <c r="M5" s="39">
        <f>MATCH(M3,Table2[#Headers],0)</f>
        <v>12</v>
      </c>
      <c r="N5" s="39">
        <f>MATCH(N3,Table2[#Headers],0)</f>
        <v>13</v>
      </c>
      <c r="O5" s="40" t="e">
        <f>MATCH(O3,Table2[#Headers],0)</f>
        <v>#N/A</v>
      </c>
      <c r="P5" s="39">
        <f>MATCH(P3,Table2[#Headers],0)</f>
        <v>15</v>
      </c>
      <c r="Q5" s="39">
        <f>MATCH(Q3,Table2[#Headers],0)</f>
        <v>16</v>
      </c>
      <c r="R5" s="39">
        <f>MATCH(R3,Table2[#Headers],0)</f>
        <v>17</v>
      </c>
    </row>
    <row r="7" spans="2:18" ht="15" thickBot="1"/>
    <row r="8" spans="2:18">
      <c r="I8" s="41" t="s">
        <v>0</v>
      </c>
      <c r="J8" s="48" t="s">
        <v>12</v>
      </c>
      <c r="K8" s="48" t="s">
        <v>11</v>
      </c>
    </row>
    <row r="9" spans="2:18" ht="15" thickBot="1">
      <c r="I9" s="49" t="s">
        <v>25</v>
      </c>
      <c r="J9" s="50" t="str">
        <f>INDEX(Table2[#All],MATCH(I9,Table2[[#All],[Loan_ID]],0),MATCH(J8,Table2[#Headers],0))</f>
        <v>Y</v>
      </c>
      <c r="K9" s="50" t="str">
        <f>INDEX(Table2[#All],MATCH(I9,Table2[[#All],[Loan_ID]],0),MATCH(K8,Table2[#Headers],0))</f>
        <v>Urban</v>
      </c>
    </row>
    <row r="10" spans="2:18">
      <c r="H10" s="51"/>
    </row>
    <row r="11" spans="2:18">
      <c r="H11" s="43"/>
      <c r="I11" s="56" t="s">
        <v>572</v>
      </c>
      <c r="J11" s="56">
        <f>MATCH(J8,Table2[#Headers],0)</f>
        <v>13</v>
      </c>
      <c r="K11" s="56">
        <f>MATCH(K8,Table2[#Headers],0)</f>
        <v>12</v>
      </c>
    </row>
    <row r="12" spans="2:18">
      <c r="H12" s="43"/>
      <c r="I12" s="56" t="s">
        <v>573</v>
      </c>
      <c r="J12" s="56">
        <f>MATCH(I9,Table2[[#All],[Loan_ID]],0)</f>
        <v>3</v>
      </c>
      <c r="K12" s="57"/>
    </row>
    <row r="14" spans="2:18" ht="15" thickBot="1"/>
    <row r="15" spans="2:18">
      <c r="C15" s="73" t="s">
        <v>569</v>
      </c>
      <c r="D15" s="74"/>
      <c r="E15" s="74"/>
      <c r="F15" s="74"/>
      <c r="G15" s="74"/>
      <c r="H15" s="75"/>
    </row>
    <row r="16" spans="2:18" ht="15" thickBot="1">
      <c r="C16" s="2"/>
      <c r="H16" s="1"/>
    </row>
    <row r="17" spans="3:8" ht="15" thickBot="1">
      <c r="C17" s="42" t="s">
        <v>12</v>
      </c>
      <c r="D17" s="20" t="s">
        <v>27</v>
      </c>
      <c r="E17" s="69" t="s">
        <v>12</v>
      </c>
      <c r="F17" s="54" t="s">
        <v>27</v>
      </c>
      <c r="G17" s="55" t="s">
        <v>12</v>
      </c>
      <c r="H17" s="54" t="s">
        <v>27</v>
      </c>
    </row>
    <row r="18" spans="3:8" ht="15" thickBot="1">
      <c r="C18" s="2"/>
      <c r="F18" s="1"/>
      <c r="H18" s="1"/>
    </row>
    <row r="19" spans="3:8" ht="15" thickBot="1">
      <c r="C19" s="52" t="s">
        <v>580</v>
      </c>
      <c r="E19" s="52" t="s">
        <v>581</v>
      </c>
      <c r="F19" s="1"/>
      <c r="G19" s="53" t="s">
        <v>563</v>
      </c>
      <c r="H19" s="1"/>
    </row>
    <row r="20" spans="3:8" ht="15" thickBot="1">
      <c r="C20" s="25">
        <v>700</v>
      </c>
      <c r="D20" s="4"/>
      <c r="E20" s="25">
        <v>17</v>
      </c>
      <c r="F20" s="5"/>
      <c r="G20" s="25">
        <v>52630</v>
      </c>
      <c r="H20" s="1"/>
    </row>
    <row r="21" spans="3:8" ht="15" thickBot="1">
      <c r="C21" s="25">
        <f>GETPIVOTDATA("Loan_Amount",$C$19)</f>
        <v>700</v>
      </c>
      <c r="D21" s="4"/>
      <c r="E21" s="25">
        <f>GETPIVOTDATA("Loan_Amount",$E$19)</f>
        <v>17</v>
      </c>
      <c r="F21" s="4"/>
      <c r="G21" s="64">
        <f>GETPIVOTDATA("Loan_Amount",$G$19)</f>
        <v>52630</v>
      </c>
      <c r="H21" s="5"/>
    </row>
    <row r="22" spans="3:8">
      <c r="C22" s="30"/>
      <c r="D22" s="8"/>
      <c r="E22" s="9"/>
      <c r="H22" s="1"/>
    </row>
    <row r="23" spans="3:8" ht="15" thickBot="1">
      <c r="C23" s="2"/>
      <c r="E23" s="1"/>
      <c r="H23" s="1"/>
    </row>
    <row r="24" spans="3:8" ht="15" thickBot="1">
      <c r="C24" s="53" t="s">
        <v>582</v>
      </c>
      <c r="E24" s="53" t="s">
        <v>570</v>
      </c>
      <c r="G24" s="59" t="s">
        <v>583</v>
      </c>
      <c r="H24" s="1"/>
    </row>
    <row r="25" spans="3:8" ht="15" thickBot="1">
      <c r="C25" s="25">
        <v>480</v>
      </c>
      <c r="E25" s="25">
        <v>529</v>
      </c>
      <c r="G25" s="64">
        <v>3729565</v>
      </c>
      <c r="H25" s="1"/>
    </row>
    <row r="26" spans="3:8" ht="15" thickBot="1">
      <c r="C26" s="25">
        <f>GETPIVOTDATA("Loan_Amount_Term",$C$24)</f>
        <v>480</v>
      </c>
      <c r="D26" s="4"/>
      <c r="E26" s="29">
        <f>GETPIVOTDATA("Loan_ID",$E$24)</f>
        <v>529</v>
      </c>
      <c r="F26" s="4"/>
      <c r="G26" s="63">
        <f>GETPIVOTDATA("Total Income",$G$24)</f>
        <v>3729565</v>
      </c>
      <c r="H26" s="5"/>
    </row>
    <row r="177" spans="11:12">
      <c r="K177" s="58"/>
      <c r="L177" s="58"/>
    </row>
  </sheetData>
  <mergeCells count="1">
    <mergeCell ref="C15:H15"/>
  </mergeCells>
  <pageMargins left="0.7" right="0.7" top="0.75" bottom="0.75" header="0.3" footer="0.3"/>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A4D7FFED-4FAE-4892-B786-4035CF76BE97}">
          <x14:formula1>
            <xm:f>loandata!$A$2:$A$530</xm:f>
          </x14:formula1>
          <xm:sqref>B4 I9</xm:sqref>
        </x14:dataValidation>
        <x14:dataValidation type="list" allowBlank="1" showInputMessage="1" showErrorMessage="1" xr:uid="{2AFE50EA-C371-40D5-BB16-6F287970E2D5}">
          <x14:formula1>
            <xm:f>loandata!$A$1:$Q$1</xm:f>
          </x14:formula1>
          <xm:sqref>J8:K8</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017B92-C974-4CC1-8411-3DDC94DD64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18</vt:i4>
      </vt:variant>
    </vt:vector>
  </HeadingPairs>
  <TitlesOfParts>
    <vt:vector size="22" baseType="lpstr">
      <vt:lpstr>PivotFields</vt:lpstr>
      <vt:lpstr>loandata</vt:lpstr>
      <vt:lpstr>Dashboard</vt:lpstr>
      <vt:lpstr>Summarized</vt:lpstr>
      <vt:lpstr>Applicant_Income</vt:lpstr>
      <vt:lpstr>Coapplicant_Income</vt:lpstr>
      <vt:lpstr>Credit_History</vt:lpstr>
      <vt:lpstr>Dependents</vt:lpstr>
      <vt:lpstr>Education</vt:lpstr>
      <vt:lpstr>Gender</vt:lpstr>
      <vt:lpstr>IncomeLoanRatio</vt:lpstr>
      <vt:lpstr>Loan_Amount</vt:lpstr>
      <vt:lpstr>Loan_Amount_Term</vt:lpstr>
      <vt:lpstr>Loan_ID</vt:lpstr>
      <vt:lpstr>Loan_Status__Approved_Rejected</vt:lpstr>
      <vt:lpstr>Loan_to_Income</vt:lpstr>
      <vt:lpstr>LoanTable</vt:lpstr>
      <vt:lpstr>Married</vt:lpstr>
      <vt:lpstr>Property_Area</vt:lpstr>
      <vt:lpstr>RiskCategory</vt:lpstr>
      <vt:lpstr>Self_Employed</vt:lpstr>
      <vt:lpstr>Total_Income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Kapare</dc:creator>
  <cp:lastModifiedBy>Prathamesh Kapare</cp:lastModifiedBy>
  <dcterms:created xsi:type="dcterms:W3CDTF">2025-11-03T12:10:43Z</dcterms:created>
  <dcterms:modified xsi:type="dcterms:W3CDTF">2025-11-04T10:41:29Z</dcterms:modified>
</cp:coreProperties>
</file>
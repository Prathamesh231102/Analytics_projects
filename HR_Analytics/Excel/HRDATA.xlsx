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Kapare\OneDrive\Desktop\HUMANRESOURCE\"/>
    </mc:Choice>
  </mc:AlternateContent>
  <xr:revisionPtr revIDLastSave="0" documentId="13_ncr:1_{BB479CD3-7CD8-486F-92C6-B96338FC3881}" xr6:coauthVersionLast="47" xr6:coauthVersionMax="47" xr10:uidLastSave="{00000000-0000-0000-0000-000000000000}"/>
  <bookViews>
    <workbookView xWindow="-108" yWindow="-108" windowWidth="23256" windowHeight="12456" activeTab="1" xr2:uid="{C8F59F60-52D8-48AC-921A-B36EE488462F}"/>
  </bookViews>
  <sheets>
    <sheet name="PivotField" sheetId="3" r:id="rId1"/>
    <sheet name="humanresource" sheetId="2" r:id="rId2"/>
    <sheet name="Dashboard" sheetId="1" r:id="rId3"/>
    <sheet name="KPI's" sheetId="4" r:id="rId4"/>
  </sheets>
  <definedNames>
    <definedName name="AnnualSalary">humanresource!$J$2:$J$804</definedName>
    <definedName name="CitizenDesc">humanresource!$P$2:$P$804</definedName>
    <definedName name="DateofHire">humanresource!$R$2:$R$804</definedName>
    <definedName name="DateofTermination">humanresource!$S$2:$S$804</definedName>
    <definedName name="Department">humanresource!$F$2:$F$804</definedName>
    <definedName name="DOB">humanresource!$K$2:$K$804</definedName>
    <definedName name="EmpID">humanresource!$A$2:$A$804</definedName>
    <definedName name="EmployeeName">humanresource!$B$2:$B$804</definedName>
    <definedName name="EmployeSatisfaction">humanresource!$AC$2:$AC$804</definedName>
    <definedName name="EmploymentStatus">humanresource!$W$2:$W$804</definedName>
    <definedName name="EmpStatusID">humanresource!$V$2:$V$804</definedName>
    <definedName name="EngagementSurvey">humanresource!$AB$2:$AB$804</definedName>
    <definedName name="ExternalData_1" localSheetId="1" hidden="1">humanresource!$A$1:$AG$804</definedName>
    <definedName name="FromDiversityJobFairID">humanresource!$X$2:$X$804</definedName>
    <definedName name="GenderID">humanresource!$E$2:$E$804</definedName>
    <definedName name="HispanicLatino">humanresource!$O$2:$O$804</definedName>
    <definedName name="HR_DATA">humanresource[#All]</definedName>
    <definedName name="LastPerformanceReview">humanresource!$AE$2:$AE$804</definedName>
    <definedName name="LateDaysLast30">humanresource!$AF$2:$AF$804</definedName>
    <definedName name="Leaves">humanresource!$AG$2:$AG$804</definedName>
    <definedName name="ManagerName">humanresource!$H$2:$H$804</definedName>
    <definedName name="MaritialStatus">humanresource!$D$2:$D$804</definedName>
    <definedName name="MarriedID">humanresource!$C$2:$C$804</definedName>
    <definedName name="NativeTimeline_DateofHire">#N/A</definedName>
    <definedName name="PerformanceScore">humanresource!$AA$2:$AA$804</definedName>
    <definedName name="PerfScoreID">humanresource!$Z$2:$Z$804</definedName>
    <definedName name="Position">humanresource!$G$2:$G$804</definedName>
    <definedName name="RaceDescription">humanresource!$Q$2:$Q$804</definedName>
    <definedName name="RecruitmentSource">humanresource!$Y$2:$Y$804</definedName>
    <definedName name="Salary">humanresource!$I$2:$I$804</definedName>
    <definedName name="Sex">humanresource!$L$2:$L$804</definedName>
    <definedName name="Slicer_Department">#N/A</definedName>
    <definedName name="Slicer_GenderID">#N/A</definedName>
    <definedName name="Slicer_ManagerName">#N/A</definedName>
    <definedName name="Slicer_Position">#N/A</definedName>
    <definedName name="Slicer_Sex">#N/A</definedName>
    <definedName name="Slicer_State">#N/A</definedName>
    <definedName name="SpecialProjects">humanresource!$AD$2:$AD$804</definedName>
    <definedName name="State">humanresource!$M$2:$M$804</definedName>
    <definedName name="Termd">humanresource!$T$2:$T$804</definedName>
    <definedName name="TermReason">humanresource!#REF!</definedName>
    <definedName name="Zip">humanresource!$N$2:$N$804</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12" i="4" l="1"/>
  <c r="S12" i="4"/>
  <c r="O12" i="4"/>
  <c r="P12" i="4"/>
  <c r="Q12" i="4"/>
  <c r="I12" i="4"/>
  <c r="J12" i="4"/>
  <c r="K12" i="4"/>
  <c r="L12" i="4"/>
  <c r="M12" i="4"/>
  <c r="N12" i="4"/>
  <c r="H12" i="4"/>
  <c r="I9" i="4"/>
  <c r="J9" i="4"/>
  <c r="L7" i="4"/>
  <c r="M7" i="4"/>
  <c r="N7" i="4"/>
  <c r="O7" i="4"/>
  <c r="P7" i="4"/>
  <c r="Q7" i="4"/>
  <c r="R7" i="4"/>
  <c r="S7" i="4"/>
  <c r="T7" i="4"/>
  <c r="U7" i="4"/>
  <c r="V7" i="4"/>
  <c r="W7" i="4"/>
  <c r="X7" i="4"/>
  <c r="Y7" i="4"/>
  <c r="Z7" i="4"/>
  <c r="AA7" i="4"/>
  <c r="AB7" i="4"/>
  <c r="AC7" i="4"/>
  <c r="AD7" i="4"/>
  <c r="AE7" i="4"/>
  <c r="AF7" i="4"/>
  <c r="AG7" i="4"/>
  <c r="AH7" i="4"/>
  <c r="AI7" i="4"/>
  <c r="AJ7" i="4"/>
  <c r="AK7" i="4"/>
  <c r="AL7" i="4"/>
  <c r="AM7" i="4"/>
  <c r="I7" i="4"/>
  <c r="J7" i="4"/>
  <c r="K7" i="4"/>
  <c r="H7" i="4"/>
  <c r="K9" i="4"/>
  <c r="L9" i="4"/>
  <c r="M9" i="4"/>
  <c r="N9" i="4"/>
  <c r="O9" i="4"/>
  <c r="P9" i="4"/>
  <c r="H9" i="4"/>
  <c r="H3" i="4"/>
  <c r="D16" i="4"/>
  <c r="D6" i="4"/>
  <c r="D14" i="4"/>
  <c r="D12" i="4"/>
  <c r="D10" i="4"/>
  <c r="D8" i="4"/>
  <c r="D5" i="4"/>
  <c r="D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EED197-30AC-4C7D-954B-AEC2D7FC7075}" keepAlive="1" name="Query - humanresource" description="Connection to the 'humanresource' query in the workbook." type="5" refreshedVersion="8" background="1" saveData="1">
    <dbPr connection="Provider=Microsoft.Mashup.OleDb.1;Data Source=$Workbook$;Location=humanresource;Extended Properties=&quot;&quot;" command="SELECT * FROM [humanresource]"/>
  </connection>
</connections>
</file>

<file path=xl/sharedStrings.xml><?xml version="1.0" encoding="utf-8"?>
<sst xmlns="http://schemas.openxmlformats.org/spreadsheetml/2006/main" count="14729" uniqueCount="1772">
  <si>
    <t>EmpID</t>
  </si>
  <si>
    <t>MarriedID</t>
  </si>
  <si>
    <t>GenderID</t>
  </si>
  <si>
    <t>EmpStatusID</t>
  </si>
  <si>
    <t>PerfScoreID</t>
  </si>
  <si>
    <t>FromDiversityJobFairID</t>
  </si>
  <si>
    <t>Salary</t>
  </si>
  <si>
    <t>Termd</t>
  </si>
  <si>
    <t>Position</t>
  </si>
  <si>
    <t>State</t>
  </si>
  <si>
    <t>Zip</t>
  </si>
  <si>
    <t>DOB</t>
  </si>
  <si>
    <t>Sex</t>
  </si>
  <si>
    <t>CitizenDesc</t>
  </si>
  <si>
    <t>HispanicLatino</t>
  </si>
  <si>
    <t>RaceDescription</t>
  </si>
  <si>
    <t>DateofHire</t>
  </si>
  <si>
    <t>DateofTermination</t>
  </si>
  <si>
    <t>EmploymentStatus</t>
  </si>
  <si>
    <t>Department</t>
  </si>
  <si>
    <t>ManagerName</t>
  </si>
  <si>
    <t>RecruitmentSource</t>
  </si>
  <si>
    <t>PerformanceScore</t>
  </si>
  <si>
    <t>EngagementSurvey</t>
  </si>
  <si>
    <t>SpecialProjects</t>
  </si>
  <si>
    <t>LateDaysLast30</t>
  </si>
  <si>
    <t>Leaves</t>
  </si>
  <si>
    <t>AnnualSalary</t>
  </si>
  <si>
    <t>Production Technician I</t>
  </si>
  <si>
    <t>MA</t>
  </si>
  <si>
    <t xml:space="preserve">M </t>
  </si>
  <si>
    <t>Single</t>
  </si>
  <si>
    <t>US Citizen</t>
  </si>
  <si>
    <t>No</t>
  </si>
  <si>
    <t>White</t>
  </si>
  <si>
    <t>Not Terminated</t>
  </si>
  <si>
    <t>Active</t>
  </si>
  <si>
    <t xml:space="preserve">Production       </t>
  </si>
  <si>
    <t>Michael Albert</t>
  </si>
  <si>
    <t>LinkedIn</t>
  </si>
  <si>
    <t>Exceeds</t>
  </si>
  <si>
    <t>Sr. DBA</t>
  </si>
  <si>
    <t>Married</t>
  </si>
  <si>
    <t>2016-06-16</t>
  </si>
  <si>
    <t>Career Change</t>
  </si>
  <si>
    <t>Voluntarily Terminated</t>
  </si>
  <si>
    <t>IT/IS</t>
  </si>
  <si>
    <t>Simon Roup</t>
  </si>
  <si>
    <t>Indeed</t>
  </si>
  <si>
    <t>Fully Meets</t>
  </si>
  <si>
    <t>Production Technician II</t>
  </si>
  <si>
    <t>F</t>
  </si>
  <si>
    <t>2012-09-24</t>
  </si>
  <si>
    <t>Hours</t>
  </si>
  <si>
    <t>Kissy Sullivan</t>
  </si>
  <si>
    <t>Elijiah Gray</t>
  </si>
  <si>
    <t>Divorced</t>
  </si>
  <si>
    <t>2016-09-06</t>
  </si>
  <si>
    <t>Return To School</t>
  </si>
  <si>
    <t>Webster Butler</t>
  </si>
  <si>
    <t>Google Search</t>
  </si>
  <si>
    <t>Amy Dunn</t>
  </si>
  <si>
    <t>Software Engineer</t>
  </si>
  <si>
    <t>Software Engineering</t>
  </si>
  <si>
    <t>Alex Sweetwater</t>
  </si>
  <si>
    <t>Widowed</t>
  </si>
  <si>
    <t>Ketsia Liebig</t>
  </si>
  <si>
    <t>Employee Referral</t>
  </si>
  <si>
    <t>Black or African American</t>
  </si>
  <si>
    <t>Brannon Miller</t>
  </si>
  <si>
    <t>Diversity Job Fair</t>
  </si>
  <si>
    <t>IT Support</t>
  </si>
  <si>
    <t>Peter Monroe</t>
  </si>
  <si>
    <t>Yes</t>
  </si>
  <si>
    <t>2017-01-12</t>
  </si>
  <si>
    <t>Another Position</t>
  </si>
  <si>
    <t>David Stanley</t>
  </si>
  <si>
    <t>2016-09-19</t>
  </si>
  <si>
    <t>Unhappy</t>
  </si>
  <si>
    <t>Data Analyst</t>
  </si>
  <si>
    <t>TX</t>
  </si>
  <si>
    <t>Two or more races</t>
  </si>
  <si>
    <t>Kelley Spirea</t>
  </si>
  <si>
    <t>2017-04-06</t>
  </si>
  <si>
    <t>On-line Web application</t>
  </si>
  <si>
    <t>2017-08-04</t>
  </si>
  <si>
    <t>Attendance</t>
  </si>
  <si>
    <t>Terminated for Cause</t>
  </si>
  <si>
    <t>Eligible NonCitizen</t>
  </si>
  <si>
    <t>Database Administrator</t>
  </si>
  <si>
    <t>2015-09-12</t>
  </si>
  <si>
    <t>Performance</t>
  </si>
  <si>
    <t>Asian</t>
  </si>
  <si>
    <t>2013-08-19</t>
  </si>
  <si>
    <t>CareerBuilder</t>
  </si>
  <si>
    <t>Needs Improvement</t>
  </si>
  <si>
    <t>2014-04-04</t>
  </si>
  <si>
    <t>Enterprise Architect</t>
  </si>
  <si>
    <t>CT</t>
  </si>
  <si>
    <t>2016-02-19</t>
  </si>
  <si>
    <t>Learned That He Is A Gangster</t>
  </si>
  <si>
    <t>Sr. Accountant</t>
  </si>
  <si>
    <t>Admin Offices</t>
  </si>
  <si>
    <t>Brandon R. LeBlanc</t>
  </si>
  <si>
    <t>Production Manager</t>
  </si>
  <si>
    <t>2014-08-07</t>
  </si>
  <si>
    <t>Retiring</t>
  </si>
  <si>
    <t>Janet King</t>
  </si>
  <si>
    <t>2013-06-15</t>
  </si>
  <si>
    <t>Accountant I</t>
  </si>
  <si>
    <t>Area Sales Manager</t>
  </si>
  <si>
    <t>VA</t>
  </si>
  <si>
    <t>2014-08-02</t>
  </si>
  <si>
    <t>Sales</t>
  </si>
  <si>
    <t>John Smith</t>
  </si>
  <si>
    <t>Software Engineering Manager</t>
  </si>
  <si>
    <t>Jennifer Zamora</t>
  </si>
  <si>
    <t>2014-03-31</t>
  </si>
  <si>
    <t>VT</t>
  </si>
  <si>
    <t>BI Director</t>
  </si>
  <si>
    <t>2012-05-14</t>
  </si>
  <si>
    <t>Lynn Daneault</t>
  </si>
  <si>
    <t>2015-11-15</t>
  </si>
  <si>
    <t>Relocation Out Of Area</t>
  </si>
  <si>
    <t>Non-Citizen</t>
  </si>
  <si>
    <t>Eric Dougall</t>
  </si>
  <si>
    <t>2013-01-07</t>
  </si>
  <si>
    <t>2010-08-30</t>
  </si>
  <si>
    <t>2011-09-26</t>
  </si>
  <si>
    <t>2016-09-23</t>
  </si>
  <si>
    <t>Director of Operations</t>
  </si>
  <si>
    <t>Sr. Network Engineer</t>
  </si>
  <si>
    <t>Sales Manager</t>
  </si>
  <si>
    <t>Debra Houlihan</t>
  </si>
  <si>
    <t>2016-06-08</t>
  </si>
  <si>
    <t>AL</t>
  </si>
  <si>
    <t>PIP</t>
  </si>
  <si>
    <t>2015-11-04</t>
  </si>
  <si>
    <t>More Money</t>
  </si>
  <si>
    <t>BI Developer</t>
  </si>
  <si>
    <t>Brian Champaigne</t>
  </si>
  <si>
    <t>WA</t>
  </si>
  <si>
    <t>Website</t>
  </si>
  <si>
    <t>IT Manager - Support</t>
  </si>
  <si>
    <t>CA</t>
  </si>
  <si>
    <t>2017-06-06</t>
  </si>
  <si>
    <t>Military</t>
  </si>
  <si>
    <t>2018-09-27</t>
  </si>
  <si>
    <t>2018-02-25</t>
  </si>
  <si>
    <t>No-Call, No-Show</t>
  </si>
  <si>
    <t>2013-06-05</t>
  </si>
  <si>
    <t>2016-05-17</t>
  </si>
  <si>
    <t>Network Engineer</t>
  </si>
  <si>
    <t>2013-06-24</t>
  </si>
  <si>
    <t>2013-01-09</t>
  </si>
  <si>
    <t>2018-08-19</t>
  </si>
  <si>
    <t>Fatal Attraction</t>
  </si>
  <si>
    <t>IT Director</t>
  </si>
  <si>
    <t>no</t>
  </si>
  <si>
    <t>Board of Directors</t>
  </si>
  <si>
    <t>Other</t>
  </si>
  <si>
    <t>2016-11-15</t>
  </si>
  <si>
    <t>OH</t>
  </si>
  <si>
    <t>2015-09-05</t>
  </si>
  <si>
    <t>2015-06-25</t>
  </si>
  <si>
    <t>IN</t>
  </si>
  <si>
    <t>2015-03-15</t>
  </si>
  <si>
    <t>2011-05-30</t>
  </si>
  <si>
    <t>American Indian or Alaska Native</t>
  </si>
  <si>
    <t>2014-01-11</t>
  </si>
  <si>
    <t>TN</t>
  </si>
  <si>
    <t>2014-10-31</t>
  </si>
  <si>
    <t>2015-12-15</t>
  </si>
  <si>
    <t>2013-06-18</t>
  </si>
  <si>
    <t>NH</t>
  </si>
  <si>
    <t>2012-04-07</t>
  </si>
  <si>
    <t>Director of Sales</t>
  </si>
  <si>
    <t>RI</t>
  </si>
  <si>
    <t>Administrative Assistant</t>
  </si>
  <si>
    <t>2015-04-15</t>
  </si>
  <si>
    <t>2013-04-01</t>
  </si>
  <si>
    <t>2018-04-29</t>
  </si>
  <si>
    <t>2016-04-01</t>
  </si>
  <si>
    <t>PA</t>
  </si>
  <si>
    <t>2014-04-24</t>
  </si>
  <si>
    <t>Maternity Leave - Did Not Return</t>
  </si>
  <si>
    <t>CO</t>
  </si>
  <si>
    <t>President &amp; CEO</t>
  </si>
  <si>
    <t>Executive Office</t>
  </si>
  <si>
    <t>2015-06-04</t>
  </si>
  <si>
    <t>2014-01-09</t>
  </si>
  <si>
    <t>NY</t>
  </si>
  <si>
    <t>2015-12-12</t>
  </si>
  <si>
    <t>2013-04-15</t>
  </si>
  <si>
    <t>Senior BI Developer</t>
  </si>
  <si>
    <t>Shared Services Manager</t>
  </si>
  <si>
    <t>UT</t>
  </si>
  <si>
    <t>2018-09-26</t>
  </si>
  <si>
    <t>2016-09-15</t>
  </si>
  <si>
    <t>2015-11-14</t>
  </si>
  <si>
    <t>2017-09-26</t>
  </si>
  <si>
    <t>2012-08-19</t>
  </si>
  <si>
    <t>2016-11-11</t>
  </si>
  <si>
    <t>yes</t>
  </si>
  <si>
    <t>Hispanic</t>
  </si>
  <si>
    <t>2014-09-04</t>
  </si>
  <si>
    <t>IT Manager - Infra</t>
  </si>
  <si>
    <t>2016-05-25</t>
  </si>
  <si>
    <t>GA</t>
  </si>
  <si>
    <t>2018-05-01</t>
  </si>
  <si>
    <t>FL</t>
  </si>
  <si>
    <t>NC</t>
  </si>
  <si>
    <t>2014-01-12</t>
  </si>
  <si>
    <t>2015-09-07</t>
  </si>
  <si>
    <t>2016-05-01</t>
  </si>
  <si>
    <t>2017-12-28</t>
  </si>
  <si>
    <t>2015-09-15</t>
  </si>
  <si>
    <t>2015-10-25</t>
  </si>
  <si>
    <t>Medical Issues</t>
  </si>
  <si>
    <t>2013-02-04</t>
  </si>
  <si>
    <t>2016-05-18</t>
  </si>
  <si>
    <t>2012-11-30</t>
  </si>
  <si>
    <t>KY</t>
  </si>
  <si>
    <t>2018-06-04</t>
  </si>
  <si>
    <t>2015-08-15</t>
  </si>
  <si>
    <t>2018-04-07</t>
  </si>
  <si>
    <t>ID</t>
  </si>
  <si>
    <t>2016-01-15</t>
  </si>
  <si>
    <t>2011-10-22</t>
  </si>
  <si>
    <t>2012-02-08</t>
  </si>
  <si>
    <t>2016-01-26</t>
  </si>
  <si>
    <t>Principal Data Architect</t>
  </si>
  <si>
    <t>2018-11-10</t>
  </si>
  <si>
    <t>Data Architect</t>
  </si>
  <si>
    <t>2018-08-13</t>
  </si>
  <si>
    <t>IT Manager - DB</t>
  </si>
  <si>
    <t>2018-07-30</t>
  </si>
  <si>
    <t xml:space="preserve">Data Analyst </t>
  </si>
  <si>
    <t>2015-10-31</t>
  </si>
  <si>
    <t>2015-04-08</t>
  </si>
  <si>
    <t>2013-09-25</t>
  </si>
  <si>
    <t>2015-06-29</t>
  </si>
  <si>
    <t>NV</t>
  </si>
  <si>
    <t>MT</t>
  </si>
  <si>
    <t>2017-07-08</t>
  </si>
  <si>
    <t>OR</t>
  </si>
  <si>
    <t>2016-09-05</t>
  </si>
  <si>
    <t>ND</t>
  </si>
  <si>
    <t>2016-02-12</t>
  </si>
  <si>
    <t>2018-04-15</t>
  </si>
  <si>
    <t>2014-07-02</t>
  </si>
  <si>
    <t>AZ</t>
  </si>
  <si>
    <t>2016-02-05</t>
  </si>
  <si>
    <t>ME</t>
  </si>
  <si>
    <t>2017-02-22</t>
  </si>
  <si>
    <t>2016-02-08</t>
  </si>
  <si>
    <t>Gross Misconduct</t>
  </si>
  <si>
    <t>2012-01-02</t>
  </si>
  <si>
    <t>2015-09-01</t>
  </si>
  <si>
    <t>2014-05-15</t>
  </si>
  <si>
    <t>2015-06-27</t>
  </si>
  <si>
    <t>2016-02-21</t>
  </si>
  <si>
    <t>2015-09-29</t>
  </si>
  <si>
    <t>CIO</t>
  </si>
  <si>
    <t>M</t>
  </si>
  <si>
    <t>2024-07-30</t>
  </si>
  <si>
    <t>Layoff</t>
  </si>
  <si>
    <t>Curtis Callahan</t>
  </si>
  <si>
    <t>Agency</t>
  </si>
  <si>
    <t>Sales Executive</t>
  </si>
  <si>
    <t>Black</t>
  </si>
  <si>
    <t>IT</t>
  </si>
  <si>
    <t>Jeremy Roberts</t>
  </si>
  <si>
    <t>Terminated</t>
  </si>
  <si>
    <t>HR</t>
  </si>
  <si>
    <t>Heather Sanchez</t>
  </si>
  <si>
    <t>Exceeds Expectations</t>
  </si>
  <si>
    <t>Manager</t>
  </si>
  <si>
    <t>R&amp;D</t>
  </si>
  <si>
    <t>Amy Christian</t>
  </si>
  <si>
    <t>Referral</t>
  </si>
  <si>
    <t>2024-11-28</t>
  </si>
  <si>
    <t>Virginia Hanson</t>
  </si>
  <si>
    <t>Finance</t>
  </si>
  <si>
    <t>Mr. Jason Roth</t>
  </si>
  <si>
    <t>Rachel Davis</t>
  </si>
  <si>
    <t>2024-12-31</t>
  </si>
  <si>
    <t>Christie Savage</t>
  </si>
  <si>
    <t>Production</t>
  </si>
  <si>
    <t>Heather Mcpherson</t>
  </si>
  <si>
    <t>Retired</t>
  </si>
  <si>
    <t>Jessica Shelton</t>
  </si>
  <si>
    <t>Monica Smith</t>
  </si>
  <si>
    <t>Alice Grant</t>
  </si>
  <si>
    <t>HR Specialist</t>
  </si>
  <si>
    <t>2021-10-05</t>
  </si>
  <si>
    <t>Daniel Swanson</t>
  </si>
  <si>
    <t>Patricia Harris</t>
  </si>
  <si>
    <t>Resigned</t>
  </si>
  <si>
    <t>Christian Valdez</t>
  </si>
  <si>
    <t>Jennifer Reilly</t>
  </si>
  <si>
    <t>David Chase</t>
  </si>
  <si>
    <t>Jeff Sanchez</t>
  </si>
  <si>
    <t>Julia Williams</t>
  </si>
  <si>
    <t>Ashley West</t>
  </si>
  <si>
    <t>Joseph Nichols</t>
  </si>
  <si>
    <t>Curtis Clark</t>
  </si>
  <si>
    <t>Richard Lane</t>
  </si>
  <si>
    <t>2022-06-14</t>
  </si>
  <si>
    <t>Elizabeth Dillon</t>
  </si>
  <si>
    <t>2024-01-18</t>
  </si>
  <si>
    <t>Sean Mcdonald</t>
  </si>
  <si>
    <t>Phillip Craig</t>
  </si>
  <si>
    <t>Charles Fowler</t>
  </si>
  <si>
    <t>John Lopez</t>
  </si>
  <si>
    <t>Elizabeth Mendez</t>
  </si>
  <si>
    <t>Kayla Herring</t>
  </si>
  <si>
    <t>2024-05-01</t>
  </si>
  <si>
    <t>Nathan Salas</t>
  </si>
  <si>
    <t>Courtney Smith DVM</t>
  </si>
  <si>
    <t>Sherry Ritter</t>
  </si>
  <si>
    <t>Susan Nelson</t>
  </si>
  <si>
    <t>2024-08-20</t>
  </si>
  <si>
    <t>Kyle Bradshaw</t>
  </si>
  <si>
    <t>Clayton Smith</t>
  </si>
  <si>
    <t>Mr. Michael Kirk DDS</t>
  </si>
  <si>
    <t>2022-09-19</t>
  </si>
  <si>
    <t>Cindy Hart</t>
  </si>
  <si>
    <t>Lisa Morgan</t>
  </si>
  <si>
    <t>Adrienne Hicks</t>
  </si>
  <si>
    <t>Stephanie Leonard</t>
  </si>
  <si>
    <t>2021-08-05</t>
  </si>
  <si>
    <t>Robert Roach</t>
  </si>
  <si>
    <t>2022-03-25</t>
  </si>
  <si>
    <t>Thomas Cummings</t>
  </si>
  <si>
    <t>Christopher Perry</t>
  </si>
  <si>
    <t>Shannon Hatfield</t>
  </si>
  <si>
    <t>Cindy Flores</t>
  </si>
  <si>
    <t>Hayley Wall</t>
  </si>
  <si>
    <t>Danny Lopez</t>
  </si>
  <si>
    <t>Michael Garrison</t>
  </si>
  <si>
    <t>Michael Phillips</t>
  </si>
  <si>
    <t>Elizabeth Mayer</t>
  </si>
  <si>
    <t>Michael Gonzalez</t>
  </si>
  <si>
    <t>Courtney Wilcox</t>
  </si>
  <si>
    <t>2022-11-07</t>
  </si>
  <si>
    <t>Madison Griffin</t>
  </si>
  <si>
    <t>Miss Michele Valdez</t>
  </si>
  <si>
    <t>2024-07-13</t>
  </si>
  <si>
    <t>Michael Sawyer</t>
  </si>
  <si>
    <t>Edward Mueller</t>
  </si>
  <si>
    <t>Rose Romero</t>
  </si>
  <si>
    <t>2022-11-10</t>
  </si>
  <si>
    <t>Mark Lopez</t>
  </si>
  <si>
    <t>Ronald Silva</t>
  </si>
  <si>
    <t>Elizabeth Webb</t>
  </si>
  <si>
    <t>2025-07-26</t>
  </si>
  <si>
    <t>Jackson Parker</t>
  </si>
  <si>
    <t>Jeffrey Morgan</t>
  </si>
  <si>
    <t>2022-09-20</t>
  </si>
  <si>
    <t>Michael Kane</t>
  </si>
  <si>
    <t>Julie Nguyen</t>
  </si>
  <si>
    <t>2025-05-16</t>
  </si>
  <si>
    <t>Caitlin Simmons</t>
  </si>
  <si>
    <t>William Mcmillan</t>
  </si>
  <si>
    <t>Brian Moore</t>
  </si>
  <si>
    <t>Kevin Mckenzie</t>
  </si>
  <si>
    <t>Melissa Beck</t>
  </si>
  <si>
    <t>Stephanie Armstrong</t>
  </si>
  <si>
    <t>2023-09-08</t>
  </si>
  <si>
    <t>Nicole Foley</t>
  </si>
  <si>
    <t>Kristen Cisneros</t>
  </si>
  <si>
    <t>Christopher Harrington</t>
  </si>
  <si>
    <t>Crystal Schneider</t>
  </si>
  <si>
    <t>Stephanie Price</t>
  </si>
  <si>
    <t>Christopher Griffin</t>
  </si>
  <si>
    <t>2022-05-04</t>
  </si>
  <si>
    <t>Joshua Harris</t>
  </si>
  <si>
    <t>Jose Moran</t>
  </si>
  <si>
    <t>Christina Rhodes</t>
  </si>
  <si>
    <t>Ashley Harmon</t>
  </si>
  <si>
    <t>Mr. Timothy Green PhD</t>
  </si>
  <si>
    <t>Hayden Ferrell</t>
  </si>
  <si>
    <t>Mary Davis</t>
  </si>
  <si>
    <t>Glenn Carter</t>
  </si>
  <si>
    <t>2025-09-23</t>
  </si>
  <si>
    <t>Caitlin Lowe</t>
  </si>
  <si>
    <t>Angela Lynn</t>
  </si>
  <si>
    <t>2021-03-03</t>
  </si>
  <si>
    <t>Nathan Banks</t>
  </si>
  <si>
    <t>2022-06-13</t>
  </si>
  <si>
    <t>Emily Frederick</t>
  </si>
  <si>
    <t>Sandra Martin</t>
  </si>
  <si>
    <t>Ricky Jackson</t>
  </si>
  <si>
    <t>Brittany Cook</t>
  </si>
  <si>
    <t>Corey Adams</t>
  </si>
  <si>
    <t>2021-11-13</t>
  </si>
  <si>
    <t>Destiny Newman</t>
  </si>
  <si>
    <t>2023-11-16</t>
  </si>
  <si>
    <t>John Johnson</t>
  </si>
  <si>
    <t>2021-11-14</t>
  </si>
  <si>
    <t>Rachel Welch</t>
  </si>
  <si>
    <t>Suzanne Beard</t>
  </si>
  <si>
    <t>Marcus Serrano</t>
  </si>
  <si>
    <t>Jean Berg</t>
  </si>
  <si>
    <t>Tiffany Wilkerson MD</t>
  </si>
  <si>
    <t>2022-01-31</t>
  </si>
  <si>
    <t>James Yates</t>
  </si>
  <si>
    <t>Tyler Washington</t>
  </si>
  <si>
    <t>Joshua Williams</t>
  </si>
  <si>
    <t>2023-05-07</t>
  </si>
  <si>
    <t>Christina Baxter</t>
  </si>
  <si>
    <t>Debra Hoffman</t>
  </si>
  <si>
    <t>2025-03-18</t>
  </si>
  <si>
    <t>Ryan Carter</t>
  </si>
  <si>
    <t>Paul Williams</t>
  </si>
  <si>
    <t>2021-01-20</t>
  </si>
  <si>
    <t>William Vaughan</t>
  </si>
  <si>
    <t>Eric Holmes</t>
  </si>
  <si>
    <t>Gregory Landry</t>
  </si>
  <si>
    <t>2021-10-31</t>
  </si>
  <si>
    <t>Jason Smith</t>
  </si>
  <si>
    <t>Michael Wyatt</t>
  </si>
  <si>
    <t>Seth Rodriguez</t>
  </si>
  <si>
    <t>Linda Davis</t>
  </si>
  <si>
    <t>2022-06-17</t>
  </si>
  <si>
    <t>Angela Mcgrath</t>
  </si>
  <si>
    <t>Jenna Gutierrez</t>
  </si>
  <si>
    <t>Judy Farmer</t>
  </si>
  <si>
    <t>Shane Lester MD</t>
  </si>
  <si>
    <t>2024-06-17</t>
  </si>
  <si>
    <t>Thomas Cobb</t>
  </si>
  <si>
    <t>Anthony Coleman</t>
  </si>
  <si>
    <t>Elizabeth Santos</t>
  </si>
  <si>
    <t>Briana Hill</t>
  </si>
  <si>
    <t>2024-08-25</t>
  </si>
  <si>
    <t>Carlos King</t>
  </si>
  <si>
    <t>Thomas Smith</t>
  </si>
  <si>
    <t>2023-10-29</t>
  </si>
  <si>
    <t>Anthony White</t>
  </si>
  <si>
    <t>Xavier Walker</t>
  </si>
  <si>
    <t>Andrea Morris</t>
  </si>
  <si>
    <t>2022-03-03</t>
  </si>
  <si>
    <t>Carrie Kramer</t>
  </si>
  <si>
    <t>David Horton</t>
  </si>
  <si>
    <t>Bridget Pierce</t>
  </si>
  <si>
    <t>2024-05-16</t>
  </si>
  <si>
    <t>David Brown</t>
  </si>
  <si>
    <t>Evan Ali</t>
  </si>
  <si>
    <t>Jill Bush</t>
  </si>
  <si>
    <t>Steven Simpson</t>
  </si>
  <si>
    <t>Timothy Nelson</t>
  </si>
  <si>
    <t>Edward Harris</t>
  </si>
  <si>
    <t>2023-08-13</t>
  </si>
  <si>
    <t>Keith Walton</t>
  </si>
  <si>
    <t>Tammy Taylor</t>
  </si>
  <si>
    <t>Patrick Juarez</t>
  </si>
  <si>
    <t>Pamela Woods</t>
  </si>
  <si>
    <t>Tina Mcdonald</t>
  </si>
  <si>
    <t>Lisa Malone</t>
  </si>
  <si>
    <t>Robert Robinson</t>
  </si>
  <si>
    <t>Robert Hernandez</t>
  </si>
  <si>
    <t>2024-09-02</t>
  </si>
  <si>
    <t>Linda Mcdonald</t>
  </si>
  <si>
    <t>2021-09-19</t>
  </si>
  <si>
    <t>Johnny Hardin</t>
  </si>
  <si>
    <t>Nicole Adkins</t>
  </si>
  <si>
    <t>2025-08-25</t>
  </si>
  <si>
    <t>April Byrd</t>
  </si>
  <si>
    <t>Mario Hawkins</t>
  </si>
  <si>
    <t>2021-04-27</t>
  </si>
  <si>
    <t>2021-01-17</t>
  </si>
  <si>
    <t>Danielle Osborn</t>
  </si>
  <si>
    <t>John Hines</t>
  </si>
  <si>
    <t>Lee Martin</t>
  </si>
  <si>
    <t>2023-12-19</t>
  </si>
  <si>
    <t>Madison Payne</t>
  </si>
  <si>
    <t>Lindsey Kelly</t>
  </si>
  <si>
    <t>2024-05-15</t>
  </si>
  <si>
    <t>2023-04-04</t>
  </si>
  <si>
    <t>Vincent Sharp</t>
  </si>
  <si>
    <t>Chad Campos</t>
  </si>
  <si>
    <t>Kerry Robertson</t>
  </si>
  <si>
    <t>Adrian Cox</t>
  </si>
  <si>
    <t>Mr. Joshua Mccarthy</t>
  </si>
  <si>
    <t>Megan Chandler</t>
  </si>
  <si>
    <t>Chad Norman</t>
  </si>
  <si>
    <t>David Williams</t>
  </si>
  <si>
    <t>2025-09-16</t>
  </si>
  <si>
    <t>Christopher Harrison</t>
  </si>
  <si>
    <t>Laura Coleman</t>
  </si>
  <si>
    <t>2023-08-27</t>
  </si>
  <si>
    <t>Christopher Macias</t>
  </si>
  <si>
    <t>Seth Robles</t>
  </si>
  <si>
    <t>2021-08-27</t>
  </si>
  <si>
    <t>Daniel Moore</t>
  </si>
  <si>
    <t>2023-07-19</t>
  </si>
  <si>
    <t>Angela Vasquez</t>
  </si>
  <si>
    <t>Adrienne Small</t>
  </si>
  <si>
    <t>Gina Joseph</t>
  </si>
  <si>
    <t>Vanessa Eaton</t>
  </si>
  <si>
    <t>Jessica Hunt</t>
  </si>
  <si>
    <t>Jacob Mendez</t>
  </si>
  <si>
    <t>Randy Ferguson</t>
  </si>
  <si>
    <t>Daniel Johnson</t>
  </si>
  <si>
    <t>Michael Wallace</t>
  </si>
  <si>
    <t>Robert Hayes</t>
  </si>
  <si>
    <t>Holly Hayes</t>
  </si>
  <si>
    <t>2024-03-04</t>
  </si>
  <si>
    <t>Debra Gray</t>
  </si>
  <si>
    <t>2021-02-08</t>
  </si>
  <si>
    <t>Melissa Lutz</t>
  </si>
  <si>
    <t>2020-12-25</t>
  </si>
  <si>
    <t>Jennifer Jones</t>
  </si>
  <si>
    <t>Derek Moore</t>
  </si>
  <si>
    <t>Jacob Camacho</t>
  </si>
  <si>
    <t>Deanna Shaw</t>
  </si>
  <si>
    <t>2023-03-25</t>
  </si>
  <si>
    <t>Jesse Lucas</t>
  </si>
  <si>
    <t>2023-06-01</t>
  </si>
  <si>
    <t>Stephanie Molina</t>
  </si>
  <si>
    <t>Sylvia Rojas</t>
  </si>
  <si>
    <t>2022-03-27</t>
  </si>
  <si>
    <t>Justin Robles</t>
  </si>
  <si>
    <t>Samantha Leach</t>
  </si>
  <si>
    <t>Rebecca Butler</t>
  </si>
  <si>
    <t>Gerald Smith</t>
  </si>
  <si>
    <t>2020-11-19</t>
  </si>
  <si>
    <t>Brian Duncan</t>
  </si>
  <si>
    <t>Peter Richardson</t>
  </si>
  <si>
    <t>Luis Ruiz</t>
  </si>
  <si>
    <t>David Ross</t>
  </si>
  <si>
    <t>Caroline Santos</t>
  </si>
  <si>
    <t>2024-08-27</t>
  </si>
  <si>
    <t>Sherri Evans</t>
  </si>
  <si>
    <t>Amanda Butler</t>
  </si>
  <si>
    <t>Cassandra White</t>
  </si>
  <si>
    <t>Dana Eaton</t>
  </si>
  <si>
    <t>Joanne Wright</t>
  </si>
  <si>
    <t>2025-08-01</t>
  </si>
  <si>
    <t>John Spence</t>
  </si>
  <si>
    <t>Jason Beasley</t>
  </si>
  <si>
    <t>2020-12-28</t>
  </si>
  <si>
    <t>2023-03-26</t>
  </si>
  <si>
    <t>Nathaniel Burns</t>
  </si>
  <si>
    <t>Stacey Richards</t>
  </si>
  <si>
    <t>Darryl Hamilton</t>
  </si>
  <si>
    <t>2022-02-24</t>
  </si>
  <si>
    <t>Carrie Miller</t>
  </si>
  <si>
    <t>Ian Hunter</t>
  </si>
  <si>
    <t>Eduardo Smith</t>
  </si>
  <si>
    <t>Katherine Thomas</t>
  </si>
  <si>
    <t>Sara Howard</t>
  </si>
  <si>
    <t>Margaret Mueller</t>
  </si>
  <si>
    <t>Casey Tucker</t>
  </si>
  <si>
    <t>Jill Giles</t>
  </si>
  <si>
    <t>Mark Wells</t>
  </si>
  <si>
    <t>Jessica Sanchez</t>
  </si>
  <si>
    <t>2025-08-30</t>
  </si>
  <si>
    <t>Jordan Rivera</t>
  </si>
  <si>
    <t>2023-12-23</t>
  </si>
  <si>
    <t>Gregory Anderson</t>
  </si>
  <si>
    <t>James Vaughn</t>
  </si>
  <si>
    <t>Margaret Phillips</t>
  </si>
  <si>
    <t>2022-05-31</t>
  </si>
  <si>
    <t>Michael Massey</t>
  </si>
  <si>
    <t>Melinda Perry</t>
  </si>
  <si>
    <t>2022-08-13</t>
  </si>
  <si>
    <t>Derek Mendoza</t>
  </si>
  <si>
    <t>Eric Mercer</t>
  </si>
  <si>
    <t>Leah Watson</t>
  </si>
  <si>
    <t>Robert Phelps</t>
  </si>
  <si>
    <t>Samantha Wilson</t>
  </si>
  <si>
    <t>Brenda Ross</t>
  </si>
  <si>
    <t>Stephanie Murray</t>
  </si>
  <si>
    <t>2021-09-04</t>
  </si>
  <si>
    <t>Joshua Wiggins DDS</t>
  </si>
  <si>
    <t>2024-06-12</t>
  </si>
  <si>
    <t>Larry Mclaughlin</t>
  </si>
  <si>
    <t>Jose Clark</t>
  </si>
  <si>
    <t>Laura Riley</t>
  </si>
  <si>
    <t>2023-02-16</t>
  </si>
  <si>
    <t>Jessica Thomas</t>
  </si>
  <si>
    <t>James Taylor</t>
  </si>
  <si>
    <t>Jane Brooks</t>
  </si>
  <si>
    <t>Casey Hall</t>
  </si>
  <si>
    <t>Richard Guzman</t>
  </si>
  <si>
    <t>2022-12-12</t>
  </si>
  <si>
    <t>Johnathan Vance</t>
  </si>
  <si>
    <t>Michael Kelley</t>
  </si>
  <si>
    <t>Mary Simmons</t>
  </si>
  <si>
    <t>2025-01-07</t>
  </si>
  <si>
    <t>Joshua Hernandez</t>
  </si>
  <si>
    <t>Tara Ryan</t>
  </si>
  <si>
    <t>2024-06-04</t>
  </si>
  <si>
    <t>Chad Osborne</t>
  </si>
  <si>
    <t>Christopher Hoover</t>
  </si>
  <si>
    <t>Justin Steele</t>
  </si>
  <si>
    <t>Shawn Jones</t>
  </si>
  <si>
    <t>Ronald Pierce</t>
  </si>
  <si>
    <t>Ruth Price</t>
  </si>
  <si>
    <t>Shelley Parrish</t>
  </si>
  <si>
    <t>Kristy Hill</t>
  </si>
  <si>
    <t>2022-10-27</t>
  </si>
  <si>
    <t>Janice Beard</t>
  </si>
  <si>
    <t>Thomas Hill</t>
  </si>
  <si>
    <t>2022-04-22</t>
  </si>
  <si>
    <t>Carla Burton</t>
  </si>
  <si>
    <t>Tammy Singh</t>
  </si>
  <si>
    <t>Brad Hudson</t>
  </si>
  <si>
    <t>2021-06-13</t>
  </si>
  <si>
    <t>2024-02-17</t>
  </si>
  <si>
    <t>Ricky Ellis</t>
  </si>
  <si>
    <t>Jade Phillips</t>
  </si>
  <si>
    <t>James Webb</t>
  </si>
  <si>
    <t>Crystal Fisher</t>
  </si>
  <si>
    <t>Sylvia Edwards</t>
  </si>
  <si>
    <t>Crystal Bailey</t>
  </si>
  <si>
    <t>Ashley Lozano</t>
  </si>
  <si>
    <t>Eileen Miller</t>
  </si>
  <si>
    <t>2023-12-14</t>
  </si>
  <si>
    <t>Leslie Patrick</t>
  </si>
  <si>
    <t>Shawn Lawson</t>
  </si>
  <si>
    <t>Mikayla Collins</t>
  </si>
  <si>
    <t>Joseph Rodriguez</t>
  </si>
  <si>
    <t>Christopher Rush</t>
  </si>
  <si>
    <t>Kelly Carey</t>
  </si>
  <si>
    <t>Carolyn Cook</t>
  </si>
  <si>
    <t>2022-07-16</t>
  </si>
  <si>
    <t>Kirk Morris</t>
  </si>
  <si>
    <t>Blake Howard</t>
  </si>
  <si>
    <t>Benjamin Butler</t>
  </si>
  <si>
    <t>Rebecca Mendez</t>
  </si>
  <si>
    <t>Diane Nunez</t>
  </si>
  <si>
    <t>William Roy</t>
  </si>
  <si>
    <t>Brian Burch</t>
  </si>
  <si>
    <t>2025-10-01</t>
  </si>
  <si>
    <t>Patricia Drake</t>
  </si>
  <si>
    <t>Jacqueline Walsh</t>
  </si>
  <si>
    <t>Kathryn Shepherd</t>
  </si>
  <si>
    <t>2024-10-10</t>
  </si>
  <si>
    <t>Miss Lisa Pena</t>
  </si>
  <si>
    <t>Laura Garcia</t>
  </si>
  <si>
    <t>Thomas Lester</t>
  </si>
  <si>
    <t>2022-03-18</t>
  </si>
  <si>
    <t>Jason Castillo</t>
  </si>
  <si>
    <t>Ms. Lauren Woods</t>
  </si>
  <si>
    <t>2022-10-09</t>
  </si>
  <si>
    <t>Terry Morgan</t>
  </si>
  <si>
    <t>Jennifer Stone</t>
  </si>
  <si>
    <t>Michelle Schroeder</t>
  </si>
  <si>
    <t>Aaron Sanchez</t>
  </si>
  <si>
    <t>Kendra Blair</t>
  </si>
  <si>
    <t>2023-08-23</t>
  </si>
  <si>
    <t>Patrick Roberts</t>
  </si>
  <si>
    <t>2025-10-16</t>
  </si>
  <si>
    <t>Amanda Sanders</t>
  </si>
  <si>
    <t>Daniel Williams</t>
  </si>
  <si>
    <t>Daniel Smith</t>
  </si>
  <si>
    <t>Joseph James</t>
  </si>
  <si>
    <t>2022-12-20</t>
  </si>
  <si>
    <t>Ryan Harris</t>
  </si>
  <si>
    <t>Vicki Smith</t>
  </si>
  <si>
    <t>Renee Mason</t>
  </si>
  <si>
    <t>Randy Brown PhD</t>
  </si>
  <si>
    <t>2024-12-23</t>
  </si>
  <si>
    <t>Steven Baker</t>
  </si>
  <si>
    <t>Elizabeth Walker</t>
  </si>
  <si>
    <t>Christopher Johnson</t>
  </si>
  <si>
    <t>Cynthia Jordan</t>
  </si>
  <si>
    <t>David Miller</t>
  </si>
  <si>
    <t>Aaron Choi</t>
  </si>
  <si>
    <t>Kim Flowers</t>
  </si>
  <si>
    <t>2021-06-30</t>
  </si>
  <si>
    <t>James Green</t>
  </si>
  <si>
    <t>Andrew Joseph</t>
  </si>
  <si>
    <t>Andrew Thompson</t>
  </si>
  <si>
    <t>Timothy Andrews</t>
  </si>
  <si>
    <t>2023-03-31</t>
  </si>
  <si>
    <t>Mario Olson</t>
  </si>
  <si>
    <t>Shawn Weber</t>
  </si>
  <si>
    <t>Marisa Gutierrez</t>
  </si>
  <si>
    <t>2021-06-17</t>
  </si>
  <si>
    <t>James James</t>
  </si>
  <si>
    <t>Richard Holmes</t>
  </si>
  <si>
    <t>Stephanie Snyder</t>
  </si>
  <si>
    <t>Wesley Parker</t>
  </si>
  <si>
    <t>Mr. Daryl Williams MD</t>
  </si>
  <si>
    <t>Emily Frank</t>
  </si>
  <si>
    <t>Michael Cabrera</t>
  </si>
  <si>
    <t>2024-02-04</t>
  </si>
  <si>
    <t>James Collins</t>
  </si>
  <si>
    <t>Alan Woods</t>
  </si>
  <si>
    <t>Terry Reyes</t>
  </si>
  <si>
    <t>James Hardy</t>
  </si>
  <si>
    <t>Lindsay Brown</t>
  </si>
  <si>
    <t>Jessica Oliver</t>
  </si>
  <si>
    <t>2025-04-14</t>
  </si>
  <si>
    <t>John Fitzpatrick</t>
  </si>
  <si>
    <t>Mary Barnes</t>
  </si>
  <si>
    <t>Kristina Roman</t>
  </si>
  <si>
    <t>Mary Sexton</t>
  </si>
  <si>
    <t>Vicki Walker</t>
  </si>
  <si>
    <t>Michelle Lewis</t>
  </si>
  <si>
    <t>2023-07-30</t>
  </si>
  <si>
    <t>Rachel Nguyen</t>
  </si>
  <si>
    <t>Christian Hinton DDS</t>
  </si>
  <si>
    <t>Jennifer Reynolds</t>
  </si>
  <si>
    <t>2023-09-02</t>
  </si>
  <si>
    <t>Mrs. Kimberly Guerrero</t>
  </si>
  <si>
    <t>2023-12-28</t>
  </si>
  <si>
    <t>Christine Garcia</t>
  </si>
  <si>
    <t>2022-08-30</t>
  </si>
  <si>
    <t>Mallory Tran</t>
  </si>
  <si>
    <t>2023-02-17</t>
  </si>
  <si>
    <t>Melissa Martin</t>
  </si>
  <si>
    <t>Danielle Oconnor</t>
  </si>
  <si>
    <t>Jon Garcia</t>
  </si>
  <si>
    <t>Courtney Adams</t>
  </si>
  <si>
    <t>Jasmine Guerrero</t>
  </si>
  <si>
    <t>Jessica Barber</t>
  </si>
  <si>
    <t>2021-04-04</t>
  </si>
  <si>
    <t>Amanda Edwards</t>
  </si>
  <si>
    <t>Jennifer Hansen</t>
  </si>
  <si>
    <t>Sylvia Avila</t>
  </si>
  <si>
    <t>Amanda Turner</t>
  </si>
  <si>
    <t>2022-08-24</t>
  </si>
  <si>
    <t>Mary Brown</t>
  </si>
  <si>
    <t>2022-06-28</t>
  </si>
  <si>
    <t>Lindsey Lee</t>
  </si>
  <si>
    <t>Sarah Taylor</t>
  </si>
  <si>
    <t>2025-02-16</t>
  </si>
  <si>
    <t>Andrew Howard</t>
  </si>
  <si>
    <t>2024-07-24</t>
  </si>
  <si>
    <t>Timothy Jenkins</t>
  </si>
  <si>
    <t>Kristina Lane</t>
  </si>
  <si>
    <t>Kathleen Kennedy</t>
  </si>
  <si>
    <t>Eric Stein</t>
  </si>
  <si>
    <t>2021-04-13</t>
  </si>
  <si>
    <t>Erin Reyes</t>
  </si>
  <si>
    <t>2025-04-07</t>
  </si>
  <si>
    <t>Michael Davis</t>
  </si>
  <si>
    <t>2022-12-27</t>
  </si>
  <si>
    <t>Gregory Williams</t>
  </si>
  <si>
    <t>Donna Davila</t>
  </si>
  <si>
    <t>Shawn Carter</t>
  </si>
  <si>
    <t>Todd Gonzalez</t>
  </si>
  <si>
    <t>2025-07-09</t>
  </si>
  <si>
    <t>Cody Mitchell</t>
  </si>
  <si>
    <t>Renee Kaufman</t>
  </si>
  <si>
    <t>2025-01-02</t>
  </si>
  <si>
    <t>Jason Mccoy</t>
  </si>
  <si>
    <t>Sandra Adams</t>
  </si>
  <si>
    <t>John Park</t>
  </si>
  <si>
    <t>Carly Sharp</t>
  </si>
  <si>
    <t>2024-03-01</t>
  </si>
  <si>
    <t>Kevin Duncan</t>
  </si>
  <si>
    <t>Meagan Reed</t>
  </si>
  <si>
    <t>Lindsey Williams</t>
  </si>
  <si>
    <t>William Lopez</t>
  </si>
  <si>
    <t>Melissa Mcdonald</t>
  </si>
  <si>
    <t>2022-09-03</t>
  </si>
  <si>
    <t>Sara Brown MD</t>
  </si>
  <si>
    <t>William Gibson</t>
  </si>
  <si>
    <t>Dominique Elliott</t>
  </si>
  <si>
    <t>Kimberly Martin</t>
  </si>
  <si>
    <t>2023-09-11</t>
  </si>
  <si>
    <t>Alexander Payne</t>
  </si>
  <si>
    <t>2022-02-08</t>
  </si>
  <si>
    <t>James Martin</t>
  </si>
  <si>
    <t>Jose Roberts</t>
  </si>
  <si>
    <t>Edward Spencer</t>
  </si>
  <si>
    <t>2021-02-21</t>
  </si>
  <si>
    <t>Mary Richmond</t>
  </si>
  <si>
    <t>2024-08-12</t>
  </si>
  <si>
    <t>Christopher Mason</t>
  </si>
  <si>
    <t>Peter Morales</t>
  </si>
  <si>
    <t>Kayla Peck</t>
  </si>
  <si>
    <t>Carl Gallagher</t>
  </si>
  <si>
    <t>2022-08-26</t>
  </si>
  <si>
    <t>Jason Adkins</t>
  </si>
  <si>
    <t>Dana Shields</t>
  </si>
  <si>
    <t>Jennifer Fleming</t>
  </si>
  <si>
    <t>2025-01-18</t>
  </si>
  <si>
    <t>Dawn Hernandez</t>
  </si>
  <si>
    <t>Megan Brown</t>
  </si>
  <si>
    <t>Karen Strickland</t>
  </si>
  <si>
    <t>2023-06-13</t>
  </si>
  <si>
    <t>Ashley Gaines</t>
  </si>
  <si>
    <t>Gina Farmer</t>
  </si>
  <si>
    <t>2025-10-31</t>
  </si>
  <si>
    <t>Kylie Mckinney</t>
  </si>
  <si>
    <t>2024-09-23</t>
  </si>
  <si>
    <t>Jonathan Blair</t>
  </si>
  <si>
    <t>2023-10-05</t>
  </si>
  <si>
    <t>Heather Blair</t>
  </si>
  <si>
    <t>2021-12-21</t>
  </si>
  <si>
    <t>Lisa Thomas</t>
  </si>
  <si>
    <t>Bryan Schroeder</t>
  </si>
  <si>
    <t>2025-06-08</t>
  </si>
  <si>
    <t>April Snyder</t>
  </si>
  <si>
    <t>Sarah Kennedy</t>
  </si>
  <si>
    <t>2022-07-10</t>
  </si>
  <si>
    <t>Timothy Mitchell</t>
  </si>
  <si>
    <t>Christopher Taylor</t>
  </si>
  <si>
    <t>Michael Malone</t>
  </si>
  <si>
    <t>Paul Ayala</t>
  </si>
  <si>
    <t>Kenneth Smith</t>
  </si>
  <si>
    <t>Connie Walker</t>
  </si>
  <si>
    <t>2021-12-19</t>
  </si>
  <si>
    <t>Jamie Shah</t>
  </si>
  <si>
    <t>Matthew Bell</t>
  </si>
  <si>
    <t>Cheryl Luna</t>
  </si>
  <si>
    <t>Steven Cook</t>
  </si>
  <si>
    <t>John Nunez</t>
  </si>
  <si>
    <t>James Harris</t>
  </si>
  <si>
    <t>Jennifer Barker</t>
  </si>
  <si>
    <t>Jennifer Riggs</t>
  </si>
  <si>
    <t>Matthew Gordon</t>
  </si>
  <si>
    <t>2025-07-19</t>
  </si>
  <si>
    <t>Richard Flowers</t>
  </si>
  <si>
    <t>Ashley Smith</t>
  </si>
  <si>
    <t>Jeremiah Rodriguez</t>
  </si>
  <si>
    <t>Daniel Hampton</t>
  </si>
  <si>
    <t>Adam Weaver</t>
  </si>
  <si>
    <t>Cody Jackson</t>
  </si>
  <si>
    <t>Courtney Mccann</t>
  </si>
  <si>
    <t>Gabriel House</t>
  </si>
  <si>
    <t>Anne Wright</t>
  </si>
  <si>
    <t>Melanie Martinez</t>
  </si>
  <si>
    <t>Tyler Mathis</t>
  </si>
  <si>
    <t>Laura Griffin</t>
  </si>
  <si>
    <t>2023-08-15</t>
  </si>
  <si>
    <t>Ricky Martinez</t>
  </si>
  <si>
    <t>2021-04-02</t>
  </si>
  <si>
    <t>Jennifer Spence</t>
  </si>
  <si>
    <t>2022-12-31</t>
  </si>
  <si>
    <t>Adrian Reyes</t>
  </si>
  <si>
    <t>Shawna Zamora DDS</t>
  </si>
  <si>
    <t>2022-04-05</t>
  </si>
  <si>
    <t>Andrew Jackson</t>
  </si>
  <si>
    <t>Miss Amber Gray MD</t>
  </si>
  <si>
    <t>Sarah Sanchez</t>
  </si>
  <si>
    <t>Jose Hunt</t>
  </si>
  <si>
    <t>2021-11-29</t>
  </si>
  <si>
    <t>Michelle Brown</t>
  </si>
  <si>
    <t>Anne Hernandez</t>
  </si>
  <si>
    <t>Kevin Ortiz</t>
  </si>
  <si>
    <t>2024-03-23</t>
  </si>
  <si>
    <t>Kimberly Hernandez</t>
  </si>
  <si>
    <t>Kristy Lewis</t>
  </si>
  <si>
    <t>Amanda Cole</t>
  </si>
  <si>
    <t>Renee Murphy</t>
  </si>
  <si>
    <t>Kevin Austin</t>
  </si>
  <si>
    <t>Mary Norton</t>
  </si>
  <si>
    <t>2025-02-13</t>
  </si>
  <si>
    <t>Scott Davis</t>
  </si>
  <si>
    <t>Lisa Woods</t>
  </si>
  <si>
    <t>Ashley Moreno</t>
  </si>
  <si>
    <t>Jennifer White</t>
  </si>
  <si>
    <t>2023-09-06</t>
  </si>
  <si>
    <t>Tanner Hoover</t>
  </si>
  <si>
    <t>Jimmy Booker</t>
  </si>
  <si>
    <t>Dr. Angela Mcguire MD</t>
  </si>
  <si>
    <t>2024-12-24</t>
  </si>
  <si>
    <t>Michael Lopez</t>
  </si>
  <si>
    <t>Noah Adams</t>
  </si>
  <si>
    <t>John Gallagher</t>
  </si>
  <si>
    <t>Mary Fisher</t>
  </si>
  <si>
    <t>William Lucas</t>
  </si>
  <si>
    <t>Joshua Golden</t>
  </si>
  <si>
    <t>2025-01-10</t>
  </si>
  <si>
    <t>Andre Hernandez</t>
  </si>
  <si>
    <t>Danielle Green</t>
  </si>
  <si>
    <t>Paige Odom</t>
  </si>
  <si>
    <t>Kimberly Parsons</t>
  </si>
  <si>
    <t>Christina Ramos</t>
  </si>
  <si>
    <t>Penny Church</t>
  </si>
  <si>
    <t>2023-12-20</t>
  </si>
  <si>
    <t>Vanessa Cole</t>
  </si>
  <si>
    <t>Margaret Barnes</t>
  </si>
  <si>
    <t>Blake Aguilar</t>
  </si>
  <si>
    <t>Lisa Andrews</t>
  </si>
  <si>
    <t>Mark Garcia</t>
  </si>
  <si>
    <t>2024-06-14</t>
  </si>
  <si>
    <t>Erin Butler</t>
  </si>
  <si>
    <t>2021-03-30</t>
  </si>
  <si>
    <t>Betty Nicholson</t>
  </si>
  <si>
    <t>Lindsay Vasquez</t>
  </si>
  <si>
    <t>Brandon Williams</t>
  </si>
  <si>
    <t>Daniel Frederick</t>
  </si>
  <si>
    <t>Molly Sutton</t>
  </si>
  <si>
    <t>2025-05-03</t>
  </si>
  <si>
    <t>Ariel Little</t>
  </si>
  <si>
    <t>Juan Bradshaw</t>
  </si>
  <si>
    <t>Catherine Williams</t>
  </si>
  <si>
    <t>2023-04-07</t>
  </si>
  <si>
    <t>2020-12-18</t>
  </si>
  <si>
    <t>Thomas Adams</t>
  </si>
  <si>
    <t>2022-02-06</t>
  </si>
  <si>
    <t>Jacob Smith</t>
  </si>
  <si>
    <t>2022-07-14</t>
  </si>
  <si>
    <t>Shannon Santana</t>
  </si>
  <si>
    <t>Nicholas Johnson</t>
  </si>
  <si>
    <t>Melissa Salazar</t>
  </si>
  <si>
    <t>2024-05-04</t>
  </si>
  <si>
    <t>Lawrence Williams</t>
  </si>
  <si>
    <t>William Cole</t>
  </si>
  <si>
    <t>2021-05-04</t>
  </si>
  <si>
    <t>Christina Turner</t>
  </si>
  <si>
    <t>Jose Miles</t>
  </si>
  <si>
    <t>Michael Buckley</t>
  </si>
  <si>
    <t>2024-05-20</t>
  </si>
  <si>
    <t>Kathleen Bennett</t>
  </si>
  <si>
    <t>2021-11-20</t>
  </si>
  <si>
    <t>Diana Lozano</t>
  </si>
  <si>
    <t>Parker Saunders</t>
  </si>
  <si>
    <t>Jeremy Gonzalez</t>
  </si>
  <si>
    <t>James Stafford</t>
  </si>
  <si>
    <t>Marilyn French</t>
  </si>
  <si>
    <t>Melissa Thompson</t>
  </si>
  <si>
    <t>John Floyd</t>
  </si>
  <si>
    <t>Jessica Burton</t>
  </si>
  <si>
    <t>Jesse Davis</t>
  </si>
  <si>
    <t>EmployeeName</t>
  </si>
  <si>
    <t>MaritialStatus</t>
  </si>
  <si>
    <t>EmployeSatisfaction</t>
  </si>
  <si>
    <t>LastPerformanceReview</t>
  </si>
  <si>
    <t>Wilson Adinolfi</t>
  </si>
  <si>
    <t>Male</t>
  </si>
  <si>
    <t>Very Satisfied</t>
  </si>
  <si>
    <t>Karthikeyan Ait Sidi</t>
  </si>
  <si>
    <t>Neutral</t>
  </si>
  <si>
    <t>Sarah Akinkuolie</t>
  </si>
  <si>
    <t>Female</t>
  </si>
  <si>
    <t>Trina Alagbe</t>
  </si>
  <si>
    <t>Carol Anderson</t>
  </si>
  <si>
    <t>Satisfied</t>
  </si>
  <si>
    <t>Linda Anderson</t>
  </si>
  <si>
    <t>Colby Andreola</t>
  </si>
  <si>
    <t>Sam Athwal</t>
  </si>
  <si>
    <t>Linda Bachiochi</t>
  </si>
  <si>
    <t>Alejandro Bacong</t>
  </si>
  <si>
    <t>Rachael Baczenski</t>
  </si>
  <si>
    <t>Thomas Barbara</t>
  </si>
  <si>
    <t>Hector Barbossa</t>
  </si>
  <si>
    <t>Francesco Barone</t>
  </si>
  <si>
    <t>Nader Barton</t>
  </si>
  <si>
    <t>Norman Bates</t>
  </si>
  <si>
    <t>Kimberly Beak</t>
  </si>
  <si>
    <t>Courtney Beatrice</t>
  </si>
  <si>
    <t>Renee Becker</t>
  </si>
  <si>
    <t>Sean Bernstein</t>
  </si>
  <si>
    <t>Lowan Biden</t>
  </si>
  <si>
    <t>Helen Billis</t>
  </si>
  <si>
    <t>Dianna Blount</t>
  </si>
  <si>
    <t>Betsy Bondwell</t>
  </si>
  <si>
    <t>Frank Booth</t>
  </si>
  <si>
    <t>Bonalyn Boutwell</t>
  </si>
  <si>
    <t>Charles Bozzi</t>
  </si>
  <si>
    <t>Donna Brill</t>
  </si>
  <si>
    <t>Mia Brown</t>
  </si>
  <si>
    <t>Dissatisfied</t>
  </si>
  <si>
    <t>Josephine Bugali</t>
  </si>
  <si>
    <t>Seperated</t>
  </si>
  <si>
    <t>Jessica Bunbury</t>
  </si>
  <si>
    <t>Joelle Burke</t>
  </si>
  <si>
    <t>Benjamin Burkett</t>
  </si>
  <si>
    <t>Max Cady</t>
  </si>
  <si>
    <t>Calvin Candie</t>
  </si>
  <si>
    <t>Judith Carabbio</t>
  </si>
  <si>
    <t>Michael Carey</t>
  </si>
  <si>
    <t>Claudia Carr</t>
  </si>
  <si>
    <t>Michelle Carter</t>
  </si>
  <si>
    <t>Beatrice Chace</t>
  </si>
  <si>
    <t>Lin Chan</t>
  </si>
  <si>
    <t>Anton Chigurh</t>
  </si>
  <si>
    <t>Enola Chivukula</t>
  </si>
  <si>
    <t>Caroline Cierpiszewski</t>
  </si>
  <si>
    <t>Rick Clayton</t>
  </si>
  <si>
    <t>Jennifer Cloninger</t>
  </si>
  <si>
    <t>Phil Close</t>
  </si>
  <si>
    <t>Elijian Clukey</t>
  </si>
  <si>
    <t>James Cockel</t>
  </si>
  <si>
    <t>Spencer Cole</t>
  </si>
  <si>
    <t>Michael Corleone</t>
  </si>
  <si>
    <t>Vito Corleone</t>
  </si>
  <si>
    <t>Lisa Cornett</t>
  </si>
  <si>
    <t>Frank Costello</t>
  </si>
  <si>
    <t>Jean Crimmings</t>
  </si>
  <si>
    <t>Noah Cross</t>
  </si>
  <si>
    <t>Ann Daniele</t>
  </si>
  <si>
    <t>Jene'ya Darson</t>
  </si>
  <si>
    <t>Daniel Davis</t>
  </si>
  <si>
    <t>Randy Dee</t>
  </si>
  <si>
    <t>James DeGweck</t>
  </si>
  <si>
    <t>Keyla Del Bosque</t>
  </si>
  <si>
    <t>Alex Delarge</t>
  </si>
  <si>
    <t>Carla Demita</t>
  </si>
  <si>
    <t>Carl Desimone</t>
  </si>
  <si>
    <t>Tommy DeVito</t>
  </si>
  <si>
    <t>Geoff Dickinson</t>
  </si>
  <si>
    <t>Jenna Dietrich</t>
  </si>
  <si>
    <t>Very Dissatisfied</t>
  </si>
  <si>
    <t>Lily DiNocco</t>
  </si>
  <si>
    <t>Denisa Dobrin</t>
  </si>
  <si>
    <t>Linda Dolan</t>
  </si>
  <si>
    <t>Elle Driver</t>
  </si>
  <si>
    <t>Amy Dunne</t>
  </si>
  <si>
    <t>Marianne Eaton</t>
  </si>
  <si>
    <t>Jean Engdahl</t>
  </si>
  <si>
    <t>Rex England</t>
  </si>
  <si>
    <t>Angela Erilus</t>
  </si>
  <si>
    <t>Miguel Estremera</t>
  </si>
  <si>
    <t>April Evensen</t>
  </si>
  <si>
    <t>Susan Exantus</t>
  </si>
  <si>
    <t>Megan Faller</t>
  </si>
  <si>
    <t>Susan Ferguson</t>
  </si>
  <si>
    <t>Nilson Fernandes</t>
  </si>
  <si>
    <t>Boba Fett</t>
  </si>
  <si>
    <t>Libby Fidelia</t>
  </si>
  <si>
    <t>Michael Fitzpatrick</t>
  </si>
  <si>
    <t>Tanya Foreman</t>
  </si>
  <si>
    <t>Alex Forrest</t>
  </si>
  <si>
    <t>Jason Foss</t>
  </si>
  <si>
    <t>Amy Foster-Baker</t>
  </si>
  <si>
    <t>Maruk Fraval</t>
  </si>
  <si>
    <t>Lisa Galia</t>
  </si>
  <si>
    <t>Raul Garcia</t>
  </si>
  <si>
    <t>Barbara Gaul</t>
  </si>
  <si>
    <t>Mildred Gentry</t>
  </si>
  <si>
    <t>Melisa Gerke</t>
  </si>
  <si>
    <t>Whitney Gill</t>
  </si>
  <si>
    <t>Alex Gilles</t>
  </si>
  <si>
    <t>Evelyn Girifalco</t>
  </si>
  <si>
    <t>Myriam Givens</t>
  </si>
  <si>
    <t>Taisha Goble</t>
  </si>
  <si>
    <t>Amon Goeth</t>
  </si>
  <si>
    <t>Shenice Gold</t>
  </si>
  <si>
    <t>Cayo Gonzalez</t>
  </si>
  <si>
    <t>Juan Gonzalez</t>
  </si>
  <si>
    <t>Maria Gonzalez</t>
  </si>
  <si>
    <t>Susan Good</t>
  </si>
  <si>
    <t>David Gordon</t>
  </si>
  <si>
    <t>Phylicia Gosciminski</t>
  </si>
  <si>
    <t>Roxana Goyal</t>
  </si>
  <si>
    <t>Paula Gross</t>
  </si>
  <si>
    <t>Hans Gruber</t>
  </si>
  <si>
    <t>Mike Guilianno</t>
  </si>
  <si>
    <t>Joanne Handschiegl</t>
  </si>
  <si>
    <t>Earnest Hankard</t>
  </si>
  <si>
    <t>Christie Harrington</t>
  </si>
  <si>
    <t>Kara Harrison</t>
  </si>
  <si>
    <t>Anthony Heitzman</t>
  </si>
  <si>
    <t>Trina Hendrickson</t>
  </si>
  <si>
    <t>Alfred Hitchcock</t>
  </si>
  <si>
    <t>Adrienne Homberger</t>
  </si>
  <si>
    <t>Jayne Horton</t>
  </si>
  <si>
    <t>Estelle Howard</t>
  </si>
  <si>
    <t>Jane Hudson</t>
  </si>
  <si>
    <t>Julissa Hunts</t>
  </si>
  <si>
    <t>Ming Huynh</t>
  </si>
  <si>
    <t>Walter Immediato</t>
  </si>
  <si>
    <t>Rose Ivey</t>
  </si>
  <si>
    <t>Maryellen Jackson</t>
  </si>
  <si>
    <t>Hannah Jacobi</t>
  </si>
  <si>
    <t>Tayana Jeannite</t>
  </si>
  <si>
    <t>Sneha Jhaveri</t>
  </si>
  <si>
    <t>George Johnson</t>
  </si>
  <si>
    <t>Noelle Johnson</t>
  </si>
  <si>
    <t>Yen Johnston</t>
  </si>
  <si>
    <t>Judy Jung</t>
  </si>
  <si>
    <t>Donysha Kampew</t>
  </si>
  <si>
    <t>Kramer Keatts</t>
  </si>
  <si>
    <t>Bartholemew Khemmich</t>
  </si>
  <si>
    <t>Kathleen Kinsella</t>
  </si>
  <si>
    <t>Alexandra Kirill</t>
  </si>
  <si>
    <t>Bradley Knapp</t>
  </si>
  <si>
    <t>John Kretschmer</t>
  </si>
  <si>
    <t>Freddy Kreuger</t>
  </si>
  <si>
    <t>Jyoti Lajiri</t>
  </si>
  <si>
    <t>Hans Landa</t>
  </si>
  <si>
    <t>Lindsey Langford</t>
  </si>
  <si>
    <t>Enrico Langton</t>
  </si>
  <si>
    <t>William LaRotonda</t>
  </si>
  <si>
    <t>Mohammed Latif</t>
  </si>
  <si>
    <t>Binh Le</t>
  </si>
  <si>
    <t>Dallas Leach</t>
  </si>
  <si>
    <t>Brandon LeBlanc</t>
  </si>
  <si>
    <t>Hannibal Lecter</t>
  </si>
  <si>
    <t>Giovanni Leruth</t>
  </si>
  <si>
    <t>Marilyn Linares</t>
  </si>
  <si>
    <t>Mathew Linden</t>
  </si>
  <si>
    <t>Leonara Lindsay</t>
  </si>
  <si>
    <t>Susan Lundy</t>
  </si>
  <si>
    <t>Lisa Lunquist</t>
  </si>
  <si>
    <t>Allison Lydon</t>
  </si>
  <si>
    <t>Lindsay Lynch</t>
  </si>
  <si>
    <t>Samuel MacLennan</t>
  </si>
  <si>
    <t>Lauren Mahoney</t>
  </si>
  <si>
    <t>Karen Mancuso</t>
  </si>
  <si>
    <t>Debbie Mangal</t>
  </si>
  <si>
    <t>Shana Maurice</t>
  </si>
  <si>
    <t>B'rigit Carthy</t>
  </si>
  <si>
    <t>Sandy Mckenna</t>
  </si>
  <si>
    <t>Jac McKinzie</t>
  </si>
  <si>
    <t>Elizabeth Meads</t>
  </si>
  <si>
    <t>Jennifer Medeiros</t>
  </si>
  <si>
    <t>Ned Miller</t>
  </si>
  <si>
    <t>Erasumus Monkfish</t>
  </si>
  <si>
    <t>Luisa Monterro</t>
  </si>
  <si>
    <t>Patrick Moran</t>
  </si>
  <si>
    <t>Tanya Morway</t>
  </si>
  <si>
    <t>Dawn Motlagh</t>
  </si>
  <si>
    <t>Maliki Moumanil</t>
  </si>
  <si>
    <t>Michael Myers</t>
  </si>
  <si>
    <t>Kurt Navathe</t>
  </si>
  <si>
    <t>Colombui Ndzi</t>
  </si>
  <si>
    <t>Horia Ndzi</t>
  </si>
  <si>
    <t>Richard Newman</t>
  </si>
  <si>
    <t>Shari Ngodup</t>
  </si>
  <si>
    <t>Dheepa Nguyen</t>
  </si>
  <si>
    <t>Lei-Ming Nguyen</t>
  </si>
  <si>
    <t>Kristie Nowlan</t>
  </si>
  <si>
    <t>Lynn O'hare</t>
  </si>
  <si>
    <t>Brooke Oliver</t>
  </si>
  <si>
    <t>Jasmine Onque</t>
  </si>
  <si>
    <t>Adeel Osturnka</t>
  </si>
  <si>
    <t>Clinton Owad</t>
  </si>
  <si>
    <t>Travis Ozark</t>
  </si>
  <si>
    <t>Nina Panjwani</t>
  </si>
  <si>
    <t>Lucas Patronick</t>
  </si>
  <si>
    <t>Randall Pearson</t>
  </si>
  <si>
    <t>Martin Smith</t>
  </si>
  <si>
    <t>Ermine Pelletier</t>
  </si>
  <si>
    <t>Shakira Perry</t>
  </si>
  <si>
    <t>Lauren Peters</t>
  </si>
  <si>
    <t>Ebonee Peterson</t>
  </si>
  <si>
    <t>Shana Petingill</t>
  </si>
  <si>
    <t>Thelma Petrowsky</t>
  </si>
  <si>
    <t>Hong Pham</t>
  </si>
  <si>
    <t>Brad Pitt</t>
  </si>
  <si>
    <t>Xana Potts</t>
  </si>
  <si>
    <t>Morissa Power</t>
  </si>
  <si>
    <t>Louis Punjabhi</t>
  </si>
  <si>
    <t>Janine Purinton</t>
  </si>
  <si>
    <t>Sean Quinn</t>
  </si>
  <si>
    <t>Maggie Rachael</t>
  </si>
  <si>
    <t>Quinn Rarrick</t>
  </si>
  <si>
    <t>Kylo Ren</t>
  </si>
  <si>
    <t>Thomas Rhoads</t>
  </si>
  <si>
    <t>May Roberson</t>
  </si>
  <si>
    <t>Peter Robertson</t>
  </si>
  <si>
    <t>Alain Robinson</t>
  </si>
  <si>
    <t>Cherly Robinson</t>
  </si>
  <si>
    <t>Elias Robinson</t>
  </si>
  <si>
    <t>Lori Roby</t>
  </si>
  <si>
    <t>Bianca Roehrich</t>
  </si>
  <si>
    <t>Katie Roper</t>
  </si>
  <si>
    <t>Ashley Rose</t>
  </si>
  <si>
    <t>Bruno Rossetti</t>
  </si>
  <si>
    <t>Ricardo Ruiz</t>
  </si>
  <si>
    <t>Adell Saada</t>
  </si>
  <si>
    <t>Melinda Saar-Beckles</t>
  </si>
  <si>
    <t>Nore Sadki</t>
  </si>
  <si>
    <t>Adil Sahoo</t>
  </si>
  <si>
    <t>Jason Salter</t>
  </si>
  <si>
    <t>Kamrin Sander</t>
  </si>
  <si>
    <t>Anita Shepard</t>
  </si>
  <si>
    <t>Seffi Shields</t>
  </si>
  <si>
    <t>Kramer Simard</t>
  </si>
  <si>
    <t>Nan Singh</t>
  </si>
  <si>
    <t>Constance Sloan</t>
  </si>
  <si>
    <t>Joe Smith</t>
  </si>
  <si>
    <t>Leigh Ann Smith</t>
  </si>
  <si>
    <t>Sade Smith</t>
  </si>
  <si>
    <t>Julia Soto</t>
  </si>
  <si>
    <t>Keyser Soze</t>
  </si>
  <si>
    <t>Taylor Sparks</t>
  </si>
  <si>
    <t>Kristen Squatrito</t>
  </si>
  <si>
    <t>Barbara Stanford</t>
  </si>
  <si>
    <t>Norman Stansfield</t>
  </si>
  <si>
    <t>Tyrone Steans</t>
  </si>
  <si>
    <t>Rick Stoica</t>
  </si>
  <si>
    <t>Caitrin Strong</t>
  </si>
  <si>
    <t>Timothy Sullivan</t>
  </si>
  <si>
    <t>Barbara Sutwell</t>
  </si>
  <si>
    <t>Andrew Szabo</t>
  </si>
  <si>
    <t>Biff Tannen</t>
  </si>
  <si>
    <t>Desiree Tavares</t>
  </si>
  <si>
    <t>Lenora Tejeda</t>
  </si>
  <si>
    <t>Sharlene Terry</t>
  </si>
  <si>
    <t>Sophia Theamstern</t>
  </si>
  <si>
    <t>Kenneth Thibaud</t>
  </si>
  <si>
    <t>Jeanette Tippett</t>
  </si>
  <si>
    <t>Jack Torrence</t>
  </si>
  <si>
    <t>Mei Trang</t>
  </si>
  <si>
    <t>Neville Tredinnick</t>
  </si>
  <si>
    <t>Edward True</t>
  </si>
  <si>
    <t>Cybil Trzeciak</t>
  </si>
  <si>
    <t>Jumil Turpin</t>
  </si>
  <si>
    <t>Jackie Valentin</t>
  </si>
  <si>
    <t>Abdellah Veera</t>
  </si>
  <si>
    <t>Vincent Vega</t>
  </si>
  <si>
    <t>Noah Villanueva</t>
  </si>
  <si>
    <t>Lord Voldemort</t>
  </si>
  <si>
    <t>Colleen Volk</t>
  </si>
  <si>
    <t>Anna Von Massenbach</t>
  </si>
  <si>
    <t>Roger Walker</t>
  </si>
  <si>
    <t>Courtney Wallace</t>
  </si>
  <si>
    <t>Theresa Wallace</t>
  </si>
  <si>
    <t>Charlie Wang</t>
  </si>
  <si>
    <t>Sarah Warfield</t>
  </si>
  <si>
    <t>Scott Whittier</t>
  </si>
  <si>
    <t>Barry Wilber</t>
  </si>
  <si>
    <t>Annie Wilkes</t>
  </si>
  <si>
    <t>Jacquelyn Williams</t>
  </si>
  <si>
    <t>Jordan Winthrop</t>
  </si>
  <si>
    <t>Hang Wolk</t>
  </si>
  <si>
    <t>Jason Woodson</t>
  </si>
  <si>
    <t>Catherine Ybarra</t>
  </si>
  <si>
    <t>Julia Zhou</t>
  </si>
  <si>
    <t>Colleen Zima</t>
  </si>
  <si>
    <t xml:space="preserve"> Samuel Barnes</t>
  </si>
  <si>
    <t xml:space="preserve"> Robert Berry</t>
  </si>
  <si>
    <t xml:space="preserve"> Amy Flores</t>
  </si>
  <si>
    <t xml:space="preserve"> Juan Gregory</t>
  </si>
  <si>
    <t xml:space="preserve"> James Gordon</t>
  </si>
  <si>
    <t xml:space="preserve"> Brian Browning</t>
  </si>
  <si>
    <t xml:space="preserve"> Sarah Kim</t>
  </si>
  <si>
    <t xml:space="preserve"> Tyler Wright</t>
  </si>
  <si>
    <t xml:space="preserve"> Scott Ibarra</t>
  </si>
  <si>
    <t xml:space="preserve"> Keith Alvarez</t>
  </si>
  <si>
    <t xml:space="preserve"> Glenn Leach</t>
  </si>
  <si>
    <t xml:space="preserve"> Jennifer Wilson</t>
  </si>
  <si>
    <t xml:space="preserve"> Kimberly Adams</t>
  </si>
  <si>
    <t xml:space="preserve"> Alison Gordon</t>
  </si>
  <si>
    <t xml:space="preserve"> Stephanie Mccullough</t>
  </si>
  <si>
    <t xml:space="preserve"> David Lara</t>
  </si>
  <si>
    <t xml:space="preserve"> James Dunn</t>
  </si>
  <si>
    <t xml:space="preserve"> Joshua Griffin</t>
  </si>
  <si>
    <t xml:space="preserve"> Jessica Novak</t>
  </si>
  <si>
    <t xml:space="preserve"> Lauren White</t>
  </si>
  <si>
    <t xml:space="preserve"> Timothy Hamilton</t>
  </si>
  <si>
    <t xml:space="preserve"> Annette Carpenter</t>
  </si>
  <si>
    <t xml:space="preserve"> Dominique Chavez</t>
  </si>
  <si>
    <t xml:space="preserve"> Kathleen Hansen</t>
  </si>
  <si>
    <t xml:space="preserve"> Stephen Mendez</t>
  </si>
  <si>
    <t xml:space="preserve"> Joshua Davidson</t>
  </si>
  <si>
    <t xml:space="preserve"> Mark Kennedy</t>
  </si>
  <si>
    <t xml:space="preserve"> Anthony Moore</t>
  </si>
  <si>
    <t xml:space="preserve"> Renee Gonzales MD</t>
  </si>
  <si>
    <t xml:space="preserve"> Katrina Norton</t>
  </si>
  <si>
    <t xml:space="preserve"> Eric Smith</t>
  </si>
  <si>
    <t xml:space="preserve"> Sabrina Norris</t>
  </si>
  <si>
    <t xml:space="preserve"> Amy Gray</t>
  </si>
  <si>
    <t xml:space="preserve"> Ashley Garcia</t>
  </si>
  <si>
    <t xml:space="preserve"> Denise Yang</t>
  </si>
  <si>
    <t xml:space="preserve"> Jeffery Wong</t>
  </si>
  <si>
    <t xml:space="preserve"> Mary Case</t>
  </si>
  <si>
    <t xml:space="preserve"> James Vargas</t>
  </si>
  <si>
    <t xml:space="preserve"> Alexander Simmons</t>
  </si>
  <si>
    <t xml:space="preserve"> Albert Rasmussen</t>
  </si>
  <si>
    <t xml:space="preserve"> Brian Alvarado</t>
  </si>
  <si>
    <t xml:space="preserve"> Michael Preston</t>
  </si>
  <si>
    <t xml:space="preserve"> Alan Gonzalez</t>
  </si>
  <si>
    <t xml:space="preserve"> Erin Kennedy</t>
  </si>
  <si>
    <t xml:space="preserve"> Connor Hill</t>
  </si>
  <si>
    <t xml:space="preserve"> Nathan Anderson</t>
  </si>
  <si>
    <t xml:space="preserve"> Ashley Acevedo</t>
  </si>
  <si>
    <t xml:space="preserve"> Keith Clements</t>
  </si>
  <si>
    <t xml:space="preserve"> Calvin Buck</t>
  </si>
  <si>
    <t xml:space="preserve"> Justin Cruz</t>
  </si>
  <si>
    <t xml:space="preserve"> Anthony Baker</t>
  </si>
  <si>
    <t xml:space="preserve"> Donna Baker</t>
  </si>
  <si>
    <t xml:space="preserve"> Krystal Cook</t>
  </si>
  <si>
    <t xml:space="preserve"> Lynn Harris</t>
  </si>
  <si>
    <t xml:space="preserve"> Stacy Franco</t>
  </si>
  <si>
    <t xml:space="preserve"> Connor Williams</t>
  </si>
  <si>
    <t xml:space="preserve"> Felicia King</t>
  </si>
  <si>
    <t xml:space="preserve"> William James</t>
  </si>
  <si>
    <t xml:space="preserve"> Diane Jones</t>
  </si>
  <si>
    <t xml:space="preserve"> Rodney Richards</t>
  </si>
  <si>
    <t xml:space="preserve"> Robert Lewis</t>
  </si>
  <si>
    <t xml:space="preserve"> Jacqueline Miller</t>
  </si>
  <si>
    <t xml:space="preserve"> John Robles</t>
  </si>
  <si>
    <t xml:space="preserve"> Tami Wilson</t>
  </si>
  <si>
    <t xml:space="preserve"> Mrs. Jaime Thomas</t>
  </si>
  <si>
    <t xml:space="preserve"> Sandra Jimenez</t>
  </si>
  <si>
    <t xml:space="preserve"> Susan Smith</t>
  </si>
  <si>
    <t xml:space="preserve"> Ryan Santos</t>
  </si>
  <si>
    <t xml:space="preserve"> Sandra Simon</t>
  </si>
  <si>
    <t xml:space="preserve"> Brittany Mcgee</t>
  </si>
  <si>
    <t xml:space="preserve"> Christina Morgan</t>
  </si>
  <si>
    <t xml:space="preserve"> Dana Richards</t>
  </si>
  <si>
    <t xml:space="preserve"> Karen Cooke</t>
  </si>
  <si>
    <t xml:space="preserve"> Lauren Hardy</t>
  </si>
  <si>
    <t xml:space="preserve"> Desiree Jacobs</t>
  </si>
  <si>
    <t xml:space="preserve"> Susan Rivera</t>
  </si>
  <si>
    <t xml:space="preserve"> Kevin Orozco</t>
  </si>
  <si>
    <t xml:space="preserve"> Douglas Smith</t>
  </si>
  <si>
    <t xml:space="preserve"> Casey Mejia</t>
  </si>
  <si>
    <t xml:space="preserve"> Bradley Navarro</t>
  </si>
  <si>
    <t xml:space="preserve"> Samuel Owens</t>
  </si>
  <si>
    <t xml:space="preserve"> Ashley Soto</t>
  </si>
  <si>
    <t xml:space="preserve"> Sean Allison</t>
  </si>
  <si>
    <t xml:space="preserve"> Victor Fields</t>
  </si>
  <si>
    <t xml:space="preserve"> John Baker</t>
  </si>
  <si>
    <t xml:space="preserve"> Benjamin Mcmahon</t>
  </si>
  <si>
    <t xml:space="preserve"> Jo Baker</t>
  </si>
  <si>
    <t xml:space="preserve"> Melinda Mosley</t>
  </si>
  <si>
    <t xml:space="preserve"> Mark Barron</t>
  </si>
  <si>
    <t xml:space="preserve"> Douglas Sullivan</t>
  </si>
  <si>
    <t xml:space="preserve"> Hunter Harding</t>
  </si>
  <si>
    <t xml:space="preserve"> Dana Henderson</t>
  </si>
  <si>
    <t xml:space="preserve"> John Carpenter</t>
  </si>
  <si>
    <t xml:space="preserve"> Pamela Vaughan</t>
  </si>
  <si>
    <t xml:space="preserve"> Nicole Morgan</t>
  </si>
  <si>
    <t xml:space="preserve"> Jennifer Le</t>
  </si>
  <si>
    <t xml:space="preserve"> James Jimenez</t>
  </si>
  <si>
    <t xml:space="preserve"> John Ward</t>
  </si>
  <si>
    <t xml:space="preserve"> Denise Cabrera</t>
  </si>
  <si>
    <t xml:space="preserve"> Brent Henderson</t>
  </si>
  <si>
    <t xml:space="preserve"> Dr. David Sampson</t>
  </si>
  <si>
    <t xml:space="preserve"> Benjamin Coleman MD</t>
  </si>
  <si>
    <t xml:space="preserve"> Darren Lopez</t>
  </si>
  <si>
    <t xml:space="preserve"> Patricia Herrera</t>
  </si>
  <si>
    <t xml:space="preserve"> Timothy Rodriguez</t>
  </si>
  <si>
    <t xml:space="preserve"> Brian Ross</t>
  </si>
  <si>
    <t xml:space="preserve"> Paul Williams</t>
  </si>
  <si>
    <t xml:space="preserve"> Alexander Avila</t>
  </si>
  <si>
    <t xml:space="preserve"> Katherine Manning</t>
  </si>
  <si>
    <t xml:space="preserve"> Emily Robinson</t>
  </si>
  <si>
    <t xml:space="preserve"> Douglas White</t>
  </si>
  <si>
    <t xml:space="preserve"> Dawn Bell</t>
  </si>
  <si>
    <t xml:space="preserve"> Marcus Foster</t>
  </si>
  <si>
    <t xml:space="preserve"> Jessica Ramirez</t>
  </si>
  <si>
    <t xml:space="preserve"> Michael Young</t>
  </si>
  <si>
    <t xml:space="preserve"> Jessica Smith</t>
  </si>
  <si>
    <t xml:space="preserve"> Christopher Mendoza</t>
  </si>
  <si>
    <t xml:space="preserve"> Tyler Harper</t>
  </si>
  <si>
    <t xml:space="preserve"> Cynthia Simmons</t>
  </si>
  <si>
    <t xml:space="preserve"> Wendy Hayes</t>
  </si>
  <si>
    <t xml:space="preserve"> John Long</t>
  </si>
  <si>
    <t xml:space="preserve"> Kristina Owen</t>
  </si>
  <si>
    <t xml:space="preserve"> Thomas Smith</t>
  </si>
  <si>
    <t xml:space="preserve"> Ashley Hayden</t>
  </si>
  <si>
    <t xml:space="preserve"> Melissa Green</t>
  </si>
  <si>
    <t xml:space="preserve"> Joseph Sandoval</t>
  </si>
  <si>
    <t xml:space="preserve"> Patricia Mora</t>
  </si>
  <si>
    <t xml:space="preserve"> Justin Coleman</t>
  </si>
  <si>
    <t xml:space="preserve"> Jake Sims</t>
  </si>
  <si>
    <t xml:space="preserve"> Daniel Barker</t>
  </si>
  <si>
    <t xml:space="preserve"> Daniel Garcia</t>
  </si>
  <si>
    <t xml:space="preserve"> Beverly Kaiser</t>
  </si>
  <si>
    <t xml:space="preserve"> Gordon Knox</t>
  </si>
  <si>
    <t xml:space="preserve"> Jessica Moore</t>
  </si>
  <si>
    <t xml:space="preserve"> Rebecca Cunningham</t>
  </si>
  <si>
    <t xml:space="preserve"> Jordan Steele</t>
  </si>
  <si>
    <t xml:space="preserve"> Bobby Bowman</t>
  </si>
  <si>
    <t xml:space="preserve"> Samuel Johnson</t>
  </si>
  <si>
    <t xml:space="preserve"> Angela Bartlett</t>
  </si>
  <si>
    <t xml:space="preserve"> James Brown</t>
  </si>
  <si>
    <t xml:space="preserve"> Timothy Fletcher</t>
  </si>
  <si>
    <t xml:space="preserve"> Luis Mcdaniel</t>
  </si>
  <si>
    <t xml:space="preserve"> Taylor Rivera</t>
  </si>
  <si>
    <t xml:space="preserve"> Michelle Bailey</t>
  </si>
  <si>
    <t xml:space="preserve"> Dana Reid</t>
  </si>
  <si>
    <t xml:space="preserve"> Yvonne Bass</t>
  </si>
  <si>
    <t xml:space="preserve"> Matthew Oneill</t>
  </si>
  <si>
    <t xml:space="preserve"> Cynthia Contreras</t>
  </si>
  <si>
    <t xml:space="preserve"> Robert Mcmahon</t>
  </si>
  <si>
    <t xml:space="preserve"> Barbara Rivera</t>
  </si>
  <si>
    <t xml:space="preserve"> Denise Moore</t>
  </si>
  <si>
    <t xml:space="preserve"> Annette Werner</t>
  </si>
  <si>
    <t xml:space="preserve"> John Lopez</t>
  </si>
  <si>
    <t xml:space="preserve"> Teresa Mooney</t>
  </si>
  <si>
    <t xml:space="preserve"> Dennis Lewis</t>
  </si>
  <si>
    <t xml:space="preserve"> Christopher Barton</t>
  </si>
  <si>
    <t xml:space="preserve"> Anthony Cummings</t>
  </si>
  <si>
    <t xml:space="preserve"> Charles Hall</t>
  </si>
  <si>
    <t xml:space="preserve"> Cynthia Le</t>
  </si>
  <si>
    <t xml:space="preserve"> Spencer Mercado</t>
  </si>
  <si>
    <t xml:space="preserve"> Michael Cooper</t>
  </si>
  <si>
    <t xml:space="preserve"> Amanda Meadows</t>
  </si>
  <si>
    <t xml:space="preserve"> Thomas Garcia</t>
  </si>
  <si>
    <t xml:space="preserve"> Ryan Snyder</t>
  </si>
  <si>
    <t xml:space="preserve"> Angela Hayes</t>
  </si>
  <si>
    <t xml:space="preserve"> Regina Downs</t>
  </si>
  <si>
    <t xml:space="preserve"> Jared Moore</t>
  </si>
  <si>
    <t xml:space="preserve"> Steven Valdez</t>
  </si>
  <si>
    <t xml:space="preserve"> Andrea Daniels</t>
  </si>
  <si>
    <t xml:space="preserve"> Amanda Wright</t>
  </si>
  <si>
    <t xml:space="preserve"> Daniel Donovan DDS</t>
  </si>
  <si>
    <t xml:space="preserve"> Debra Ward</t>
  </si>
  <si>
    <t xml:space="preserve"> Casey Weiss</t>
  </si>
  <si>
    <t xml:space="preserve"> Lisa King MD</t>
  </si>
  <si>
    <t xml:space="preserve"> Patricia Rhodes</t>
  </si>
  <si>
    <t xml:space="preserve"> Michele Hodges</t>
  </si>
  <si>
    <t xml:space="preserve"> Jeremy Clark</t>
  </si>
  <si>
    <t xml:space="preserve"> Allison Brown</t>
  </si>
  <si>
    <t xml:space="preserve"> Martha Olson</t>
  </si>
  <si>
    <t xml:space="preserve"> Wendy Adkins</t>
  </si>
  <si>
    <t xml:space="preserve"> Karen White</t>
  </si>
  <si>
    <t xml:space="preserve"> Robin Walker</t>
  </si>
  <si>
    <t xml:space="preserve"> Brandon Carpenter</t>
  </si>
  <si>
    <t xml:space="preserve"> Joseph Williams</t>
  </si>
  <si>
    <t xml:space="preserve"> Mark Adkins</t>
  </si>
  <si>
    <t xml:space="preserve"> Timothy Washington</t>
  </si>
  <si>
    <t xml:space="preserve"> Jeffrey Frazier</t>
  </si>
  <si>
    <t xml:space="preserve"> Paul Castillo</t>
  </si>
  <si>
    <t xml:space="preserve"> Brent Hernandez</t>
  </si>
  <si>
    <t xml:space="preserve"> David Strickland</t>
  </si>
  <si>
    <t xml:space="preserve"> Megan Phillips</t>
  </si>
  <si>
    <t xml:space="preserve"> Katherine Middleton</t>
  </si>
  <si>
    <t xml:space="preserve"> Samantha Brooks</t>
  </si>
  <si>
    <t xml:space="preserve"> David Nelson</t>
  </si>
  <si>
    <t xml:space="preserve"> Michael Clark</t>
  </si>
  <si>
    <t xml:space="preserve"> William Ayers</t>
  </si>
  <si>
    <t xml:space="preserve"> Julie Schwartz</t>
  </si>
  <si>
    <t xml:space="preserve"> Christopher Bright</t>
  </si>
  <si>
    <t xml:space="preserve"> Corey Osborn</t>
  </si>
  <si>
    <t xml:space="preserve"> Jessica Howe</t>
  </si>
  <si>
    <t xml:space="preserve"> Zachary Sanders</t>
  </si>
  <si>
    <t xml:space="preserve"> Craig Campbell</t>
  </si>
  <si>
    <t xml:space="preserve"> Mallory Cantu</t>
  </si>
  <si>
    <t xml:space="preserve"> Kenneth Armstrong</t>
  </si>
  <si>
    <t xml:space="preserve"> Bonnie Marks</t>
  </si>
  <si>
    <t xml:space="preserve"> Emily Perry</t>
  </si>
  <si>
    <t xml:space="preserve"> Natalie Reynolds</t>
  </si>
  <si>
    <t xml:space="preserve"> Kristen Mejia</t>
  </si>
  <si>
    <t xml:space="preserve"> Kathy Jackson</t>
  </si>
  <si>
    <t xml:space="preserve"> Javier Koch</t>
  </si>
  <si>
    <t xml:space="preserve"> John Porter</t>
  </si>
  <si>
    <t xml:space="preserve"> Scott Henderson</t>
  </si>
  <si>
    <t xml:space="preserve"> Jesus Valdez</t>
  </si>
  <si>
    <t xml:space="preserve"> Martha West</t>
  </si>
  <si>
    <t xml:space="preserve"> Karen Thomas</t>
  </si>
  <si>
    <t xml:space="preserve"> Matthew Johnson</t>
  </si>
  <si>
    <t xml:space="preserve"> April Rogers</t>
  </si>
  <si>
    <t xml:space="preserve"> Amy Ray</t>
  </si>
  <si>
    <t xml:space="preserve"> Jeffrey Solomon</t>
  </si>
  <si>
    <t xml:space="preserve"> Daniel Huffman</t>
  </si>
  <si>
    <t xml:space="preserve"> Christopher Jackson</t>
  </si>
  <si>
    <t xml:space="preserve"> Brian Hudson</t>
  </si>
  <si>
    <t xml:space="preserve"> Jamie Church</t>
  </si>
  <si>
    <t xml:space="preserve"> Jessica Gilbert</t>
  </si>
  <si>
    <t xml:space="preserve"> Elizabeth Lopez</t>
  </si>
  <si>
    <t xml:space="preserve"> Heidi Larsen</t>
  </si>
  <si>
    <t xml:space="preserve"> Sabrina Martinez</t>
  </si>
  <si>
    <t xml:space="preserve"> James Erickson</t>
  </si>
  <si>
    <t xml:space="preserve"> Kevin Baldwin DDS</t>
  </si>
  <si>
    <t xml:space="preserve"> Suzanne Smith</t>
  </si>
  <si>
    <t xml:space="preserve"> Juan Williams</t>
  </si>
  <si>
    <t xml:space="preserve"> William Parker</t>
  </si>
  <si>
    <t xml:space="preserve"> David Novak</t>
  </si>
  <si>
    <t xml:space="preserve"> Kristin Thompson</t>
  </si>
  <si>
    <t xml:space="preserve"> Robert Freeman</t>
  </si>
  <si>
    <t xml:space="preserve"> David Barnes</t>
  </si>
  <si>
    <t xml:space="preserve"> Whitney Hill</t>
  </si>
  <si>
    <t xml:space="preserve"> Gregory Alexander</t>
  </si>
  <si>
    <t xml:space="preserve"> Kelly Oconnell</t>
  </si>
  <si>
    <t xml:space="preserve"> Amber Wang MD</t>
  </si>
  <si>
    <t xml:space="preserve"> Ronald Ochoa</t>
  </si>
  <si>
    <t xml:space="preserve"> Patricia Hunter</t>
  </si>
  <si>
    <t xml:space="preserve"> Susan Daniels</t>
  </si>
  <si>
    <t xml:space="preserve"> Mark Gentry</t>
  </si>
  <si>
    <t xml:space="preserve"> Melissa Graham</t>
  </si>
  <si>
    <t xml:space="preserve"> Benjamin Anderson</t>
  </si>
  <si>
    <t xml:space="preserve"> Christopher Miller</t>
  </si>
  <si>
    <t xml:space="preserve"> Randy Duffy</t>
  </si>
  <si>
    <t xml:space="preserve"> Mary Turner</t>
  </si>
  <si>
    <t xml:space="preserve"> Amanda Knox</t>
  </si>
  <si>
    <t xml:space="preserve"> Nicole Robinson</t>
  </si>
  <si>
    <t xml:space="preserve"> Javier Hayden</t>
  </si>
  <si>
    <t xml:space="preserve"> Emily Williams</t>
  </si>
  <si>
    <t xml:space="preserve"> Brenda Baker</t>
  </si>
  <si>
    <t xml:space="preserve"> Andre Lopez</t>
  </si>
  <si>
    <t xml:space="preserve"> John White</t>
  </si>
  <si>
    <t xml:space="preserve"> Nancy Smith</t>
  </si>
  <si>
    <t xml:space="preserve"> Jason Murray</t>
  </si>
  <si>
    <t xml:space="preserve"> Gregory Lam</t>
  </si>
  <si>
    <t xml:space="preserve"> Mrs. Tara Carpenter</t>
  </si>
  <si>
    <t xml:space="preserve"> Eric Gross</t>
  </si>
  <si>
    <t xml:space="preserve"> John Parker</t>
  </si>
  <si>
    <t xml:space="preserve"> Tyler Arnold</t>
  </si>
  <si>
    <t xml:space="preserve"> Ann Pham</t>
  </si>
  <si>
    <t xml:space="preserve"> Alexander Mayer</t>
  </si>
  <si>
    <t xml:space="preserve"> Thomas Johns</t>
  </si>
  <si>
    <t xml:space="preserve"> Seth Greer</t>
  </si>
  <si>
    <t xml:space="preserve"> William Frazier</t>
  </si>
  <si>
    <t xml:space="preserve"> Christine Dalton</t>
  </si>
  <si>
    <t xml:space="preserve"> Ryan Sanchez</t>
  </si>
  <si>
    <t xml:space="preserve"> Casey Walters</t>
  </si>
  <si>
    <t xml:space="preserve"> Robert Clark</t>
  </si>
  <si>
    <t xml:space="preserve"> Alexandra Baker</t>
  </si>
  <si>
    <t xml:space="preserve"> Thomas Duncan</t>
  </si>
  <si>
    <t xml:space="preserve"> Stephanie Sanchez</t>
  </si>
  <si>
    <t xml:space="preserve"> Elizabeth Velasquez DVM</t>
  </si>
  <si>
    <t xml:space="preserve"> Daniel Berg</t>
  </si>
  <si>
    <t xml:space="preserve"> Bryan Welch</t>
  </si>
  <si>
    <t xml:space="preserve"> Heidi Peck</t>
  </si>
  <si>
    <t xml:space="preserve"> Laura Adams</t>
  </si>
  <si>
    <t xml:space="preserve"> Tammy Ryan DDS</t>
  </si>
  <si>
    <t xml:space="preserve"> Kevin Clark</t>
  </si>
  <si>
    <t xml:space="preserve"> Jonathan Callahan</t>
  </si>
  <si>
    <t xml:space="preserve"> Paula Rodriguez</t>
  </si>
  <si>
    <t xml:space="preserve"> Thomas Miller</t>
  </si>
  <si>
    <t xml:space="preserve"> Regina Hicks</t>
  </si>
  <si>
    <t xml:space="preserve"> Troy Crane</t>
  </si>
  <si>
    <t xml:space="preserve"> Thomas Yu</t>
  </si>
  <si>
    <t xml:space="preserve"> Larry Lester</t>
  </si>
  <si>
    <t xml:space="preserve"> Dawn Hall</t>
  </si>
  <si>
    <t xml:space="preserve"> Sherry Sullivan</t>
  </si>
  <si>
    <t xml:space="preserve"> Carrie Johnson</t>
  </si>
  <si>
    <t xml:space="preserve"> John Horne</t>
  </si>
  <si>
    <t xml:space="preserve"> Dr. Tina Wallace</t>
  </si>
  <si>
    <t xml:space="preserve"> Malik Morrison</t>
  </si>
  <si>
    <t xml:space="preserve"> Tracy Wilson</t>
  </si>
  <si>
    <t xml:space="preserve"> Courtney Young</t>
  </si>
  <si>
    <t xml:space="preserve"> James Warren</t>
  </si>
  <si>
    <t xml:space="preserve"> Anthony Sparks</t>
  </si>
  <si>
    <t xml:space="preserve"> Mackenzie Freeman</t>
  </si>
  <si>
    <t xml:space="preserve"> Alexander Taylor</t>
  </si>
  <si>
    <t xml:space="preserve"> Maria Turner</t>
  </si>
  <si>
    <t xml:space="preserve"> Joseph Santiago</t>
  </si>
  <si>
    <t xml:space="preserve"> Sara Stone</t>
  </si>
  <si>
    <t xml:space="preserve"> Katherine Cole</t>
  </si>
  <si>
    <t xml:space="preserve"> Hannah Wilkins</t>
  </si>
  <si>
    <t xml:space="preserve"> Mary Hall</t>
  </si>
  <si>
    <t xml:space="preserve"> Kyle Thompson</t>
  </si>
  <si>
    <t xml:space="preserve"> Derrick Davis</t>
  </si>
  <si>
    <t xml:space="preserve"> Nicole Stewart</t>
  </si>
  <si>
    <t xml:space="preserve"> Hailey Shelton</t>
  </si>
  <si>
    <t xml:space="preserve"> Christopher Rodriguez DDS</t>
  </si>
  <si>
    <t xml:space="preserve"> Christine White</t>
  </si>
  <si>
    <t xml:space="preserve"> Cynthia Cole</t>
  </si>
  <si>
    <t xml:space="preserve"> Patricia Williams</t>
  </si>
  <si>
    <t xml:space="preserve"> Theresa Ortiz</t>
  </si>
  <si>
    <t xml:space="preserve"> Alicia Vincent</t>
  </si>
  <si>
    <t xml:space="preserve"> Glenda James</t>
  </si>
  <si>
    <t xml:space="preserve"> Nicole Smith</t>
  </si>
  <si>
    <t xml:space="preserve"> Amanda Walker MD</t>
  </si>
  <si>
    <t xml:space="preserve"> Mercedes Jones</t>
  </si>
  <si>
    <t xml:space="preserve"> Hannah Schneider</t>
  </si>
  <si>
    <t xml:space="preserve"> Deborah Perez</t>
  </si>
  <si>
    <t xml:space="preserve"> David Harris</t>
  </si>
  <si>
    <t xml:space="preserve"> Annette Bishop</t>
  </si>
  <si>
    <t xml:space="preserve"> Brian Floyd</t>
  </si>
  <si>
    <t xml:space="preserve"> Kimberly Franklin</t>
  </si>
  <si>
    <t xml:space="preserve"> Maria Phillips</t>
  </si>
  <si>
    <t xml:space="preserve"> Dennis Moran</t>
  </si>
  <si>
    <t xml:space="preserve"> Lori Walker</t>
  </si>
  <si>
    <t xml:space="preserve"> Shawn Riley</t>
  </si>
  <si>
    <t xml:space="preserve"> Andrew Harris</t>
  </si>
  <si>
    <t xml:space="preserve"> Susan Thompson</t>
  </si>
  <si>
    <t xml:space="preserve"> Courtney Whitaker</t>
  </si>
  <si>
    <t xml:space="preserve"> Claire Rosario</t>
  </si>
  <si>
    <t xml:space="preserve"> John Johnson</t>
  </si>
  <si>
    <t xml:space="preserve"> Alex Frye</t>
  </si>
  <si>
    <t xml:space="preserve"> Richard Gardner</t>
  </si>
  <si>
    <t xml:space="preserve"> Ashlee Brewer</t>
  </si>
  <si>
    <t xml:space="preserve"> Cynthia Manning</t>
  </si>
  <si>
    <t xml:space="preserve"> Christy Roberson</t>
  </si>
  <si>
    <t xml:space="preserve"> Christina Marshall</t>
  </si>
  <si>
    <t xml:space="preserve"> Hannah Casey</t>
  </si>
  <si>
    <t xml:space="preserve"> Randy Griffin</t>
  </si>
  <si>
    <t xml:space="preserve"> Michael Roth</t>
  </si>
  <si>
    <t xml:space="preserve"> Rachel Dunlap</t>
  </si>
  <si>
    <t xml:space="preserve"> Carrie Vega</t>
  </si>
  <si>
    <t xml:space="preserve"> Elizabeth York</t>
  </si>
  <si>
    <t xml:space="preserve"> John Allen</t>
  </si>
  <si>
    <t xml:space="preserve"> Andrew Jones</t>
  </si>
  <si>
    <t xml:space="preserve"> Samantha Collins</t>
  </si>
  <si>
    <t xml:space="preserve"> Kenneth Duncan</t>
  </si>
  <si>
    <t xml:space="preserve"> William Smith</t>
  </si>
  <si>
    <t xml:space="preserve"> Jonathan Gay</t>
  </si>
  <si>
    <t xml:space="preserve"> Alicia Rice</t>
  </si>
  <si>
    <t xml:space="preserve"> Teresa Hansen</t>
  </si>
  <si>
    <t xml:space="preserve"> Kim Lee</t>
  </si>
  <si>
    <t xml:space="preserve"> Amber Alvarez</t>
  </si>
  <si>
    <t xml:space="preserve"> Spencer Romero</t>
  </si>
  <si>
    <t xml:space="preserve"> Patricia Jackson</t>
  </si>
  <si>
    <t xml:space="preserve"> Austin Harris</t>
  </si>
  <si>
    <t xml:space="preserve"> Robert Barrera</t>
  </si>
  <si>
    <t xml:space="preserve"> Lisa Strickland</t>
  </si>
  <si>
    <t xml:space="preserve"> Jesus Ramirez</t>
  </si>
  <si>
    <t xml:space="preserve"> Bobby Lopez</t>
  </si>
  <si>
    <t xml:space="preserve"> Jeffrey Simpson</t>
  </si>
  <si>
    <t xml:space="preserve"> Wayne Thomas</t>
  </si>
  <si>
    <t xml:space="preserve"> James Daugherty</t>
  </si>
  <si>
    <t xml:space="preserve"> Jacob Wagner</t>
  </si>
  <si>
    <t xml:space="preserve"> Rachel Murphy</t>
  </si>
  <si>
    <t xml:space="preserve"> Dana Howell</t>
  </si>
  <si>
    <t xml:space="preserve"> Kelly Simon</t>
  </si>
  <si>
    <t xml:space="preserve"> Kevin Walter</t>
  </si>
  <si>
    <t xml:space="preserve"> Kayla Fisher</t>
  </si>
  <si>
    <t xml:space="preserve"> Felicia Montoya</t>
  </si>
  <si>
    <t xml:space="preserve"> Jorge Haney</t>
  </si>
  <si>
    <t xml:space="preserve"> Amanda Mullins</t>
  </si>
  <si>
    <t xml:space="preserve"> Mary Brooks</t>
  </si>
  <si>
    <t xml:space="preserve"> Sue Orr</t>
  </si>
  <si>
    <t xml:space="preserve"> Sarah Sullivan</t>
  </si>
  <si>
    <t xml:space="preserve"> Kathy Sullivan</t>
  </si>
  <si>
    <t xml:space="preserve"> Michelle Dean</t>
  </si>
  <si>
    <t xml:space="preserve"> Madeline Weiss</t>
  </si>
  <si>
    <t xml:space="preserve"> Joshua Sims</t>
  </si>
  <si>
    <t xml:space="preserve"> Logan Barron</t>
  </si>
  <si>
    <t xml:space="preserve"> Michael Green</t>
  </si>
  <si>
    <t xml:space="preserve"> Ana Kim</t>
  </si>
  <si>
    <t xml:space="preserve"> Adam Sanchez DDS</t>
  </si>
  <si>
    <t xml:space="preserve"> Aaron Johnson PhD</t>
  </si>
  <si>
    <t xml:space="preserve"> Bailey Wood</t>
  </si>
  <si>
    <t xml:space="preserve"> Stephanie Jackson</t>
  </si>
  <si>
    <t xml:space="preserve"> Mary Huffman</t>
  </si>
  <si>
    <t xml:space="preserve"> Robert Brandt</t>
  </si>
  <si>
    <t xml:space="preserve"> Tammy Martin</t>
  </si>
  <si>
    <t xml:space="preserve"> Shannon Collier</t>
  </si>
  <si>
    <t xml:space="preserve"> Arthur Gregory</t>
  </si>
  <si>
    <t xml:space="preserve"> Jose Jennings</t>
  </si>
  <si>
    <t xml:space="preserve"> Robert Porter</t>
  </si>
  <si>
    <t xml:space="preserve"> April Crawford</t>
  </si>
  <si>
    <t xml:space="preserve"> Marie Stevenson</t>
  </si>
  <si>
    <t xml:space="preserve"> Paula Gray</t>
  </si>
  <si>
    <t xml:space="preserve"> Jessica Marquez</t>
  </si>
  <si>
    <t xml:space="preserve"> Connie Simmons</t>
  </si>
  <si>
    <t xml:space="preserve"> Jean Miranda</t>
  </si>
  <si>
    <t xml:space="preserve"> Deborah Carr</t>
  </si>
  <si>
    <t xml:space="preserve"> Michael Duarte</t>
  </si>
  <si>
    <t xml:space="preserve"> Jaclyn Rogers</t>
  </si>
  <si>
    <t xml:space="preserve"> Kristi Mora</t>
  </si>
  <si>
    <t xml:space="preserve"> Angelica Barnes</t>
  </si>
  <si>
    <t xml:space="preserve"> Terry Greer</t>
  </si>
  <si>
    <t xml:space="preserve"> Patricia Ramos</t>
  </si>
  <si>
    <t xml:space="preserve"> Gregory Kim</t>
  </si>
  <si>
    <t xml:space="preserve"> Nicole Garner</t>
  </si>
  <si>
    <t xml:space="preserve"> Vickie Jarvis</t>
  </si>
  <si>
    <t xml:space="preserve"> Angel Kelley</t>
  </si>
  <si>
    <t xml:space="preserve"> Tammy Bell</t>
  </si>
  <si>
    <t xml:space="preserve"> Matthew Price</t>
  </si>
  <si>
    <t xml:space="preserve"> Javier James</t>
  </si>
  <si>
    <t xml:space="preserve"> Laura Richardson</t>
  </si>
  <si>
    <t xml:space="preserve"> Dr. Richard Lowe</t>
  </si>
  <si>
    <t xml:space="preserve"> Patrick Buck</t>
  </si>
  <si>
    <t xml:space="preserve"> John Garcia</t>
  </si>
  <si>
    <t xml:space="preserve"> Jacob Barnett</t>
  </si>
  <si>
    <t xml:space="preserve"> Richard Olson</t>
  </si>
  <si>
    <t xml:space="preserve"> Sarah Davis</t>
  </si>
  <si>
    <t xml:space="preserve"> Janet Washington</t>
  </si>
  <si>
    <t xml:space="preserve"> Alexis Navarro</t>
  </si>
  <si>
    <t xml:space="preserve"> Robert Ward</t>
  </si>
  <si>
    <t xml:space="preserve"> Alyssa Carroll</t>
  </si>
  <si>
    <t xml:space="preserve"> Jason Rivera</t>
  </si>
  <si>
    <t xml:space="preserve"> Richard Solomon</t>
  </si>
  <si>
    <t xml:space="preserve"> Nicholas Franco</t>
  </si>
  <si>
    <t xml:space="preserve"> Kelly Williams</t>
  </si>
  <si>
    <t xml:space="preserve"> Mr. Joseph Chandler</t>
  </si>
  <si>
    <t xml:space="preserve"> Andrea Clark</t>
  </si>
  <si>
    <t xml:space="preserve"> Nicholas Rivera</t>
  </si>
  <si>
    <t xml:space="preserve"> Donald Young</t>
  </si>
  <si>
    <t xml:space="preserve"> Vanessa Lucas</t>
  </si>
  <si>
    <t xml:space="preserve"> Michael Smith</t>
  </si>
  <si>
    <t xml:space="preserve"> Katelyn Cox</t>
  </si>
  <si>
    <t xml:space="preserve"> Stephen Montoya</t>
  </si>
  <si>
    <t xml:space="preserve"> Laura Turner</t>
  </si>
  <si>
    <t xml:space="preserve"> Michele Lloyd</t>
  </si>
  <si>
    <t xml:space="preserve"> Jared Nelson MD</t>
  </si>
  <si>
    <t xml:space="preserve"> Cassandra Mitchell</t>
  </si>
  <si>
    <t xml:space="preserve"> David Bennett</t>
  </si>
  <si>
    <t xml:space="preserve"> John Murphy</t>
  </si>
  <si>
    <t xml:space="preserve"> Tyler Bryant</t>
  </si>
  <si>
    <t xml:space="preserve"> Sylvia Wall</t>
  </si>
  <si>
    <t xml:space="preserve"> Nicholas Whitney</t>
  </si>
  <si>
    <t xml:space="preserve"> Alexandra Diaz</t>
  </si>
  <si>
    <t xml:space="preserve"> Maureen Miller</t>
  </si>
  <si>
    <t xml:space="preserve"> Steven Morales</t>
  </si>
  <si>
    <t xml:space="preserve"> Shawn Alvarado</t>
  </si>
  <si>
    <t xml:space="preserve"> David Townsend</t>
  </si>
  <si>
    <t xml:space="preserve"> Noah Gray</t>
  </si>
  <si>
    <t xml:space="preserve"> Alison Edwards MD</t>
  </si>
  <si>
    <t xml:space="preserve"> Sabrina King</t>
  </si>
  <si>
    <t xml:space="preserve"> Edward Wells</t>
  </si>
  <si>
    <t xml:space="preserve"> Cindy Nunez</t>
  </si>
  <si>
    <t xml:space="preserve"> Andrea Mitchell</t>
  </si>
  <si>
    <t xml:space="preserve"> Danny Holmes</t>
  </si>
  <si>
    <t xml:space="preserve"> Jeffery Chandler</t>
  </si>
  <si>
    <t xml:space="preserve"> Frank Church</t>
  </si>
  <si>
    <t xml:space="preserve"> Mario White</t>
  </si>
  <si>
    <t xml:space="preserve"> Kathy Carter</t>
  </si>
  <si>
    <t xml:space="preserve"> Stephanie Escobar</t>
  </si>
  <si>
    <t xml:space="preserve"> Claudia Rowe</t>
  </si>
  <si>
    <t xml:space="preserve"> Charles Beard</t>
  </si>
  <si>
    <t xml:space="preserve"> William May</t>
  </si>
  <si>
    <t xml:space="preserve"> Angela Harmon</t>
  </si>
  <si>
    <t xml:space="preserve"> Joseph Sanchez</t>
  </si>
  <si>
    <t xml:space="preserve"> Amanda Decker</t>
  </si>
  <si>
    <t xml:space="preserve"> Duane Anthony</t>
  </si>
  <si>
    <t xml:space="preserve"> Dawn Melton</t>
  </si>
  <si>
    <t xml:space="preserve"> Thomas Duran</t>
  </si>
  <si>
    <t xml:space="preserve"> Michael Hill</t>
  </si>
  <si>
    <t xml:space="preserve"> Michael Herman</t>
  </si>
  <si>
    <t xml:space="preserve"> Logan Wright</t>
  </si>
  <si>
    <t xml:space="preserve"> Jimmy Simmons</t>
  </si>
  <si>
    <t xml:space="preserve"> Mrs. Patricia Sutton</t>
  </si>
  <si>
    <t xml:space="preserve"> Rodney Marquez</t>
  </si>
  <si>
    <t xml:space="preserve"> Charles Jones</t>
  </si>
  <si>
    <t xml:space="preserve"> Julie Schmidt</t>
  </si>
  <si>
    <t xml:space="preserve"> Hannah Robinson</t>
  </si>
  <si>
    <t xml:space="preserve"> Steven Jackson</t>
  </si>
  <si>
    <t xml:space="preserve"> Sarah Martinez</t>
  </si>
  <si>
    <t xml:space="preserve"> James Ball</t>
  </si>
  <si>
    <t xml:space="preserve"> Carol Mathis</t>
  </si>
  <si>
    <t xml:space="preserve"> Teresa Tapia</t>
  </si>
  <si>
    <t xml:space="preserve"> Jessica Ortiz</t>
  </si>
  <si>
    <t xml:space="preserve"> Jonathan Stafford</t>
  </si>
  <si>
    <t xml:space="preserve"> Melissa Johnson</t>
  </si>
  <si>
    <t xml:space="preserve"> Christopher Barnett</t>
  </si>
  <si>
    <t xml:space="preserve"> Ethan Gibson</t>
  </si>
  <si>
    <t xml:space="preserve"> Justin Mitchell</t>
  </si>
  <si>
    <t xml:space="preserve"> Tyler Green</t>
  </si>
  <si>
    <t xml:space="preserve"> Jennifer Black</t>
  </si>
  <si>
    <t xml:space="preserve"> Michael Cline</t>
  </si>
  <si>
    <t>Row Labels</t>
  </si>
  <si>
    <t>Grand Total</t>
  </si>
  <si>
    <t>Count of EmpID</t>
  </si>
  <si>
    <t>Average of Salary</t>
  </si>
  <si>
    <t>Average of EngagementSurvey</t>
  </si>
  <si>
    <t>Count of ManagerName</t>
  </si>
  <si>
    <t>Employee Count By Department</t>
  </si>
  <si>
    <t>Average Salary Per Department</t>
  </si>
  <si>
    <t>Gender Wise Employees Count</t>
  </si>
  <si>
    <t>Employees Count By Employee Status</t>
  </si>
  <si>
    <t>Engagement Survey Average Per Department</t>
  </si>
  <si>
    <t>Employee Count Based On Maritial Status</t>
  </si>
  <si>
    <t>Terminated Employees</t>
  </si>
  <si>
    <t>Employee Count Based On HaspanicLatino Status</t>
  </si>
  <si>
    <t>Employee Count Based On  RecruitmentSource</t>
  </si>
  <si>
    <t>Manager Count Based On Department</t>
  </si>
  <si>
    <t>Employee Count Based On  Position</t>
  </si>
  <si>
    <t>2006</t>
  </si>
  <si>
    <t>2007</t>
  </si>
  <si>
    <t>2008</t>
  </si>
  <si>
    <t>2009</t>
  </si>
  <si>
    <t>2010</t>
  </si>
  <si>
    <t>2011</t>
  </si>
  <si>
    <t>2012</t>
  </si>
  <si>
    <t>2013</t>
  </si>
  <si>
    <t>2014</t>
  </si>
  <si>
    <t>2015</t>
  </si>
  <si>
    <t>2016</t>
  </si>
  <si>
    <t>2017</t>
  </si>
  <si>
    <t>2018</t>
  </si>
  <si>
    <t>2019</t>
  </si>
  <si>
    <t>2020</t>
  </si>
  <si>
    <t>2021</t>
  </si>
  <si>
    <t>2022</t>
  </si>
  <si>
    <t>2023</t>
  </si>
  <si>
    <t>2024</t>
  </si>
  <si>
    <t>2025</t>
  </si>
  <si>
    <t>Employee Count Based On  Hire Year</t>
  </si>
  <si>
    <t>KPI's</t>
  </si>
  <si>
    <t>Total Employee Count</t>
  </si>
  <si>
    <t>TerminationReason</t>
  </si>
  <si>
    <t>Employees Left</t>
  </si>
  <si>
    <t>Average Performance Score</t>
  </si>
  <si>
    <t>Avg. Engagement Survey</t>
  </si>
  <si>
    <t>Average Leaves</t>
  </si>
  <si>
    <t>Average Salary</t>
  </si>
  <si>
    <t>Attrition Rate Percentage</t>
  </si>
  <si>
    <t>Employees hired in 2025</t>
  </si>
  <si>
    <t>Employee Data</t>
  </si>
  <si>
    <t>Manager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</si>
</sst>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4009]yyyy/mm/dd;@"/>
    <numFmt numFmtId="165" formatCode="&quot;$&quot;0"/>
  </numFmts>
  <fonts count="5">
    <font>
      <sz val="11"/>
      <color theme="1"/>
      <name val="Calibri"/>
      <family val="2"/>
      <scheme val="minor"/>
    </font>
    <font>
      <sz val="11"/>
      <color theme="1"/>
      <name val="Calibri"/>
      <family val="2"/>
      <scheme val="minor"/>
    </font>
    <font>
      <sz val="8"/>
      <name val="Calibri"/>
      <family val="2"/>
      <scheme val="minor"/>
    </font>
    <font>
      <sz val="10"/>
      <color theme="1"/>
      <name val="Arial Unicode MS"/>
    </font>
    <font>
      <b/>
      <sz val="11"/>
      <color theme="0"/>
      <name val="Calibri"/>
      <family val="2"/>
      <scheme val="minor"/>
    </font>
  </fonts>
  <fills count="6">
    <fill>
      <patternFill patternType="none"/>
    </fill>
    <fill>
      <patternFill patternType="gray125"/>
    </fill>
    <fill>
      <patternFill patternType="solid">
        <fgColor rgb="FF00CC99"/>
        <bgColor indexed="64"/>
      </patternFill>
    </fill>
    <fill>
      <patternFill patternType="solid">
        <fgColor theme="6" tint="0.59999389629810485"/>
        <bgColor indexed="64"/>
      </patternFill>
    </fill>
    <fill>
      <patternFill patternType="solid">
        <fgColor rgb="FF00CC99"/>
        <bgColor theme="9"/>
      </patternFill>
    </fill>
    <fill>
      <patternFill patternType="solid">
        <fgColor theme="0" tint="-0.14999847407452621"/>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theme="9" tint="0.39997558519241921"/>
      </bottom>
      <diagonal/>
    </border>
    <border>
      <left/>
      <right/>
      <top style="medium">
        <color indexed="64"/>
      </top>
      <bottom style="thin">
        <color theme="9" tint="0.39997558519241921"/>
      </bottom>
      <diagonal/>
    </border>
    <border>
      <left/>
      <right style="medium">
        <color indexed="64"/>
      </right>
      <top style="medium">
        <color indexed="64"/>
      </top>
      <bottom style="thin">
        <color theme="9" tint="0.39997558519241921"/>
      </bottom>
      <diagonal/>
    </border>
  </borders>
  <cellStyleXfs count="2">
    <xf numFmtId="0" fontId="0" fillId="0" borderId="0"/>
    <xf numFmtId="9" fontId="1" fillId="0" borderId="0" applyFont="0" applyFill="0" applyBorder="0" applyAlignment="0" applyProtection="0"/>
  </cellStyleXfs>
  <cellXfs count="69">
    <xf numFmtId="0" fontId="0" fillId="0" borderId="0" xfId="0"/>
    <xf numFmtId="164" fontId="0" fillId="0" borderId="0" xfId="0" applyNumberFormat="1"/>
    <xf numFmtId="14" fontId="0" fillId="0" borderId="0" xfId="0" applyNumberFormat="1"/>
    <xf numFmtId="165" fontId="0" fillId="0" borderId="0" xfId="0" applyNumberFormat="1"/>
    <xf numFmtId="0" fontId="0" fillId="0" borderId="0" xfId="0" applyAlignment="1">
      <alignment wrapText="1"/>
    </xf>
    <xf numFmtId="0" fontId="0" fillId="0" borderId="6" xfId="0" applyBorder="1"/>
    <xf numFmtId="0" fontId="0" fillId="0" borderId="5" xfId="0" applyBorder="1" applyAlignment="1">
      <alignment horizontal="left"/>
    </xf>
    <xf numFmtId="0" fontId="0" fillId="0" borderId="7" xfId="0" applyBorder="1" applyAlignment="1">
      <alignment horizontal="left"/>
    </xf>
    <xf numFmtId="0" fontId="0" fillId="0" borderId="8" xfId="0" applyBorder="1"/>
    <xf numFmtId="0" fontId="0" fillId="0" borderId="9" xfId="0" applyBorder="1"/>
    <xf numFmtId="0" fontId="0" fillId="0" borderId="6" xfId="0" applyBorder="1" applyAlignment="1">
      <alignment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14" xfId="0" applyBorder="1"/>
    <xf numFmtId="0" fontId="0" fillId="0" borderId="1" xfId="0" applyBorder="1" applyAlignment="1">
      <alignment wrapText="1"/>
    </xf>
    <xf numFmtId="0" fontId="0" fillId="0" borderId="4" xfId="0" applyBorder="1" applyAlignment="1">
      <alignment wrapText="1"/>
    </xf>
    <xf numFmtId="0" fontId="0" fillId="0" borderId="13" xfId="0" applyBorder="1"/>
    <xf numFmtId="0" fontId="0" fillId="0" borderId="15" xfId="0" applyBorder="1"/>
    <xf numFmtId="0" fontId="0" fillId="0" borderId="1" xfId="0" applyBorder="1" applyAlignment="1">
      <alignment horizontal="left"/>
    </xf>
    <xf numFmtId="0" fontId="0" fillId="0" borderId="1" xfId="0" pivotButton="1" applyBorder="1"/>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0" fillId="0" borderId="1" xfId="0" applyBorder="1" applyAlignment="1">
      <alignment vertical="top" wrapText="1"/>
    </xf>
    <xf numFmtId="0" fontId="0" fillId="0" borderId="1" xfId="0" applyBorder="1"/>
    <xf numFmtId="0" fontId="0" fillId="0" borderId="1" xfId="0" pivotButton="1" applyBorder="1" applyAlignment="1">
      <alignment wrapText="1"/>
    </xf>
    <xf numFmtId="0" fontId="0" fillId="0" borderId="3" xfId="0" applyBorder="1" applyAlignment="1">
      <alignment wrapText="1"/>
    </xf>
    <xf numFmtId="0" fontId="0" fillId="0" borderId="15" xfId="0" applyBorder="1" applyAlignment="1">
      <alignment vertical="top" wrapText="1"/>
    </xf>
    <xf numFmtId="0" fontId="0" fillId="0" borderId="5" xfId="0" applyBorder="1" applyAlignment="1">
      <alignment vertical="center" wrapText="1"/>
    </xf>
    <xf numFmtId="0" fontId="0" fillId="0" borderId="6" xfId="0" applyBorder="1" applyAlignment="1">
      <alignment vertical="center" wrapText="1"/>
    </xf>
    <xf numFmtId="0" fontId="0" fillId="2" borderId="13" xfId="0" applyFill="1" applyBorder="1"/>
    <xf numFmtId="0" fontId="0" fillId="2" borderId="4" xfId="0" applyFill="1" applyBorder="1"/>
    <xf numFmtId="0" fontId="0" fillId="0" borderId="16" xfId="0" applyBorder="1"/>
    <xf numFmtId="0" fontId="0" fillId="0" borderId="17" xfId="0" applyBorder="1"/>
    <xf numFmtId="0" fontId="0" fillId="0" borderId="16" xfId="0" applyBorder="1" applyAlignment="1">
      <alignment wrapText="1"/>
    </xf>
    <xf numFmtId="9" fontId="0" fillId="0" borderId="17" xfId="1" applyFont="1" applyBorder="1"/>
    <xf numFmtId="0" fontId="0" fillId="0" borderId="16" xfId="0" applyBorder="1" applyAlignment="1">
      <alignment vertical="center" wrapText="1"/>
    </xf>
    <xf numFmtId="0" fontId="3" fillId="0" borderId="17" xfId="0" applyFont="1" applyBorder="1" applyAlignment="1">
      <alignment vertical="center" wrapText="1"/>
    </xf>
    <xf numFmtId="0" fontId="0" fillId="0" borderId="18" xfId="0" applyBorder="1" applyAlignment="1">
      <alignment wrapText="1"/>
    </xf>
    <xf numFmtId="0" fontId="0" fillId="0" borderId="19" xfId="0" applyBorder="1"/>
    <xf numFmtId="0" fontId="0" fillId="3" borderId="0" xfId="0" applyFill="1" applyAlignment="1">
      <alignment horizontal="left" vertical="center"/>
    </xf>
    <xf numFmtId="0" fontId="0" fillId="0" borderId="1" xfId="0" pivotButton="1" applyBorder="1" applyAlignment="1">
      <alignment vertical="top" wrapText="1"/>
    </xf>
    <xf numFmtId="0" fontId="0" fillId="0" borderId="15" xfId="0" applyBorder="1" applyAlignment="1">
      <alignment horizontal="left" vertical="top" wrapText="1"/>
    </xf>
    <xf numFmtId="0" fontId="0" fillId="2" borderId="7" xfId="0" applyFill="1" applyBorder="1" applyAlignment="1">
      <alignment horizontal="center"/>
    </xf>
    <xf numFmtId="0" fontId="0" fillId="2" borderId="8"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4" fillId="4" borderId="21" xfId="0" applyFont="1" applyFill="1" applyBorder="1"/>
    <xf numFmtId="164" fontId="4" fillId="4" borderId="21" xfId="0" applyNumberFormat="1" applyFont="1" applyFill="1" applyBorder="1"/>
    <xf numFmtId="0" fontId="4" fillId="4" borderId="22" xfId="0" applyFont="1" applyFill="1" applyBorder="1"/>
    <xf numFmtId="0" fontId="0" fillId="5" borderId="7" xfId="0" applyFill="1" applyBorder="1" applyAlignment="1">
      <alignment horizontal="left" vertical="center"/>
    </xf>
    <xf numFmtId="0" fontId="0" fillId="0" borderId="0" xfId="0" applyAlignment="1"/>
    <xf numFmtId="0" fontId="0" fillId="2" borderId="0" xfId="0" applyFill="1" applyAlignment="1"/>
    <xf numFmtId="0" fontId="0" fillId="3" borderId="0" xfId="0" applyFill="1" applyAlignment="1"/>
    <xf numFmtId="0" fontId="4" fillId="4" borderId="20" xfId="0" applyFont="1" applyFill="1" applyBorder="1" applyAlignment="1"/>
    <xf numFmtId="0" fontId="4" fillId="4" borderId="21" xfId="0" applyFont="1" applyFill="1" applyBorder="1" applyAlignment="1"/>
    <xf numFmtId="0" fontId="4" fillId="4" borderId="22" xfId="0" applyFont="1" applyFill="1" applyBorder="1" applyAlignment="1"/>
    <xf numFmtId="0" fontId="0" fillId="5" borderId="7" xfId="0" applyFill="1" applyBorder="1" applyAlignment="1">
      <alignment horizontal="left" vertical="top"/>
    </xf>
    <xf numFmtId="0" fontId="0" fillId="5" borderId="8" xfId="0" applyFill="1" applyBorder="1" applyAlignment="1">
      <alignment vertical="top"/>
    </xf>
    <xf numFmtId="164" fontId="0" fillId="5" borderId="8" xfId="0" applyNumberFormat="1" applyFill="1" applyBorder="1" applyAlignment="1">
      <alignment vertical="top"/>
    </xf>
    <xf numFmtId="14" fontId="0" fillId="5" borderId="8" xfId="0" applyNumberFormat="1" applyFill="1" applyBorder="1" applyAlignment="1">
      <alignment vertical="top"/>
    </xf>
    <xf numFmtId="0" fontId="0" fillId="5" borderId="9" xfId="0" applyFill="1" applyBorder="1" applyAlignment="1">
      <alignment vertical="top"/>
    </xf>
  </cellXfs>
  <cellStyles count="2">
    <cellStyle name="Normal" xfId="0" builtinId="0"/>
    <cellStyle name="Percent" xfId="1" builtinId="5"/>
  </cellStyles>
  <dxfs count="123">
    <dxf>
      <numFmt numFmtId="19" formatCode="dd/mm/yyyy"/>
    </dxf>
    <dxf>
      <numFmt numFmtId="0" formatCode="General"/>
    </dxf>
    <dxf>
      <numFmt numFmtId="0" formatCode="General"/>
    </dxf>
    <dxf>
      <numFmt numFmtId="0" formatCode="General"/>
    </dxf>
    <dxf>
      <numFmt numFmtId="164" formatCode="[$-14009]yyyy/mm/dd;@"/>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top"/>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vertical="top"/>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wrapText="1"/>
    </dxf>
    <dxf>
      <alignment vertical="top"/>
    </dxf>
    <dxf>
      <alignment vertical="top"/>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vertical="top"/>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font>
        <b/>
        <sz val="11"/>
        <color theme="1"/>
      </font>
      <border>
        <vertical/>
        <horizontal/>
      </border>
    </dxf>
    <dxf>
      <font>
        <b val="0"/>
        <i val="0"/>
        <sz val="8"/>
        <color theme="1"/>
        <name val="d"/>
      </font>
      <border>
        <left style="thin">
          <color theme="1"/>
        </left>
        <right style="thin">
          <color theme="1"/>
        </right>
        <top style="thin">
          <color theme="1"/>
        </top>
        <bottom style="thin">
          <color theme="1"/>
        </bottom>
        <vertical/>
        <horizontal/>
      </border>
    </dxf>
    <dxf>
      <font>
        <b/>
        <i val="0"/>
        <sz val="10"/>
        <color theme="1"/>
        <name val="Dubai Light"/>
        <family val="2"/>
        <scheme val="none"/>
      </font>
      <fill>
        <patternFill>
          <bgColor rgb="FF00CC99"/>
        </patternFill>
      </fill>
      <border>
        <left style="thin">
          <color theme="1"/>
        </left>
        <right style="thin">
          <color theme="1"/>
        </right>
        <top style="thin">
          <color theme="1"/>
        </top>
        <bottom style="thin">
          <color theme="1"/>
        </bottom>
        <vertical/>
        <horizontal/>
      </border>
    </dxf>
    <dxf>
      <font>
        <b val="0"/>
        <i val="0"/>
        <sz val="8"/>
        <color theme="1"/>
        <name val="Dubai Light"/>
        <family val="2"/>
        <scheme val="none"/>
      </font>
      <fill>
        <patternFill>
          <bgColor rgb="FF00CC99"/>
        </patternFill>
      </fill>
      <border diagonalUp="0" diagonalDown="0">
        <left style="thin">
          <color auto="1"/>
        </left>
        <right style="thin">
          <color auto="1"/>
        </right>
        <top style="thin">
          <color auto="1"/>
        </top>
        <bottom style="thin">
          <color auto="1"/>
        </bottom>
        <vertical/>
        <horizontal/>
      </border>
    </dxf>
  </dxfs>
  <tableStyles count="2" defaultTableStyle="TableStyleMedium2" defaultPivotStyle="PivotStyleLight16">
    <tableStyle name="SlicerStyleDark1 2" pivot="0" table="0" count="10" xr9:uid="{123AC9C5-AD99-44A3-9AC8-CD2E29888F35}">
      <tableStyleElement type="wholeTable" dxfId="122"/>
      <tableStyleElement type="headerRow" dxfId="121"/>
    </tableStyle>
    <tableStyle name="TimeSlicerStyleDark1 2" pivot="0" table="0" count="9" xr9:uid="{43A87CA2-7A02-4268-B5F9-51B8B6665542}">
      <tableStyleElement type="wholeTable" dxfId="120"/>
      <tableStyleElement type="headerRow" dxfId="119"/>
    </tableStyle>
  </tableStyles>
  <colors>
    <mruColors>
      <color rgb="FF00CC99"/>
      <color rgb="FF003399"/>
      <color rgb="FF3C6ABE"/>
      <color rgb="FF4472C4"/>
      <color rgb="FFFFFF99"/>
      <color rgb="FFF9FCC4"/>
      <color rgb="FF00FF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val="0"/>
            <i val="0"/>
            <sz val="9"/>
            <color theme="1"/>
            <name val="Dubai Light"/>
            <family val="2"/>
            <scheme val="none"/>
          </font>
          <fill>
            <patternFill patternType="solid">
              <fgColor auto="1"/>
              <bgColor rgb="FF00CC99"/>
            </patternFill>
          </fill>
          <border>
            <left style="thin">
              <color theme="1"/>
            </left>
            <right style="thin">
              <color theme="1"/>
            </right>
            <top style="thin">
              <color theme="1"/>
            </top>
            <bottom style="thin">
              <color theme="1"/>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val="0"/>
            <i val="0"/>
            <sz val="8"/>
            <color rgb="FF000000"/>
            <name val="Dubai Light"/>
            <family val="2"/>
            <scheme val="none"/>
          </font>
          <fill>
            <patternFill patternType="solid">
              <fgColor rgb="FFC0C0C0"/>
              <bgColor rgb="FF00CC99"/>
            </patternFill>
          </fill>
          <border diagonalDown="1">
            <left style="thin">
              <color theme="1"/>
            </left>
            <right style="thin">
              <color theme="1"/>
            </right>
            <top style="thin">
              <color theme="1"/>
            </top>
            <bottom style="thin">
              <color theme="1"/>
            </bottom>
            <diagonal style="thin">
              <color theme="1"/>
            </diagonal>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PivotField!$B$3</c:f>
              <c:strCache>
                <c:ptCount val="1"/>
                <c:pt idx="0">
                  <c:v>Total</c:v>
                </c:pt>
              </c:strCache>
            </c:strRef>
          </c:tx>
          <c:spPr>
            <a:solidFill>
              <a:schemeClr val="accent1"/>
            </a:solidFill>
            <a:ln>
              <a:noFill/>
            </a:ln>
            <a:effectLst/>
          </c:spPr>
          <c:invertIfNegative val="0"/>
          <c:cat>
            <c:strRef>
              <c:f>PivotField!$A$4:$A$15</c:f>
              <c:strCache>
                <c:ptCount val="11"/>
                <c:pt idx="0">
                  <c:v>Admin Offices</c:v>
                </c:pt>
                <c:pt idx="1">
                  <c:v>Executive Office</c:v>
                </c:pt>
                <c:pt idx="2">
                  <c:v>Finance</c:v>
                </c:pt>
                <c:pt idx="3">
                  <c:v>HR</c:v>
                </c:pt>
                <c:pt idx="4">
                  <c:v>IT</c:v>
                </c:pt>
                <c:pt idx="5">
                  <c:v>IT/IS</c:v>
                </c:pt>
                <c:pt idx="6">
                  <c:v>Production</c:v>
                </c:pt>
                <c:pt idx="7">
                  <c:v>Production       </c:v>
                </c:pt>
                <c:pt idx="8">
                  <c:v>R&amp;D</c:v>
                </c:pt>
                <c:pt idx="9">
                  <c:v>Sales</c:v>
                </c:pt>
                <c:pt idx="10">
                  <c:v>Software Engineering</c:v>
                </c:pt>
              </c:strCache>
            </c:strRef>
          </c:cat>
          <c:val>
            <c:numRef>
              <c:f>PivotField!$B$4:$B$15</c:f>
              <c:numCache>
                <c:formatCode>General</c:formatCode>
                <c:ptCount val="11"/>
                <c:pt idx="0">
                  <c:v>9</c:v>
                </c:pt>
                <c:pt idx="1">
                  <c:v>1</c:v>
                </c:pt>
                <c:pt idx="2">
                  <c:v>69</c:v>
                </c:pt>
                <c:pt idx="3">
                  <c:v>90</c:v>
                </c:pt>
                <c:pt idx="4">
                  <c:v>90</c:v>
                </c:pt>
                <c:pt idx="5">
                  <c:v>50</c:v>
                </c:pt>
                <c:pt idx="6">
                  <c:v>80</c:v>
                </c:pt>
                <c:pt idx="7">
                  <c:v>201</c:v>
                </c:pt>
                <c:pt idx="8">
                  <c:v>89</c:v>
                </c:pt>
                <c:pt idx="9">
                  <c:v>113</c:v>
                </c:pt>
                <c:pt idx="10">
                  <c:v>11</c:v>
                </c:pt>
              </c:numCache>
            </c:numRef>
          </c:val>
          <c:extLst>
            <c:ext xmlns:c16="http://schemas.microsoft.com/office/drawing/2014/chart" uri="{C3380CC4-5D6E-409C-BE32-E72D297353CC}">
              <c16:uniqueId val="{00000000-4780-4328-8571-1578748A20AA}"/>
            </c:ext>
          </c:extLst>
        </c:ser>
        <c:dLbls>
          <c:showLegendKey val="0"/>
          <c:showVal val="0"/>
          <c:showCatName val="0"/>
          <c:showSerName val="0"/>
          <c:showPercent val="0"/>
          <c:showBubbleSize val="0"/>
        </c:dLbls>
        <c:gapWidth val="150"/>
        <c:overlap val="100"/>
        <c:axId val="624457807"/>
        <c:axId val="624474607"/>
      </c:barChart>
      <c:catAx>
        <c:axId val="62445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74607"/>
        <c:crosses val="autoZero"/>
        <c:auto val="1"/>
        <c:lblAlgn val="ctr"/>
        <c:lblOffset val="100"/>
        <c:noMultiLvlLbl val="0"/>
      </c:catAx>
      <c:valAx>
        <c:axId val="62447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45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PivotField!$B$48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7E-4092-BEB1-FE7EC9A579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7E-4092-BEB1-FE7EC9A579E9}"/>
              </c:ext>
            </c:extLst>
          </c:dPt>
          <c:cat>
            <c:strRef>
              <c:f>PivotField!$A$49:$A$51</c:f>
              <c:strCache>
                <c:ptCount val="2"/>
                <c:pt idx="0">
                  <c:v>Female</c:v>
                </c:pt>
                <c:pt idx="1">
                  <c:v>Male</c:v>
                </c:pt>
              </c:strCache>
            </c:strRef>
          </c:cat>
          <c:val>
            <c:numRef>
              <c:f>PivotField!$B$49:$B$51</c:f>
              <c:numCache>
                <c:formatCode>General</c:formatCode>
                <c:ptCount val="2"/>
                <c:pt idx="0">
                  <c:v>406</c:v>
                </c:pt>
                <c:pt idx="1">
                  <c:v>397</c:v>
                </c:pt>
              </c:numCache>
            </c:numRef>
          </c:val>
          <c:extLst>
            <c:ext xmlns:c16="http://schemas.microsoft.com/office/drawing/2014/chart" uri="{C3380CC4-5D6E-409C-BE32-E72D297353CC}">
              <c16:uniqueId val="{00000000-1004-443E-AE42-5637A641B6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PivotField!$B$18</c:f>
              <c:strCache>
                <c:ptCount val="1"/>
                <c:pt idx="0">
                  <c:v>Total</c:v>
                </c:pt>
              </c:strCache>
            </c:strRef>
          </c:tx>
          <c:spPr>
            <a:solidFill>
              <a:schemeClr val="accent1"/>
            </a:solidFill>
            <a:ln>
              <a:noFill/>
            </a:ln>
            <a:effectLst/>
          </c:spPr>
          <c:invertIfNegative val="0"/>
          <c:cat>
            <c:strRef>
              <c:f>PivotField!$A$19:$A$30</c:f>
              <c:strCache>
                <c:ptCount val="11"/>
                <c:pt idx="0">
                  <c:v>Admin Offices</c:v>
                </c:pt>
                <c:pt idx="1">
                  <c:v>Executive Office</c:v>
                </c:pt>
                <c:pt idx="2">
                  <c:v>Finance</c:v>
                </c:pt>
                <c:pt idx="3">
                  <c:v>HR</c:v>
                </c:pt>
                <c:pt idx="4">
                  <c:v>IT</c:v>
                </c:pt>
                <c:pt idx="5">
                  <c:v>IT/IS</c:v>
                </c:pt>
                <c:pt idx="6">
                  <c:v>Production</c:v>
                </c:pt>
                <c:pt idx="7">
                  <c:v>Production       </c:v>
                </c:pt>
                <c:pt idx="8">
                  <c:v>R&amp;D</c:v>
                </c:pt>
                <c:pt idx="9">
                  <c:v>Sales</c:v>
                </c:pt>
                <c:pt idx="10">
                  <c:v>Software Engineering</c:v>
                </c:pt>
              </c:strCache>
            </c:strRef>
          </c:cat>
          <c:val>
            <c:numRef>
              <c:f>PivotField!$B$19:$B$30</c:f>
              <c:numCache>
                <c:formatCode>General</c:formatCode>
                <c:ptCount val="11"/>
                <c:pt idx="0">
                  <c:v>71791.888888888891</c:v>
                </c:pt>
                <c:pt idx="1">
                  <c:v>250000</c:v>
                </c:pt>
                <c:pt idx="2">
                  <c:v>74777.188405797104</c:v>
                </c:pt>
                <c:pt idx="3">
                  <c:v>74270.444444444438</c:v>
                </c:pt>
                <c:pt idx="4">
                  <c:v>76122.077777777784</c:v>
                </c:pt>
                <c:pt idx="5">
                  <c:v>97064.639999999999</c:v>
                </c:pt>
                <c:pt idx="6">
                  <c:v>75146</c:v>
                </c:pt>
                <c:pt idx="7">
                  <c:v>60002.139303482589</c:v>
                </c:pt>
                <c:pt idx="8">
                  <c:v>73267.606741573036</c:v>
                </c:pt>
                <c:pt idx="9">
                  <c:v>72090.663716814161</c:v>
                </c:pt>
                <c:pt idx="10">
                  <c:v>94989.454545454544</c:v>
                </c:pt>
              </c:numCache>
            </c:numRef>
          </c:val>
          <c:extLst>
            <c:ext xmlns:c16="http://schemas.microsoft.com/office/drawing/2014/chart" uri="{C3380CC4-5D6E-409C-BE32-E72D297353CC}">
              <c16:uniqueId val="{00000000-47AC-42FC-A010-3089E5054668}"/>
            </c:ext>
          </c:extLst>
        </c:ser>
        <c:dLbls>
          <c:showLegendKey val="0"/>
          <c:showVal val="0"/>
          <c:showCatName val="0"/>
          <c:showSerName val="0"/>
          <c:showPercent val="0"/>
          <c:showBubbleSize val="0"/>
        </c:dLbls>
        <c:gapWidth val="150"/>
        <c:overlap val="100"/>
        <c:axId val="445811311"/>
        <c:axId val="445806991"/>
      </c:barChart>
      <c:catAx>
        <c:axId val="44581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806991"/>
        <c:crosses val="autoZero"/>
        <c:auto val="1"/>
        <c:lblAlgn val="ctr"/>
        <c:lblOffset val="100"/>
        <c:noMultiLvlLbl val="0"/>
      </c:catAx>
      <c:valAx>
        <c:axId val="44580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81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PivotField!$B$33</c:f>
              <c:strCache>
                <c:ptCount val="1"/>
                <c:pt idx="0">
                  <c:v>Total</c:v>
                </c:pt>
              </c:strCache>
            </c:strRef>
          </c:tx>
          <c:spPr>
            <a:solidFill>
              <a:schemeClr val="accent1"/>
            </a:solidFill>
            <a:ln>
              <a:noFill/>
            </a:ln>
            <a:effectLst/>
          </c:spPr>
          <c:invertIfNegative val="0"/>
          <c:cat>
            <c:strRef>
              <c:f>PivotField!$A$34:$A$45</c:f>
              <c:strCache>
                <c:ptCount val="11"/>
                <c:pt idx="0">
                  <c:v>Admin Offices</c:v>
                </c:pt>
                <c:pt idx="1">
                  <c:v>Executive Office</c:v>
                </c:pt>
                <c:pt idx="2">
                  <c:v>Finance</c:v>
                </c:pt>
                <c:pt idx="3">
                  <c:v>HR</c:v>
                </c:pt>
                <c:pt idx="4">
                  <c:v>IT</c:v>
                </c:pt>
                <c:pt idx="5">
                  <c:v>IT/IS</c:v>
                </c:pt>
                <c:pt idx="6">
                  <c:v>Production</c:v>
                </c:pt>
                <c:pt idx="7">
                  <c:v>Production       </c:v>
                </c:pt>
                <c:pt idx="8">
                  <c:v>R&amp;D</c:v>
                </c:pt>
                <c:pt idx="9">
                  <c:v>Sales</c:v>
                </c:pt>
                <c:pt idx="10">
                  <c:v>Software Engineering</c:v>
                </c:pt>
              </c:strCache>
            </c:strRef>
          </c:cat>
          <c:val>
            <c:numRef>
              <c:f>PivotField!$B$34:$B$45</c:f>
              <c:numCache>
                <c:formatCode>General</c:formatCode>
                <c:ptCount val="11"/>
                <c:pt idx="0">
                  <c:v>9</c:v>
                </c:pt>
                <c:pt idx="1">
                  <c:v>1</c:v>
                </c:pt>
                <c:pt idx="2">
                  <c:v>69</c:v>
                </c:pt>
                <c:pt idx="3">
                  <c:v>90</c:v>
                </c:pt>
                <c:pt idx="4">
                  <c:v>90</c:v>
                </c:pt>
                <c:pt idx="5">
                  <c:v>50</c:v>
                </c:pt>
                <c:pt idx="6">
                  <c:v>80</c:v>
                </c:pt>
                <c:pt idx="7">
                  <c:v>201</c:v>
                </c:pt>
                <c:pt idx="8">
                  <c:v>89</c:v>
                </c:pt>
                <c:pt idx="9">
                  <c:v>113</c:v>
                </c:pt>
                <c:pt idx="10">
                  <c:v>11</c:v>
                </c:pt>
              </c:numCache>
            </c:numRef>
          </c:val>
          <c:extLst>
            <c:ext xmlns:c16="http://schemas.microsoft.com/office/drawing/2014/chart" uri="{C3380CC4-5D6E-409C-BE32-E72D297353CC}">
              <c16:uniqueId val="{00000000-1E96-4455-AAEE-2E1D8A5E57C5}"/>
            </c:ext>
          </c:extLst>
        </c:ser>
        <c:dLbls>
          <c:showLegendKey val="0"/>
          <c:showVal val="0"/>
          <c:showCatName val="0"/>
          <c:showSerName val="0"/>
          <c:showPercent val="0"/>
          <c:showBubbleSize val="0"/>
        </c:dLbls>
        <c:gapWidth val="219"/>
        <c:overlap val="-27"/>
        <c:axId val="460442367"/>
        <c:axId val="460441887"/>
      </c:barChart>
      <c:catAx>
        <c:axId val="46044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41887"/>
        <c:crosses val="autoZero"/>
        <c:auto val="1"/>
        <c:lblAlgn val="ctr"/>
        <c:lblOffset val="100"/>
        <c:noMultiLvlLbl val="0"/>
      </c:catAx>
      <c:valAx>
        <c:axId val="46044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44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PivotField!$B$60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PivotField!$A$61:$A$64</c:f>
              <c:strCache>
                <c:ptCount val="3"/>
                <c:pt idx="0">
                  <c:v>Active</c:v>
                </c:pt>
                <c:pt idx="1">
                  <c:v>Terminated for Cause</c:v>
                </c:pt>
                <c:pt idx="2">
                  <c:v>Voluntarily Terminated</c:v>
                </c:pt>
              </c:strCache>
            </c:strRef>
          </c:cat>
          <c:val>
            <c:numRef>
              <c:f>PivotField!$B$61:$B$64</c:f>
              <c:numCache>
                <c:formatCode>General</c:formatCode>
                <c:ptCount val="3"/>
                <c:pt idx="0">
                  <c:v>362</c:v>
                </c:pt>
                <c:pt idx="1">
                  <c:v>169</c:v>
                </c:pt>
                <c:pt idx="2">
                  <c:v>272</c:v>
                </c:pt>
              </c:numCache>
            </c:numRef>
          </c:val>
          <c:smooth val="0"/>
          <c:extLst>
            <c:ext xmlns:c16="http://schemas.microsoft.com/office/drawing/2014/chart" uri="{C3380CC4-5D6E-409C-BE32-E72D297353CC}">
              <c16:uniqueId val="{00000000-11C0-4A83-9662-8EDE932A986E}"/>
            </c:ext>
          </c:extLst>
        </c:ser>
        <c:dLbls>
          <c:showLegendKey val="0"/>
          <c:showVal val="0"/>
          <c:showCatName val="0"/>
          <c:showSerName val="0"/>
          <c:showPercent val="0"/>
          <c:showBubbleSize val="0"/>
        </c:dLbls>
        <c:marker val="1"/>
        <c:smooth val="0"/>
        <c:axId val="445798351"/>
        <c:axId val="445812271"/>
      </c:lineChart>
      <c:catAx>
        <c:axId val="44579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812271"/>
        <c:crosses val="autoZero"/>
        <c:auto val="1"/>
        <c:lblAlgn val="ctr"/>
        <c:lblOffset val="100"/>
        <c:noMultiLvlLbl val="0"/>
      </c:catAx>
      <c:valAx>
        <c:axId val="44581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9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PivotField!$B$75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PivotField!$A$76:$A$87</c:f>
              <c:strCache>
                <c:ptCount val="11"/>
                <c:pt idx="0">
                  <c:v>Admin Offices</c:v>
                </c:pt>
                <c:pt idx="1">
                  <c:v>Executive Office</c:v>
                </c:pt>
                <c:pt idx="2">
                  <c:v>Finance</c:v>
                </c:pt>
                <c:pt idx="3">
                  <c:v>HR</c:v>
                </c:pt>
                <c:pt idx="4">
                  <c:v>IT</c:v>
                </c:pt>
                <c:pt idx="5">
                  <c:v>IT/IS</c:v>
                </c:pt>
                <c:pt idx="6">
                  <c:v>Production</c:v>
                </c:pt>
                <c:pt idx="7">
                  <c:v>Production       </c:v>
                </c:pt>
                <c:pt idx="8">
                  <c:v>R&amp;D</c:v>
                </c:pt>
                <c:pt idx="9">
                  <c:v>Sales</c:v>
                </c:pt>
                <c:pt idx="10">
                  <c:v>Software Engineering</c:v>
                </c:pt>
              </c:strCache>
            </c:strRef>
          </c:cat>
          <c:val>
            <c:numRef>
              <c:f>PivotField!$B$76:$B$87</c:f>
              <c:numCache>
                <c:formatCode>General</c:formatCode>
                <c:ptCount val="11"/>
                <c:pt idx="0">
                  <c:v>4.3933333333333335</c:v>
                </c:pt>
                <c:pt idx="1">
                  <c:v>4.83</c:v>
                </c:pt>
                <c:pt idx="2">
                  <c:v>3.7115942028985511</c:v>
                </c:pt>
                <c:pt idx="3">
                  <c:v>3.5511111111111124</c:v>
                </c:pt>
                <c:pt idx="4">
                  <c:v>3.8533333333333335</c:v>
                </c:pt>
                <c:pt idx="5">
                  <c:v>4.1539999999999999</c:v>
                </c:pt>
                <c:pt idx="6">
                  <c:v>3.713750000000001</c:v>
                </c:pt>
                <c:pt idx="7">
                  <c:v>4.1245273631840806</c:v>
                </c:pt>
                <c:pt idx="8">
                  <c:v>3.8471910112359553</c:v>
                </c:pt>
                <c:pt idx="9">
                  <c:v>3.8069026548672582</c:v>
                </c:pt>
                <c:pt idx="10">
                  <c:v>4.0618181818181824</c:v>
                </c:pt>
              </c:numCache>
            </c:numRef>
          </c:val>
          <c:smooth val="0"/>
          <c:extLst>
            <c:ext xmlns:c16="http://schemas.microsoft.com/office/drawing/2014/chart" uri="{C3380CC4-5D6E-409C-BE32-E72D297353CC}">
              <c16:uniqueId val="{00000000-3D80-4853-B0C0-5779CEBC6622}"/>
            </c:ext>
          </c:extLst>
        </c:ser>
        <c:dLbls>
          <c:showLegendKey val="0"/>
          <c:showVal val="0"/>
          <c:showCatName val="0"/>
          <c:showSerName val="0"/>
          <c:showPercent val="0"/>
          <c:showBubbleSize val="0"/>
        </c:dLbls>
        <c:marker val="1"/>
        <c:smooth val="0"/>
        <c:axId val="1391424511"/>
        <c:axId val="1391430271"/>
      </c:lineChart>
      <c:catAx>
        <c:axId val="139142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430271"/>
        <c:crosses val="autoZero"/>
        <c:auto val="1"/>
        <c:lblAlgn val="ctr"/>
        <c:lblOffset val="100"/>
        <c:noMultiLvlLbl val="0"/>
      </c:catAx>
      <c:valAx>
        <c:axId val="139143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42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PivotField!$B$90</c:f>
              <c:strCache>
                <c:ptCount val="1"/>
                <c:pt idx="0">
                  <c:v>Total</c:v>
                </c:pt>
              </c:strCache>
            </c:strRef>
          </c:tx>
          <c:spPr>
            <a:solidFill>
              <a:schemeClr val="accent1"/>
            </a:solidFill>
            <a:ln>
              <a:noFill/>
            </a:ln>
            <a:effectLst/>
          </c:spPr>
          <c:cat>
            <c:strRef>
              <c:f>PivotField!$A$91:$A$96</c:f>
              <c:strCache>
                <c:ptCount val="5"/>
                <c:pt idx="0">
                  <c:v>Divorced</c:v>
                </c:pt>
                <c:pt idx="1">
                  <c:v>Married</c:v>
                </c:pt>
                <c:pt idx="2">
                  <c:v>Seperated</c:v>
                </c:pt>
                <c:pt idx="3">
                  <c:v>Single</c:v>
                </c:pt>
                <c:pt idx="4">
                  <c:v>Widowed</c:v>
                </c:pt>
              </c:strCache>
            </c:strRef>
          </c:cat>
          <c:val>
            <c:numRef>
              <c:f>PivotField!$B$91:$B$96</c:f>
              <c:numCache>
                <c:formatCode>General</c:formatCode>
                <c:ptCount val="5"/>
                <c:pt idx="0">
                  <c:v>196</c:v>
                </c:pt>
                <c:pt idx="1">
                  <c:v>286</c:v>
                </c:pt>
                <c:pt idx="2">
                  <c:v>11</c:v>
                </c:pt>
                <c:pt idx="3">
                  <c:v>302</c:v>
                </c:pt>
                <c:pt idx="4">
                  <c:v>8</c:v>
                </c:pt>
              </c:numCache>
            </c:numRef>
          </c:val>
          <c:extLst>
            <c:ext xmlns:c16="http://schemas.microsoft.com/office/drawing/2014/chart" uri="{C3380CC4-5D6E-409C-BE32-E72D297353CC}">
              <c16:uniqueId val="{00000000-E435-4042-954A-3013188BDE9E}"/>
            </c:ext>
          </c:extLst>
        </c:ser>
        <c:dLbls>
          <c:showLegendKey val="0"/>
          <c:showVal val="0"/>
          <c:showCatName val="0"/>
          <c:showSerName val="0"/>
          <c:showPercent val="0"/>
          <c:showBubbleSize val="0"/>
        </c:dLbls>
        <c:axId val="1391439871"/>
        <c:axId val="1391440351"/>
      </c:areaChart>
      <c:catAx>
        <c:axId val="1391439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440351"/>
        <c:crosses val="autoZero"/>
        <c:auto val="1"/>
        <c:lblAlgn val="ctr"/>
        <c:lblOffset val="100"/>
        <c:noMultiLvlLbl val="0"/>
      </c:catAx>
      <c:valAx>
        <c:axId val="139144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4398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PivotField!$K$33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DC-4252-8C82-D6F55E924F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DC-4252-8C82-D6F55E924F08}"/>
              </c:ext>
            </c:extLst>
          </c:dPt>
          <c:cat>
            <c:strRef>
              <c:f>PivotField!$J$34:$J$36</c:f>
              <c:strCache>
                <c:ptCount val="2"/>
                <c:pt idx="0">
                  <c:v>No</c:v>
                </c:pt>
                <c:pt idx="1">
                  <c:v>Yes</c:v>
                </c:pt>
              </c:strCache>
            </c:strRef>
          </c:cat>
          <c:val>
            <c:numRef>
              <c:f>PivotField!$K$34:$K$36</c:f>
              <c:numCache>
                <c:formatCode>General</c:formatCode>
                <c:ptCount val="2"/>
                <c:pt idx="0">
                  <c:v>520</c:v>
                </c:pt>
                <c:pt idx="1">
                  <c:v>283</c:v>
                </c:pt>
              </c:numCache>
            </c:numRef>
          </c:val>
          <c:extLst>
            <c:ext xmlns:c16="http://schemas.microsoft.com/office/drawing/2014/chart" uri="{C3380CC4-5D6E-409C-BE32-E72D297353CC}">
              <c16:uniqueId val="{00000000-E28A-45CC-B4A2-4E614BEC45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PivotField!$K$44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E2-4D53-A3A3-D6F136CE7D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E2-4D53-A3A3-D6F136CE7D9C}"/>
              </c:ext>
            </c:extLst>
          </c:dPt>
          <c:cat>
            <c:strRef>
              <c:f>PivotField!$J$45:$J$47</c:f>
              <c:strCache>
                <c:ptCount val="2"/>
                <c:pt idx="0">
                  <c:v>0</c:v>
                </c:pt>
                <c:pt idx="1">
                  <c:v>1</c:v>
                </c:pt>
              </c:strCache>
            </c:strRef>
          </c:cat>
          <c:val>
            <c:numRef>
              <c:f>PivotField!$K$45:$K$47</c:f>
              <c:numCache>
                <c:formatCode>General</c:formatCode>
                <c:ptCount val="2"/>
                <c:pt idx="0">
                  <c:v>463</c:v>
                </c:pt>
                <c:pt idx="1">
                  <c:v>340</c:v>
                </c:pt>
              </c:numCache>
            </c:numRef>
          </c:val>
          <c:extLst>
            <c:ext xmlns:c16="http://schemas.microsoft.com/office/drawing/2014/chart" uri="{C3380CC4-5D6E-409C-BE32-E72D297353CC}">
              <c16:uniqueId val="{00000000-C945-491A-A0AE-9ACA2ECBE54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PivotField!$K$60</c:f>
              <c:strCache>
                <c:ptCount val="1"/>
                <c:pt idx="0">
                  <c:v>Total</c:v>
                </c:pt>
              </c:strCache>
            </c:strRef>
          </c:tx>
          <c:spPr>
            <a:solidFill>
              <a:schemeClr val="accent1"/>
            </a:solidFill>
            <a:ln>
              <a:noFill/>
            </a:ln>
            <a:effectLst/>
          </c:spPr>
          <c:invertIfNegative val="0"/>
          <c:cat>
            <c:strRef>
              <c:f>PivotField!$J$61:$J$72</c:f>
              <c:strCache>
                <c:ptCount val="11"/>
                <c:pt idx="0">
                  <c:v>Admin Offices</c:v>
                </c:pt>
                <c:pt idx="1">
                  <c:v>Executive Office</c:v>
                </c:pt>
                <c:pt idx="2">
                  <c:v>Finance</c:v>
                </c:pt>
                <c:pt idx="3">
                  <c:v>HR</c:v>
                </c:pt>
                <c:pt idx="4">
                  <c:v>IT</c:v>
                </c:pt>
                <c:pt idx="5">
                  <c:v>IT/IS</c:v>
                </c:pt>
                <c:pt idx="6">
                  <c:v>Production</c:v>
                </c:pt>
                <c:pt idx="7">
                  <c:v>Production       </c:v>
                </c:pt>
                <c:pt idx="8">
                  <c:v>R&amp;D</c:v>
                </c:pt>
                <c:pt idx="9">
                  <c:v>Sales</c:v>
                </c:pt>
                <c:pt idx="10">
                  <c:v>Software Engineering</c:v>
                </c:pt>
              </c:strCache>
            </c:strRef>
          </c:cat>
          <c:val>
            <c:numRef>
              <c:f>PivotField!$K$61:$K$72</c:f>
              <c:numCache>
                <c:formatCode>General</c:formatCode>
                <c:ptCount val="11"/>
                <c:pt idx="0">
                  <c:v>9</c:v>
                </c:pt>
                <c:pt idx="1">
                  <c:v>1</c:v>
                </c:pt>
                <c:pt idx="2">
                  <c:v>69</c:v>
                </c:pt>
                <c:pt idx="3">
                  <c:v>90</c:v>
                </c:pt>
                <c:pt idx="4">
                  <c:v>90</c:v>
                </c:pt>
                <c:pt idx="5">
                  <c:v>50</c:v>
                </c:pt>
                <c:pt idx="6">
                  <c:v>80</c:v>
                </c:pt>
                <c:pt idx="7">
                  <c:v>201</c:v>
                </c:pt>
                <c:pt idx="8">
                  <c:v>89</c:v>
                </c:pt>
                <c:pt idx="9">
                  <c:v>113</c:v>
                </c:pt>
                <c:pt idx="10">
                  <c:v>11</c:v>
                </c:pt>
              </c:numCache>
            </c:numRef>
          </c:val>
          <c:extLst>
            <c:ext xmlns:c16="http://schemas.microsoft.com/office/drawing/2014/chart" uri="{C3380CC4-5D6E-409C-BE32-E72D297353CC}">
              <c16:uniqueId val="{00000000-D7DF-4108-B264-4F04D374A533}"/>
            </c:ext>
          </c:extLst>
        </c:ser>
        <c:dLbls>
          <c:showLegendKey val="0"/>
          <c:showVal val="0"/>
          <c:showCatName val="0"/>
          <c:showSerName val="0"/>
          <c:showPercent val="0"/>
          <c:showBubbleSize val="0"/>
        </c:dLbls>
        <c:gapWidth val="150"/>
        <c:overlap val="100"/>
        <c:axId val="1391339551"/>
        <c:axId val="1391330911"/>
      </c:barChart>
      <c:catAx>
        <c:axId val="139133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330911"/>
        <c:crosses val="autoZero"/>
        <c:auto val="1"/>
        <c:lblAlgn val="ctr"/>
        <c:lblOffset val="100"/>
        <c:noMultiLvlLbl val="0"/>
      </c:catAx>
      <c:valAx>
        <c:axId val="139133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33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PivotField!$K$74</c:f>
              <c:strCache>
                <c:ptCount val="1"/>
                <c:pt idx="0">
                  <c:v>Total</c:v>
                </c:pt>
              </c:strCache>
            </c:strRef>
          </c:tx>
          <c:spPr>
            <a:solidFill>
              <a:schemeClr val="accent1"/>
            </a:solidFill>
            <a:ln>
              <a:noFill/>
            </a:ln>
            <a:effectLst/>
          </c:spPr>
          <c:invertIfNegative val="0"/>
          <c:cat>
            <c:strRef>
              <c:f>PivotField!$J$75:$J$86</c:f>
              <c:strCache>
                <c:ptCount val="11"/>
                <c:pt idx="0">
                  <c:v>Agency</c:v>
                </c:pt>
                <c:pt idx="1">
                  <c:v>CareerBuilder</c:v>
                </c:pt>
                <c:pt idx="2">
                  <c:v>Diversity Job Fair</c:v>
                </c:pt>
                <c:pt idx="3">
                  <c:v>Employee Referral</c:v>
                </c:pt>
                <c:pt idx="4">
                  <c:v>Google Search</c:v>
                </c:pt>
                <c:pt idx="5">
                  <c:v>Indeed</c:v>
                </c:pt>
                <c:pt idx="6">
                  <c:v>LinkedIn</c:v>
                </c:pt>
                <c:pt idx="7">
                  <c:v>On-line Web application</c:v>
                </c:pt>
                <c:pt idx="8">
                  <c:v>Other</c:v>
                </c:pt>
                <c:pt idx="9">
                  <c:v>Referral</c:v>
                </c:pt>
                <c:pt idx="10">
                  <c:v>Website</c:v>
                </c:pt>
              </c:strCache>
            </c:strRef>
          </c:cat>
          <c:val>
            <c:numRef>
              <c:f>PivotField!$K$75:$K$86</c:f>
              <c:numCache>
                <c:formatCode>General</c:formatCode>
                <c:ptCount val="11"/>
                <c:pt idx="0">
                  <c:v>106</c:v>
                </c:pt>
                <c:pt idx="1">
                  <c:v>23</c:v>
                </c:pt>
                <c:pt idx="2">
                  <c:v>29</c:v>
                </c:pt>
                <c:pt idx="3">
                  <c:v>31</c:v>
                </c:pt>
                <c:pt idx="4">
                  <c:v>46</c:v>
                </c:pt>
                <c:pt idx="5">
                  <c:v>182</c:v>
                </c:pt>
                <c:pt idx="6">
                  <c:v>176</c:v>
                </c:pt>
                <c:pt idx="7">
                  <c:v>1</c:v>
                </c:pt>
                <c:pt idx="8">
                  <c:v>2</c:v>
                </c:pt>
                <c:pt idx="9">
                  <c:v>98</c:v>
                </c:pt>
                <c:pt idx="10">
                  <c:v>109</c:v>
                </c:pt>
              </c:numCache>
            </c:numRef>
          </c:val>
          <c:extLst>
            <c:ext xmlns:c16="http://schemas.microsoft.com/office/drawing/2014/chart" uri="{C3380CC4-5D6E-409C-BE32-E72D297353CC}">
              <c16:uniqueId val="{00000000-75FD-4174-8F8D-49E5B413CD19}"/>
            </c:ext>
          </c:extLst>
        </c:ser>
        <c:dLbls>
          <c:showLegendKey val="0"/>
          <c:showVal val="0"/>
          <c:showCatName val="0"/>
          <c:showSerName val="0"/>
          <c:showPercent val="0"/>
          <c:showBubbleSize val="0"/>
        </c:dLbls>
        <c:gapWidth val="150"/>
        <c:overlap val="100"/>
        <c:axId val="1391346271"/>
        <c:axId val="1391329951"/>
      </c:barChart>
      <c:catAx>
        <c:axId val="139134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329951"/>
        <c:crosses val="autoZero"/>
        <c:auto val="1"/>
        <c:lblAlgn val="ctr"/>
        <c:lblOffset val="100"/>
        <c:noMultiLvlLbl val="0"/>
      </c:catAx>
      <c:valAx>
        <c:axId val="139132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34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PivotField!$B$103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PivotField!$A$104:$A$139</c:f>
              <c:strCache>
                <c:ptCount val="35"/>
                <c:pt idx="0">
                  <c:v>Accountant I</c:v>
                </c:pt>
                <c:pt idx="1">
                  <c:v>Administrative Assistant</c:v>
                </c:pt>
                <c:pt idx="2">
                  <c:v>Area Sales Manager</c:v>
                </c:pt>
                <c:pt idx="3">
                  <c:v>BI Developer</c:v>
                </c:pt>
                <c:pt idx="4">
                  <c:v>BI Director</c:v>
                </c:pt>
                <c:pt idx="5">
                  <c:v>CIO</c:v>
                </c:pt>
                <c:pt idx="6">
                  <c:v>Data Analyst</c:v>
                </c:pt>
                <c:pt idx="7">
                  <c:v>Data Analyst </c:v>
                </c:pt>
                <c:pt idx="8">
                  <c:v>Data Architect</c:v>
                </c:pt>
                <c:pt idx="9">
                  <c:v>Database Administrator</c:v>
                </c:pt>
                <c:pt idx="10">
                  <c:v>Director of Operations</c:v>
                </c:pt>
                <c:pt idx="11">
                  <c:v>Director of Sales</c:v>
                </c:pt>
                <c:pt idx="12">
                  <c:v>Enterprise Architect</c:v>
                </c:pt>
                <c:pt idx="13">
                  <c:v>HR Specialist</c:v>
                </c:pt>
                <c:pt idx="14">
                  <c:v>IT Director</c:v>
                </c:pt>
                <c:pt idx="15">
                  <c:v>IT Manager - DB</c:v>
                </c:pt>
                <c:pt idx="16">
                  <c:v>IT Manager - Infra</c:v>
                </c:pt>
                <c:pt idx="17">
                  <c:v>IT Manager - Support</c:v>
                </c:pt>
                <c:pt idx="18">
                  <c:v>IT Support</c:v>
                </c:pt>
                <c:pt idx="19">
                  <c:v>Manager</c:v>
                </c:pt>
                <c:pt idx="20">
                  <c:v>Network Engineer</c:v>
                </c:pt>
                <c:pt idx="21">
                  <c:v>President &amp; CEO</c:v>
                </c:pt>
                <c:pt idx="22">
                  <c:v>Principal Data Architect</c:v>
                </c:pt>
                <c:pt idx="23">
                  <c:v>Production Manager</c:v>
                </c:pt>
                <c:pt idx="24">
                  <c:v>Production Technician I</c:v>
                </c:pt>
                <c:pt idx="25">
                  <c:v>Production Technician II</c:v>
                </c:pt>
                <c:pt idx="26">
                  <c:v>Sales Executive</c:v>
                </c:pt>
                <c:pt idx="27">
                  <c:v>Sales Manager</c:v>
                </c:pt>
                <c:pt idx="28">
                  <c:v>Senior BI Developer</c:v>
                </c:pt>
                <c:pt idx="29">
                  <c:v>Shared Services Manager</c:v>
                </c:pt>
                <c:pt idx="30">
                  <c:v>Software Engineer</c:v>
                </c:pt>
                <c:pt idx="31">
                  <c:v>Software Engineering Manager</c:v>
                </c:pt>
                <c:pt idx="32">
                  <c:v>Sr. Accountant</c:v>
                </c:pt>
                <c:pt idx="33">
                  <c:v>Sr. DBA</c:v>
                </c:pt>
                <c:pt idx="34">
                  <c:v>Sr. Network Engineer</c:v>
                </c:pt>
              </c:strCache>
            </c:strRef>
          </c:cat>
          <c:val>
            <c:numRef>
              <c:f>PivotField!$B$104:$B$139</c:f>
              <c:numCache>
                <c:formatCode>General</c:formatCode>
                <c:ptCount val="35"/>
                <c:pt idx="0">
                  <c:v>3</c:v>
                </c:pt>
                <c:pt idx="1">
                  <c:v>3</c:v>
                </c:pt>
                <c:pt idx="2">
                  <c:v>27</c:v>
                </c:pt>
                <c:pt idx="3">
                  <c:v>4</c:v>
                </c:pt>
                <c:pt idx="4">
                  <c:v>1</c:v>
                </c:pt>
                <c:pt idx="5">
                  <c:v>1</c:v>
                </c:pt>
                <c:pt idx="6">
                  <c:v>7</c:v>
                </c:pt>
                <c:pt idx="7">
                  <c:v>1</c:v>
                </c:pt>
                <c:pt idx="8">
                  <c:v>1</c:v>
                </c:pt>
                <c:pt idx="9">
                  <c:v>5</c:v>
                </c:pt>
                <c:pt idx="10">
                  <c:v>1</c:v>
                </c:pt>
                <c:pt idx="11">
                  <c:v>1</c:v>
                </c:pt>
                <c:pt idx="12">
                  <c:v>1</c:v>
                </c:pt>
                <c:pt idx="13">
                  <c:v>94</c:v>
                </c:pt>
                <c:pt idx="14">
                  <c:v>1</c:v>
                </c:pt>
                <c:pt idx="15">
                  <c:v>2</c:v>
                </c:pt>
                <c:pt idx="16">
                  <c:v>1</c:v>
                </c:pt>
                <c:pt idx="17">
                  <c:v>1</c:v>
                </c:pt>
                <c:pt idx="18">
                  <c:v>8</c:v>
                </c:pt>
                <c:pt idx="19">
                  <c:v>98</c:v>
                </c:pt>
                <c:pt idx="20">
                  <c:v>5</c:v>
                </c:pt>
                <c:pt idx="21">
                  <c:v>1</c:v>
                </c:pt>
                <c:pt idx="22">
                  <c:v>1</c:v>
                </c:pt>
                <c:pt idx="23">
                  <c:v>14</c:v>
                </c:pt>
                <c:pt idx="24">
                  <c:v>231</c:v>
                </c:pt>
                <c:pt idx="25">
                  <c:v>53</c:v>
                </c:pt>
                <c:pt idx="26">
                  <c:v>101</c:v>
                </c:pt>
                <c:pt idx="27">
                  <c:v>3</c:v>
                </c:pt>
                <c:pt idx="28">
                  <c:v>3</c:v>
                </c:pt>
                <c:pt idx="29">
                  <c:v>1</c:v>
                </c:pt>
                <c:pt idx="30">
                  <c:v>119</c:v>
                </c:pt>
                <c:pt idx="31">
                  <c:v>1</c:v>
                </c:pt>
                <c:pt idx="32">
                  <c:v>2</c:v>
                </c:pt>
                <c:pt idx="33">
                  <c:v>2</c:v>
                </c:pt>
                <c:pt idx="34">
                  <c:v>5</c:v>
                </c:pt>
              </c:numCache>
            </c:numRef>
          </c:val>
          <c:smooth val="0"/>
          <c:extLst>
            <c:ext xmlns:c16="http://schemas.microsoft.com/office/drawing/2014/chart" uri="{C3380CC4-5D6E-409C-BE32-E72D297353CC}">
              <c16:uniqueId val="{00000000-B84B-495C-98B8-FE15A8D8A19D}"/>
            </c:ext>
          </c:extLst>
        </c:ser>
        <c:dLbls>
          <c:showLegendKey val="0"/>
          <c:showVal val="0"/>
          <c:showCatName val="0"/>
          <c:showSerName val="0"/>
          <c:showPercent val="0"/>
          <c:showBubbleSize val="0"/>
        </c:dLbls>
        <c:marker val="1"/>
        <c:smooth val="0"/>
        <c:axId val="1391363071"/>
        <c:axId val="1391368831"/>
      </c:lineChart>
      <c:catAx>
        <c:axId val="139136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368831"/>
        <c:crosses val="autoZero"/>
        <c:auto val="1"/>
        <c:lblAlgn val="ctr"/>
        <c:lblOffset val="100"/>
        <c:noMultiLvlLbl val="0"/>
      </c:catAx>
      <c:valAx>
        <c:axId val="139136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36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PivotField!$T$33</c:f>
              <c:strCache>
                <c:ptCount val="1"/>
                <c:pt idx="0">
                  <c:v>Total</c:v>
                </c:pt>
              </c:strCache>
            </c:strRef>
          </c:tx>
          <c:spPr>
            <a:ln w="28575" cap="rnd">
              <a:solidFill>
                <a:schemeClr val="accent1"/>
              </a:solidFill>
              <a:round/>
            </a:ln>
            <a:effectLst/>
          </c:spPr>
          <c:marker>
            <c:symbol val="none"/>
          </c:marker>
          <c:cat>
            <c:strRef>
              <c:f>PivotField!$S$34:$S$54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PivotField!$T$34:$T$54</c:f>
              <c:numCache>
                <c:formatCode>General</c:formatCode>
                <c:ptCount val="20"/>
                <c:pt idx="0">
                  <c:v>1</c:v>
                </c:pt>
                <c:pt idx="1">
                  <c:v>2</c:v>
                </c:pt>
                <c:pt idx="2">
                  <c:v>3</c:v>
                </c:pt>
                <c:pt idx="3">
                  <c:v>7</c:v>
                </c:pt>
                <c:pt idx="4">
                  <c:v>9</c:v>
                </c:pt>
                <c:pt idx="5">
                  <c:v>82</c:v>
                </c:pt>
                <c:pt idx="6">
                  <c:v>45</c:v>
                </c:pt>
                <c:pt idx="7">
                  <c:v>41</c:v>
                </c:pt>
                <c:pt idx="8">
                  <c:v>58</c:v>
                </c:pt>
                <c:pt idx="9">
                  <c:v>43</c:v>
                </c:pt>
                <c:pt idx="10">
                  <c:v>71</c:v>
                </c:pt>
                <c:pt idx="11">
                  <c:v>43</c:v>
                </c:pt>
                <c:pt idx="12">
                  <c:v>60</c:v>
                </c:pt>
                <c:pt idx="13">
                  <c:v>54</c:v>
                </c:pt>
                <c:pt idx="14">
                  <c:v>43</c:v>
                </c:pt>
                <c:pt idx="15">
                  <c:v>47</c:v>
                </c:pt>
                <c:pt idx="16">
                  <c:v>57</c:v>
                </c:pt>
                <c:pt idx="17">
                  <c:v>45</c:v>
                </c:pt>
                <c:pt idx="18">
                  <c:v>50</c:v>
                </c:pt>
                <c:pt idx="19">
                  <c:v>42</c:v>
                </c:pt>
              </c:numCache>
            </c:numRef>
          </c:val>
          <c:smooth val="0"/>
          <c:extLst>
            <c:ext xmlns:c16="http://schemas.microsoft.com/office/drawing/2014/chart" uri="{C3380CC4-5D6E-409C-BE32-E72D297353CC}">
              <c16:uniqueId val="{00000000-E1B5-46F7-A5C2-573C28630759}"/>
            </c:ext>
          </c:extLst>
        </c:ser>
        <c:dLbls>
          <c:showLegendKey val="0"/>
          <c:showVal val="0"/>
          <c:showCatName val="0"/>
          <c:showSerName val="0"/>
          <c:showPercent val="0"/>
          <c:showBubbleSize val="0"/>
        </c:dLbls>
        <c:smooth val="0"/>
        <c:axId val="1391388031"/>
        <c:axId val="1391388991"/>
      </c:lineChart>
      <c:catAx>
        <c:axId val="139138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388991"/>
        <c:crosses val="autoZero"/>
        <c:auto val="1"/>
        <c:lblAlgn val="ctr"/>
        <c:lblOffset val="100"/>
        <c:noMultiLvlLbl val="0"/>
      </c:catAx>
      <c:valAx>
        <c:axId val="139138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38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[HRDATA.xlsx]PivotField!PivotTable1</c:name>
    <c:fmtId val="4"/>
  </c:pivotSource>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t>Department</a:t>
            </a:r>
            <a:r>
              <a:rPr lang="en-US" sz="1000" baseline="0"/>
              <a:t> Wise Employee Count</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99"/>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3399"/>
          </a:solidFill>
          <a:ln>
            <a:noFill/>
          </a:ln>
          <a:effectLst/>
        </c:spPr>
        <c:dLbl>
          <c:idx val="0"/>
          <c:layout>
            <c:manualLayout>
              <c:x val="4.9725511262436765E-3"/>
              <c:y val="-0.2803454904435734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3399"/>
          </a:solidFill>
          <a:ln>
            <a:noFill/>
          </a:ln>
          <a:effectLst/>
        </c:spPr>
        <c:dLbl>
          <c:idx val="0"/>
          <c:layout>
            <c:manualLayout>
              <c:x val="0"/>
              <c:y val="-0.17464145306320969"/>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3399"/>
          </a:solidFill>
          <a:ln>
            <a:noFill/>
          </a:ln>
          <a:effectLst/>
        </c:spPr>
        <c:dLbl>
          <c:idx val="0"/>
          <c:layout>
            <c:manualLayout>
              <c:x val="-4.9725511262436765E-3"/>
              <c:y val="-0.1424706590778815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3399"/>
          </a:solidFill>
          <a:ln>
            <a:noFill/>
          </a:ln>
          <a:effectLst/>
        </c:spPr>
        <c:dLbl>
          <c:idx val="0"/>
          <c:layout>
            <c:manualLayout>
              <c:x val="0"/>
              <c:y val="-3.6766621697517904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3399"/>
          </a:solidFill>
          <a:ln>
            <a:noFill/>
          </a:ln>
          <a:effectLst/>
        </c:spPr>
        <c:dLbl>
          <c:idx val="0"/>
          <c:layout>
            <c:manualLayout>
              <c:x val="0"/>
              <c:y val="-5.0554104834087003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3399"/>
          </a:solidFill>
          <a:ln>
            <a:noFill/>
          </a:ln>
          <a:effectLst/>
        </c:spPr>
        <c:dLbl>
          <c:idx val="0"/>
          <c:layout>
            <c:manualLayout>
              <c:x val="-4.9725511262436765E-3"/>
              <c:y val="-0.13327900365350218"/>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3399"/>
          </a:solidFill>
          <a:ln>
            <a:noFill/>
          </a:ln>
          <a:effectLst/>
        </c:spPr>
        <c:dLbl>
          <c:idx val="0"/>
          <c:layout>
            <c:manualLayout>
              <c:x val="-4.9725511262436765E-3"/>
              <c:y val="-0.1424706590778815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3399"/>
          </a:solidFill>
          <a:ln>
            <a:noFill/>
          </a:ln>
          <a:effectLst/>
        </c:spPr>
        <c:dLbl>
          <c:idx val="0"/>
          <c:layout>
            <c:manualLayout>
              <c:x val="4.9725511262436765E-3"/>
              <c:y val="-0.1424706590778815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3399"/>
          </a:solidFill>
          <a:ln>
            <a:noFill/>
          </a:ln>
          <a:effectLst/>
        </c:spPr>
        <c:dLbl>
          <c:idx val="0"/>
          <c:layout>
            <c:manualLayout>
              <c:x val="0"/>
              <c:y val="-0.10110820966817401"/>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3399"/>
          </a:solidFill>
          <a:ln>
            <a:noFill/>
          </a:ln>
          <a:effectLst/>
        </c:spPr>
        <c:dLbl>
          <c:idx val="0"/>
          <c:layout>
            <c:manualLayout>
              <c:x val="-4.9725511262436765E-3"/>
              <c:y val="-0.13327900365350218"/>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3399"/>
          </a:solidFill>
          <a:ln>
            <a:noFill/>
          </a:ln>
          <a:effectLst/>
        </c:spPr>
        <c:dLbl>
          <c:idx val="0"/>
          <c:layout>
            <c:manualLayout>
              <c:x val="0"/>
              <c:y val="-5.5149932546276731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79844958205121E-2"/>
          <c:y val="6.6786423563061997E-2"/>
          <c:w val="0.84285565895977232"/>
          <c:h val="0.62996421768156052"/>
        </c:manualLayout>
      </c:layout>
      <c:barChart>
        <c:barDir val="col"/>
        <c:grouping val="stacked"/>
        <c:varyColors val="0"/>
        <c:ser>
          <c:idx val="0"/>
          <c:order val="0"/>
          <c:tx>
            <c:strRef>
              <c:f>PivotField!$B$3</c:f>
              <c:strCache>
                <c:ptCount val="1"/>
                <c:pt idx="0">
                  <c:v>Total</c:v>
                </c:pt>
              </c:strCache>
            </c:strRef>
          </c:tx>
          <c:spPr>
            <a:solidFill>
              <a:srgbClr val="003399"/>
            </a:solidFill>
            <a:ln>
              <a:noFill/>
            </a:ln>
            <a:effectLst/>
          </c:spPr>
          <c:invertIfNegative val="0"/>
          <c:dPt>
            <c:idx val="0"/>
            <c:invertIfNegative val="0"/>
            <c:bubble3D val="0"/>
            <c:extLst>
              <c:ext xmlns:c16="http://schemas.microsoft.com/office/drawing/2014/chart" uri="{C3380CC4-5D6E-409C-BE32-E72D297353CC}">
                <c16:uniqueId val="{00000005-BD7F-41DC-9AF9-20912A7D2913}"/>
              </c:ext>
            </c:extLst>
          </c:dPt>
          <c:dPt>
            <c:idx val="1"/>
            <c:invertIfNegative val="0"/>
            <c:bubble3D val="0"/>
            <c:extLst>
              <c:ext xmlns:c16="http://schemas.microsoft.com/office/drawing/2014/chart" uri="{C3380CC4-5D6E-409C-BE32-E72D297353CC}">
                <c16:uniqueId val="{00000004-BD7F-41DC-9AF9-20912A7D2913}"/>
              </c:ext>
            </c:extLst>
          </c:dPt>
          <c:dPt>
            <c:idx val="2"/>
            <c:invertIfNegative val="0"/>
            <c:bubble3D val="0"/>
            <c:extLst>
              <c:ext xmlns:c16="http://schemas.microsoft.com/office/drawing/2014/chart" uri="{C3380CC4-5D6E-409C-BE32-E72D297353CC}">
                <c16:uniqueId val="{00000006-BD7F-41DC-9AF9-20912A7D2913}"/>
              </c:ext>
            </c:extLst>
          </c:dPt>
          <c:dPt>
            <c:idx val="3"/>
            <c:invertIfNegative val="0"/>
            <c:bubble3D val="0"/>
            <c:extLst>
              <c:ext xmlns:c16="http://schemas.microsoft.com/office/drawing/2014/chart" uri="{C3380CC4-5D6E-409C-BE32-E72D297353CC}">
                <c16:uniqueId val="{00000007-BD7F-41DC-9AF9-20912A7D2913}"/>
              </c:ext>
            </c:extLst>
          </c:dPt>
          <c:dPt>
            <c:idx val="4"/>
            <c:invertIfNegative val="0"/>
            <c:bubble3D val="0"/>
            <c:extLst>
              <c:ext xmlns:c16="http://schemas.microsoft.com/office/drawing/2014/chart" uri="{C3380CC4-5D6E-409C-BE32-E72D297353CC}">
                <c16:uniqueId val="{00000008-BD7F-41DC-9AF9-20912A7D2913}"/>
              </c:ext>
            </c:extLst>
          </c:dPt>
          <c:dPt>
            <c:idx val="5"/>
            <c:invertIfNegative val="0"/>
            <c:bubble3D val="0"/>
            <c:extLst>
              <c:ext xmlns:c16="http://schemas.microsoft.com/office/drawing/2014/chart" uri="{C3380CC4-5D6E-409C-BE32-E72D297353CC}">
                <c16:uniqueId val="{00000009-BD7F-41DC-9AF9-20912A7D2913}"/>
              </c:ext>
            </c:extLst>
          </c:dPt>
          <c:dPt>
            <c:idx val="6"/>
            <c:invertIfNegative val="0"/>
            <c:bubble3D val="0"/>
            <c:extLst>
              <c:ext xmlns:c16="http://schemas.microsoft.com/office/drawing/2014/chart" uri="{C3380CC4-5D6E-409C-BE32-E72D297353CC}">
                <c16:uniqueId val="{0000000A-BD7F-41DC-9AF9-20912A7D2913}"/>
              </c:ext>
            </c:extLst>
          </c:dPt>
          <c:dPt>
            <c:idx val="7"/>
            <c:invertIfNegative val="0"/>
            <c:bubble3D val="0"/>
            <c:extLst>
              <c:ext xmlns:c16="http://schemas.microsoft.com/office/drawing/2014/chart" uri="{C3380CC4-5D6E-409C-BE32-E72D297353CC}">
                <c16:uniqueId val="{00000001-BD7F-41DC-9AF9-20912A7D2913}"/>
              </c:ext>
            </c:extLst>
          </c:dPt>
          <c:dPt>
            <c:idx val="8"/>
            <c:invertIfNegative val="0"/>
            <c:bubble3D val="0"/>
            <c:extLst>
              <c:ext xmlns:c16="http://schemas.microsoft.com/office/drawing/2014/chart" uri="{C3380CC4-5D6E-409C-BE32-E72D297353CC}">
                <c16:uniqueId val="{00000003-BD7F-41DC-9AF9-20912A7D2913}"/>
              </c:ext>
            </c:extLst>
          </c:dPt>
          <c:dPt>
            <c:idx val="9"/>
            <c:invertIfNegative val="0"/>
            <c:bubble3D val="0"/>
            <c:extLst>
              <c:ext xmlns:c16="http://schemas.microsoft.com/office/drawing/2014/chart" uri="{C3380CC4-5D6E-409C-BE32-E72D297353CC}">
                <c16:uniqueId val="{00000002-BD7F-41DC-9AF9-20912A7D2913}"/>
              </c:ext>
            </c:extLst>
          </c:dPt>
          <c:dPt>
            <c:idx val="10"/>
            <c:invertIfNegative val="0"/>
            <c:bubble3D val="0"/>
            <c:extLst>
              <c:ext xmlns:c16="http://schemas.microsoft.com/office/drawing/2014/chart" uri="{C3380CC4-5D6E-409C-BE32-E72D297353CC}">
                <c16:uniqueId val="{0000000B-BD7F-41DC-9AF9-20912A7D2913}"/>
              </c:ext>
            </c:extLst>
          </c:dPt>
          <c:dLbls>
            <c:dLbl>
              <c:idx val="0"/>
              <c:layout>
                <c:manualLayout>
                  <c:x val="0"/>
                  <c:y val="-5.055410483408700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7F-41DC-9AF9-20912A7D2913}"/>
                </c:ext>
              </c:extLst>
            </c:dLbl>
            <c:dLbl>
              <c:idx val="1"/>
              <c:layout>
                <c:manualLayout>
                  <c:x val="0"/>
                  <c:y val="-3.676662169751790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D7F-41DC-9AF9-20912A7D2913}"/>
                </c:ext>
              </c:extLst>
            </c:dLbl>
            <c:dLbl>
              <c:idx val="2"/>
              <c:layout>
                <c:manualLayout>
                  <c:x val="-4.9725511262436765E-3"/>
                  <c:y val="-0.133279003653502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7F-41DC-9AF9-20912A7D2913}"/>
                </c:ext>
              </c:extLst>
            </c:dLbl>
            <c:dLbl>
              <c:idx val="3"/>
              <c:layout>
                <c:manualLayout>
                  <c:x val="-4.9725511262436765E-3"/>
                  <c:y val="-0.142470659077881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D7F-41DC-9AF9-20912A7D2913}"/>
                </c:ext>
              </c:extLst>
            </c:dLbl>
            <c:dLbl>
              <c:idx val="4"/>
              <c:layout>
                <c:manualLayout>
                  <c:x val="4.9725511262436765E-3"/>
                  <c:y val="-0.142470659077881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D7F-41DC-9AF9-20912A7D2913}"/>
                </c:ext>
              </c:extLst>
            </c:dLbl>
            <c:dLbl>
              <c:idx val="5"/>
              <c:layout>
                <c:manualLayout>
                  <c:x val="0"/>
                  <c:y val="-0.101108209668174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D7F-41DC-9AF9-20912A7D2913}"/>
                </c:ext>
              </c:extLst>
            </c:dLbl>
            <c:dLbl>
              <c:idx val="6"/>
              <c:layout>
                <c:manualLayout>
                  <c:x val="-4.9725511262436765E-3"/>
                  <c:y val="-0.133279003653502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D7F-41DC-9AF9-20912A7D2913}"/>
                </c:ext>
              </c:extLst>
            </c:dLbl>
            <c:dLbl>
              <c:idx val="7"/>
              <c:layout>
                <c:manualLayout>
                  <c:x val="4.9725511262436765E-3"/>
                  <c:y val="-0.280345490443573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7F-41DC-9AF9-20912A7D2913}"/>
                </c:ext>
              </c:extLst>
            </c:dLbl>
            <c:dLbl>
              <c:idx val="8"/>
              <c:layout>
                <c:manualLayout>
                  <c:x val="-4.9725511262436765E-3"/>
                  <c:y val="-0.142470659077881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7F-41DC-9AF9-20912A7D2913}"/>
                </c:ext>
              </c:extLst>
            </c:dLbl>
            <c:dLbl>
              <c:idx val="9"/>
              <c:layout>
                <c:manualLayout>
                  <c:x val="0"/>
                  <c:y val="-0.174641453063209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7F-41DC-9AF9-20912A7D2913}"/>
                </c:ext>
              </c:extLst>
            </c:dLbl>
            <c:dLbl>
              <c:idx val="10"/>
              <c:layout>
                <c:manualLayout>
                  <c:x val="0"/>
                  <c:y val="-5.514993254627673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D7F-41DC-9AF9-20912A7D2913}"/>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PivotField!$A$4:$A$15</c:f>
              <c:strCache>
                <c:ptCount val="11"/>
                <c:pt idx="0">
                  <c:v>Admin Offices</c:v>
                </c:pt>
                <c:pt idx="1">
                  <c:v>Executive Office</c:v>
                </c:pt>
                <c:pt idx="2">
                  <c:v>Finance</c:v>
                </c:pt>
                <c:pt idx="3">
                  <c:v>HR</c:v>
                </c:pt>
                <c:pt idx="4">
                  <c:v>IT</c:v>
                </c:pt>
                <c:pt idx="5">
                  <c:v>IT/IS</c:v>
                </c:pt>
                <c:pt idx="6">
                  <c:v>Production</c:v>
                </c:pt>
                <c:pt idx="7">
                  <c:v>Production       </c:v>
                </c:pt>
                <c:pt idx="8">
                  <c:v>R&amp;D</c:v>
                </c:pt>
                <c:pt idx="9">
                  <c:v>Sales</c:v>
                </c:pt>
                <c:pt idx="10">
                  <c:v>Software Engineering</c:v>
                </c:pt>
              </c:strCache>
            </c:strRef>
          </c:cat>
          <c:val>
            <c:numRef>
              <c:f>PivotField!$B$4:$B$15</c:f>
              <c:numCache>
                <c:formatCode>General</c:formatCode>
                <c:ptCount val="11"/>
                <c:pt idx="0">
                  <c:v>9</c:v>
                </c:pt>
                <c:pt idx="1">
                  <c:v>1</c:v>
                </c:pt>
                <c:pt idx="2">
                  <c:v>69</c:v>
                </c:pt>
                <c:pt idx="3">
                  <c:v>90</c:v>
                </c:pt>
                <c:pt idx="4">
                  <c:v>90</c:v>
                </c:pt>
                <c:pt idx="5">
                  <c:v>50</c:v>
                </c:pt>
                <c:pt idx="6">
                  <c:v>80</c:v>
                </c:pt>
                <c:pt idx="7">
                  <c:v>201</c:v>
                </c:pt>
                <c:pt idx="8">
                  <c:v>89</c:v>
                </c:pt>
                <c:pt idx="9">
                  <c:v>113</c:v>
                </c:pt>
                <c:pt idx="10">
                  <c:v>11</c:v>
                </c:pt>
              </c:numCache>
            </c:numRef>
          </c:val>
          <c:extLst>
            <c:ext xmlns:c16="http://schemas.microsoft.com/office/drawing/2014/chart" uri="{C3380CC4-5D6E-409C-BE32-E72D297353CC}">
              <c16:uniqueId val="{00000000-BD7F-41DC-9AF9-20912A7D2913}"/>
            </c:ext>
          </c:extLst>
        </c:ser>
        <c:dLbls>
          <c:dLblPos val="ctr"/>
          <c:showLegendKey val="0"/>
          <c:showVal val="1"/>
          <c:showCatName val="0"/>
          <c:showSerName val="0"/>
          <c:showPercent val="0"/>
          <c:showBubbleSize val="0"/>
        </c:dLbls>
        <c:gapWidth val="70"/>
        <c:overlap val="100"/>
        <c:axId val="624457807"/>
        <c:axId val="624474607"/>
      </c:barChart>
      <c:catAx>
        <c:axId val="624457807"/>
        <c:scaling>
          <c:orientation val="minMax"/>
        </c:scaling>
        <c:delete val="0"/>
        <c:axPos val="b"/>
        <c:numFmt formatCode="General" sourceLinked="1"/>
        <c:majorTickMark val="out"/>
        <c:minorTickMark val="none"/>
        <c:tickLblPos val="nextTo"/>
        <c:spPr>
          <a:noFill/>
          <a:ln w="9525" cap="flat" cmpd="sng" algn="ctr">
            <a:solidFill>
              <a:srgbClr val="003399"/>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24474607"/>
        <c:crosses val="autoZero"/>
        <c:auto val="1"/>
        <c:lblAlgn val="ctr"/>
        <c:lblOffset val="100"/>
        <c:noMultiLvlLbl val="0"/>
      </c:catAx>
      <c:valAx>
        <c:axId val="624474607"/>
        <c:scaling>
          <c:orientation val="minMax"/>
        </c:scaling>
        <c:delete val="1"/>
        <c:axPos val="l"/>
        <c:numFmt formatCode="General" sourceLinked="1"/>
        <c:majorTickMark val="out"/>
        <c:minorTickMark val="none"/>
        <c:tickLblPos val="nextTo"/>
        <c:crossAx val="62445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[HRDATA.xlsx]PivotField!PivotTable2</c:name>
    <c:fmtId val="4"/>
  </c:pivotSource>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solidFill>
                  <a:sysClr val="windowText" lastClr="000000"/>
                </a:solidFill>
              </a:rPr>
              <a:t>Average Salary Per Deparment</a:t>
            </a:r>
          </a:p>
        </c:rich>
      </c:tx>
      <c:layout>
        <c:manualLayout>
          <c:xMode val="edge"/>
          <c:yMode val="edge"/>
          <c:x val="0.2056549831035081"/>
          <c:y val="2.6603147749196806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99"/>
          </a:solidFill>
          <a:ln>
            <a:noFill/>
          </a:ln>
          <a:effectLst/>
        </c:spPr>
        <c:marker>
          <c:symbol val="none"/>
        </c:marker>
        <c:dLbl>
          <c:idx val="0"/>
          <c:numFmt formatCode="#,##0.00;[Red]#,##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rgbClr val="003399"/>
          </a:solidFill>
          <a:ln>
            <a:noFill/>
          </a:ln>
          <a:effectLst/>
        </c:spPr>
        <c:dLbl>
          <c:idx val="0"/>
          <c:layout>
            <c:manualLayout>
              <c:x val="0"/>
              <c:y val="-3.5714888327699611E-2"/>
            </c:manualLayout>
          </c:layout>
          <c:numFmt formatCode="#,##0.00;[Red]#,##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rgbClr val="003399"/>
          </a:solidFill>
          <a:ln>
            <a:noFill/>
          </a:ln>
          <a:effectLst/>
        </c:spPr>
        <c:dLbl>
          <c:idx val="0"/>
          <c:layout>
            <c:manualLayout>
              <c:x val="0"/>
              <c:y val="-4.4643610409624461E-3"/>
            </c:manualLayout>
          </c:layout>
          <c:numFmt formatCode="#,##0.00;[Red]#,##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rgbClr val="003399"/>
          </a:solidFill>
          <a:ln>
            <a:noFill/>
          </a:ln>
          <a:effectLst/>
        </c:spPr>
        <c:dLbl>
          <c:idx val="0"/>
          <c:layout>
            <c:manualLayout>
              <c:x val="2.6769408052655357E-2"/>
              <c:y val="-7.5894314726961315E-2"/>
            </c:manualLayout>
          </c:layout>
          <c:numFmt formatCode="#,##0.00;[Red]#,##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rgbClr val="003399"/>
          </a:solidFill>
          <a:ln>
            <a:noFill/>
          </a:ln>
          <a:effectLst/>
        </c:spPr>
        <c:dLbl>
          <c:idx val="0"/>
          <c:layout>
            <c:manualLayout>
              <c:x val="6.4229382704497504E-2"/>
              <c:y val="-0.15668897921266831"/>
            </c:manualLayout>
          </c:layout>
          <c:numFmt formatCode="#,##0.00;[Red]#,##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rgbClr val="003399"/>
          </a:solidFill>
          <a:ln>
            <a:noFill/>
          </a:ln>
          <a:effectLst/>
        </c:spPr>
        <c:dLbl>
          <c:idx val="0"/>
          <c:layout>
            <c:manualLayout>
              <c:x val="3.2117220267230448E-2"/>
              <c:y val="-0.11160920203468633"/>
            </c:manualLayout>
          </c:layout>
          <c:numFmt formatCode="#,##0.00;[Red]#,##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rgbClr val="003399"/>
          </a:solidFill>
          <a:ln>
            <a:noFill/>
          </a:ln>
          <a:effectLst/>
        </c:spPr>
        <c:dLbl>
          <c:idx val="0"/>
          <c:layout>
            <c:manualLayout>
              <c:x val="0"/>
              <c:y val="-9.3751581860211403E-2"/>
            </c:manualLayout>
          </c:layout>
          <c:numFmt formatCode="#,##0.00;[Red]#,##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rgbClr val="003399"/>
          </a:solidFill>
          <a:ln>
            <a:noFill/>
          </a:ln>
          <a:effectLst/>
        </c:spPr>
        <c:dLbl>
          <c:idx val="0"/>
          <c:layout>
            <c:manualLayout>
              <c:x val="-5.355301031169539E-3"/>
              <c:y val="-2.6786166245774675E-2"/>
            </c:manualLayout>
          </c:layout>
          <c:numFmt formatCode="#,##0.00;[Red]#,##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rgbClr val="003399"/>
          </a:solidFill>
          <a:ln>
            <a:noFill/>
          </a:ln>
          <a:effectLst/>
        </c:spPr>
        <c:dLbl>
          <c:idx val="0"/>
          <c:layout>
            <c:manualLayout>
              <c:x val="1.0705740089076815E-2"/>
              <c:y val="-8.3445592661291546E-17"/>
            </c:manualLayout>
          </c:layout>
          <c:numFmt formatCode="#,##0.00;[Red]#,##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5.8507109639894396E-2"/>
          <c:y val="7.9121711683081436E-2"/>
          <c:w val="0.88298578072021117"/>
          <c:h val="0.53770963169157482"/>
        </c:manualLayout>
      </c:layout>
      <c:barChart>
        <c:barDir val="col"/>
        <c:grouping val="clustered"/>
        <c:varyColors val="0"/>
        <c:ser>
          <c:idx val="0"/>
          <c:order val="0"/>
          <c:tx>
            <c:strRef>
              <c:f>PivotField!$B$18</c:f>
              <c:strCache>
                <c:ptCount val="1"/>
                <c:pt idx="0">
                  <c:v>Total</c:v>
                </c:pt>
              </c:strCache>
            </c:strRef>
          </c:tx>
          <c:spPr>
            <a:solidFill>
              <a:srgbClr val="003399"/>
            </a:solidFill>
            <a:ln>
              <a:noFill/>
            </a:ln>
            <a:effectLst/>
          </c:spPr>
          <c:invertIfNegative val="0"/>
          <c:dPt>
            <c:idx val="0"/>
            <c:invertIfNegative val="0"/>
            <c:bubble3D val="0"/>
            <c:extLst>
              <c:ext xmlns:c16="http://schemas.microsoft.com/office/drawing/2014/chart" uri="{C3380CC4-5D6E-409C-BE32-E72D297353CC}">
                <c16:uniqueId val="{00000002-950B-4C66-824A-28E4F996D74F}"/>
              </c:ext>
            </c:extLst>
          </c:dPt>
          <c:dPt>
            <c:idx val="2"/>
            <c:invertIfNegative val="0"/>
            <c:bubble3D val="0"/>
            <c:extLst>
              <c:ext xmlns:c16="http://schemas.microsoft.com/office/drawing/2014/chart" uri="{C3380CC4-5D6E-409C-BE32-E72D297353CC}">
                <c16:uniqueId val="{00000003-950B-4C66-824A-28E4F996D74F}"/>
              </c:ext>
            </c:extLst>
          </c:dPt>
          <c:dPt>
            <c:idx val="3"/>
            <c:invertIfNegative val="0"/>
            <c:bubble3D val="0"/>
            <c:extLst>
              <c:ext xmlns:c16="http://schemas.microsoft.com/office/drawing/2014/chart" uri="{C3380CC4-5D6E-409C-BE32-E72D297353CC}">
                <c16:uniqueId val="{00000008-950B-4C66-824A-28E4F996D74F}"/>
              </c:ext>
            </c:extLst>
          </c:dPt>
          <c:dPt>
            <c:idx val="4"/>
            <c:invertIfNegative val="0"/>
            <c:bubble3D val="0"/>
            <c:extLst>
              <c:ext xmlns:c16="http://schemas.microsoft.com/office/drawing/2014/chart" uri="{C3380CC4-5D6E-409C-BE32-E72D297353CC}">
                <c16:uniqueId val="{00000004-950B-4C66-824A-28E4F996D74F}"/>
              </c:ext>
            </c:extLst>
          </c:dPt>
          <c:dPt>
            <c:idx val="5"/>
            <c:invertIfNegative val="0"/>
            <c:bubble3D val="0"/>
            <c:extLst>
              <c:ext xmlns:c16="http://schemas.microsoft.com/office/drawing/2014/chart" uri="{C3380CC4-5D6E-409C-BE32-E72D297353CC}">
                <c16:uniqueId val="{00000001-950B-4C66-824A-28E4F996D74F}"/>
              </c:ext>
            </c:extLst>
          </c:dPt>
          <c:dPt>
            <c:idx val="6"/>
            <c:invertIfNegative val="0"/>
            <c:bubble3D val="0"/>
            <c:extLst>
              <c:ext xmlns:c16="http://schemas.microsoft.com/office/drawing/2014/chart" uri="{C3380CC4-5D6E-409C-BE32-E72D297353CC}">
                <c16:uniqueId val="{00000005-950B-4C66-824A-28E4F996D74F}"/>
              </c:ext>
            </c:extLst>
          </c:dPt>
          <c:dPt>
            <c:idx val="8"/>
            <c:invertIfNegative val="0"/>
            <c:bubble3D val="0"/>
            <c:extLst>
              <c:ext xmlns:c16="http://schemas.microsoft.com/office/drawing/2014/chart" uri="{C3380CC4-5D6E-409C-BE32-E72D297353CC}">
                <c16:uniqueId val="{00000007-950B-4C66-824A-28E4F996D74F}"/>
              </c:ext>
            </c:extLst>
          </c:dPt>
          <c:dPt>
            <c:idx val="9"/>
            <c:invertIfNegative val="0"/>
            <c:bubble3D val="0"/>
            <c:extLst>
              <c:ext xmlns:c16="http://schemas.microsoft.com/office/drawing/2014/chart" uri="{C3380CC4-5D6E-409C-BE32-E72D297353CC}">
                <c16:uniqueId val="{00000006-950B-4C66-824A-28E4F996D74F}"/>
              </c:ext>
            </c:extLst>
          </c:dPt>
          <c:dLbls>
            <c:dLbl>
              <c:idx val="0"/>
              <c:layout>
                <c:manualLayout>
                  <c:x val="0"/>
                  <c:y val="-4.4643610409624461E-3"/>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50B-4C66-824A-28E4F996D74F}"/>
                </c:ext>
              </c:extLst>
            </c:dLbl>
            <c:dLbl>
              <c:idx val="2"/>
              <c:layout>
                <c:manualLayout>
                  <c:x val="2.6769408052655357E-2"/>
                  <c:y val="-7.5894314726961315E-2"/>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50B-4C66-824A-28E4F996D74F}"/>
                </c:ext>
              </c:extLst>
            </c:dLbl>
            <c:dLbl>
              <c:idx val="3"/>
              <c:layout>
                <c:manualLayout>
                  <c:x val="1.0705740089076815E-2"/>
                  <c:y val="-8.3445592661291546E-17"/>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950B-4C66-824A-28E4F996D74F}"/>
                </c:ext>
              </c:extLst>
            </c:dLbl>
            <c:dLbl>
              <c:idx val="4"/>
              <c:layout>
                <c:manualLayout>
                  <c:x val="6.4229382704497504E-2"/>
                  <c:y val="-0.15668897921266831"/>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50B-4C66-824A-28E4F996D74F}"/>
                </c:ext>
              </c:extLst>
            </c:dLbl>
            <c:dLbl>
              <c:idx val="5"/>
              <c:layout>
                <c:manualLayout>
                  <c:x val="0"/>
                  <c:y val="-3.5714888327699611E-2"/>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950B-4C66-824A-28E4F996D74F}"/>
                </c:ext>
              </c:extLst>
            </c:dLbl>
            <c:dLbl>
              <c:idx val="6"/>
              <c:layout>
                <c:manualLayout>
                  <c:x val="3.2117220267230448E-2"/>
                  <c:y val="-0.11160920203468633"/>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50B-4C66-824A-28E4F996D74F}"/>
                </c:ext>
              </c:extLst>
            </c:dLbl>
            <c:dLbl>
              <c:idx val="8"/>
              <c:layout>
                <c:manualLayout>
                  <c:x val="-5.355301031169539E-3"/>
                  <c:y val="-2.6786166245774675E-2"/>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950B-4C66-824A-28E4F996D74F}"/>
                </c:ext>
              </c:extLst>
            </c:dLbl>
            <c:dLbl>
              <c:idx val="9"/>
              <c:layout>
                <c:manualLayout>
                  <c:x val="0"/>
                  <c:y val="-9.3751581860211403E-2"/>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950B-4C66-824A-28E4F996D74F}"/>
                </c:ext>
              </c:extLst>
            </c:dLbl>
            <c:numFmt formatCode="#,##0.00;[Red]#,##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rgbClr val="003399"/>
                      </a:solidFill>
                      <a:prstDash val="sysDash"/>
                      <a:round/>
                    </a:ln>
                    <a:effectLst/>
                  </c:spPr>
                </c15:leaderLines>
              </c:ext>
            </c:extLst>
          </c:dLbls>
          <c:cat>
            <c:strRef>
              <c:f>PivotField!$A$19:$A$30</c:f>
              <c:strCache>
                <c:ptCount val="11"/>
                <c:pt idx="0">
                  <c:v>Admin Offices</c:v>
                </c:pt>
                <c:pt idx="1">
                  <c:v>Executive Office</c:v>
                </c:pt>
                <c:pt idx="2">
                  <c:v>Finance</c:v>
                </c:pt>
                <c:pt idx="3">
                  <c:v>HR</c:v>
                </c:pt>
                <c:pt idx="4">
                  <c:v>IT</c:v>
                </c:pt>
                <c:pt idx="5">
                  <c:v>IT/IS</c:v>
                </c:pt>
                <c:pt idx="6">
                  <c:v>Production</c:v>
                </c:pt>
                <c:pt idx="7">
                  <c:v>Production       </c:v>
                </c:pt>
                <c:pt idx="8">
                  <c:v>R&amp;D</c:v>
                </c:pt>
                <c:pt idx="9">
                  <c:v>Sales</c:v>
                </c:pt>
                <c:pt idx="10">
                  <c:v>Software Engineering</c:v>
                </c:pt>
              </c:strCache>
            </c:strRef>
          </c:cat>
          <c:val>
            <c:numRef>
              <c:f>PivotField!$B$19:$B$30</c:f>
              <c:numCache>
                <c:formatCode>General</c:formatCode>
                <c:ptCount val="11"/>
                <c:pt idx="0">
                  <c:v>71791.888888888891</c:v>
                </c:pt>
                <c:pt idx="1">
                  <c:v>250000</c:v>
                </c:pt>
                <c:pt idx="2">
                  <c:v>74777.188405797104</c:v>
                </c:pt>
                <c:pt idx="3">
                  <c:v>74270.444444444438</c:v>
                </c:pt>
                <c:pt idx="4">
                  <c:v>76122.077777777784</c:v>
                </c:pt>
                <c:pt idx="5">
                  <c:v>97064.639999999999</c:v>
                </c:pt>
                <c:pt idx="6">
                  <c:v>75146</c:v>
                </c:pt>
                <c:pt idx="7">
                  <c:v>60002.139303482589</c:v>
                </c:pt>
                <c:pt idx="8">
                  <c:v>73267.606741573036</c:v>
                </c:pt>
                <c:pt idx="9">
                  <c:v>72090.663716814161</c:v>
                </c:pt>
                <c:pt idx="10">
                  <c:v>94989.454545454544</c:v>
                </c:pt>
              </c:numCache>
            </c:numRef>
          </c:val>
          <c:extLst>
            <c:ext xmlns:c16="http://schemas.microsoft.com/office/drawing/2014/chart" uri="{C3380CC4-5D6E-409C-BE32-E72D297353CC}">
              <c16:uniqueId val="{00000000-950B-4C66-824A-28E4F996D74F}"/>
            </c:ext>
          </c:extLst>
        </c:ser>
        <c:dLbls>
          <c:showLegendKey val="0"/>
          <c:showVal val="0"/>
          <c:showCatName val="0"/>
          <c:showSerName val="0"/>
          <c:showPercent val="0"/>
          <c:showBubbleSize val="0"/>
        </c:dLbls>
        <c:gapWidth val="50"/>
        <c:axId val="445811311"/>
        <c:axId val="445806991"/>
      </c:barChart>
      <c:catAx>
        <c:axId val="445811311"/>
        <c:scaling>
          <c:orientation val="minMax"/>
        </c:scaling>
        <c:delete val="0"/>
        <c:axPos val="b"/>
        <c:numFmt formatCode="General" sourceLinked="1"/>
        <c:majorTickMark val="none"/>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45806991"/>
        <c:crosses val="autoZero"/>
        <c:auto val="1"/>
        <c:lblAlgn val="ctr"/>
        <c:lblOffset val="100"/>
        <c:noMultiLvlLbl val="0"/>
      </c:catAx>
      <c:valAx>
        <c:axId val="445806991"/>
        <c:scaling>
          <c:orientation val="minMax"/>
        </c:scaling>
        <c:delete val="1"/>
        <c:axPos val="l"/>
        <c:numFmt formatCode="General" sourceLinked="1"/>
        <c:majorTickMark val="none"/>
        <c:minorTickMark val="none"/>
        <c:tickLblPos val="nextTo"/>
        <c:crossAx val="44581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r>
              <a:rPr lang="en-US" sz="1000" b="0" i="0" u="none" strike="noStrike" kern="1200" spc="0" baseline="0">
                <a:solidFill>
                  <a:sysClr val="windowText" lastClr="000000"/>
                </a:solidFill>
              </a:rPr>
              <a:t>Department Wise Manager Count</a:t>
            </a:r>
          </a:p>
        </c:rich>
      </c:tx>
      <c:layout>
        <c:manualLayout>
          <c:xMode val="edge"/>
          <c:yMode val="edge"/>
          <c:x val="0.17613949717999311"/>
          <c:y val="2.769052315465556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1031012788008"/>
          <c:y val="8.5224671165952726E-2"/>
          <c:w val="0.88650778593517143"/>
          <c:h val="0.57724202389379631"/>
        </c:manualLayout>
      </c:layout>
      <c:barChart>
        <c:barDir val="col"/>
        <c:grouping val="clustered"/>
        <c:varyColors val="0"/>
        <c:ser>
          <c:idx val="0"/>
          <c:order val="0"/>
          <c:tx>
            <c:strRef>
              <c:f>PivotField!$B$33</c:f>
              <c:strCache>
                <c:ptCount val="1"/>
                <c:pt idx="0">
                  <c:v>Total</c:v>
                </c:pt>
              </c:strCache>
            </c:strRef>
          </c:tx>
          <c:spPr>
            <a:solidFill>
              <a:srgbClr val="00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PivotField!$A$34:$A$45</c:f>
              <c:strCache>
                <c:ptCount val="11"/>
                <c:pt idx="0">
                  <c:v>Admin Offices</c:v>
                </c:pt>
                <c:pt idx="1">
                  <c:v>Executive Office</c:v>
                </c:pt>
                <c:pt idx="2">
                  <c:v>Finance</c:v>
                </c:pt>
                <c:pt idx="3">
                  <c:v>HR</c:v>
                </c:pt>
                <c:pt idx="4">
                  <c:v>IT</c:v>
                </c:pt>
                <c:pt idx="5">
                  <c:v>IT/IS</c:v>
                </c:pt>
                <c:pt idx="6">
                  <c:v>Production</c:v>
                </c:pt>
                <c:pt idx="7">
                  <c:v>Production       </c:v>
                </c:pt>
                <c:pt idx="8">
                  <c:v>R&amp;D</c:v>
                </c:pt>
                <c:pt idx="9">
                  <c:v>Sales</c:v>
                </c:pt>
                <c:pt idx="10">
                  <c:v>Software Engineering</c:v>
                </c:pt>
              </c:strCache>
            </c:strRef>
          </c:cat>
          <c:val>
            <c:numRef>
              <c:f>PivotField!$B$34:$B$45</c:f>
              <c:numCache>
                <c:formatCode>General</c:formatCode>
                <c:ptCount val="11"/>
                <c:pt idx="0">
                  <c:v>9</c:v>
                </c:pt>
                <c:pt idx="1">
                  <c:v>1</c:v>
                </c:pt>
                <c:pt idx="2">
                  <c:v>69</c:v>
                </c:pt>
                <c:pt idx="3">
                  <c:v>90</c:v>
                </c:pt>
                <c:pt idx="4">
                  <c:v>90</c:v>
                </c:pt>
                <c:pt idx="5">
                  <c:v>50</c:v>
                </c:pt>
                <c:pt idx="6">
                  <c:v>80</c:v>
                </c:pt>
                <c:pt idx="7">
                  <c:v>201</c:v>
                </c:pt>
                <c:pt idx="8">
                  <c:v>89</c:v>
                </c:pt>
                <c:pt idx="9">
                  <c:v>113</c:v>
                </c:pt>
                <c:pt idx="10">
                  <c:v>11</c:v>
                </c:pt>
              </c:numCache>
            </c:numRef>
          </c:val>
          <c:extLst>
            <c:ext xmlns:c16="http://schemas.microsoft.com/office/drawing/2014/chart" uri="{C3380CC4-5D6E-409C-BE32-E72D297353CC}">
              <c16:uniqueId val="{00000000-8935-4FD5-93F9-24A2EF398FE5}"/>
            </c:ext>
          </c:extLst>
        </c:ser>
        <c:dLbls>
          <c:dLblPos val="outEnd"/>
          <c:showLegendKey val="0"/>
          <c:showVal val="1"/>
          <c:showCatName val="0"/>
          <c:showSerName val="0"/>
          <c:showPercent val="0"/>
          <c:showBubbleSize val="0"/>
        </c:dLbls>
        <c:gapWidth val="70"/>
        <c:overlap val="-27"/>
        <c:axId val="460442367"/>
        <c:axId val="460441887"/>
      </c:barChart>
      <c:catAx>
        <c:axId val="460442367"/>
        <c:scaling>
          <c:orientation val="minMax"/>
        </c:scaling>
        <c:delete val="0"/>
        <c:axPos val="b"/>
        <c:numFmt formatCode="General" sourceLinked="1"/>
        <c:majorTickMark val="out"/>
        <c:minorTickMark val="none"/>
        <c:tickLblPos val="nextTo"/>
        <c:spPr>
          <a:noFill/>
          <a:ln w="9525" cap="flat" cmpd="sng" algn="ctr">
            <a:solidFill>
              <a:srgbClr val="003399"/>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60441887"/>
        <c:crosses val="autoZero"/>
        <c:auto val="1"/>
        <c:lblAlgn val="ctr"/>
        <c:lblOffset val="100"/>
        <c:noMultiLvlLbl val="0"/>
      </c:catAx>
      <c:valAx>
        <c:axId val="460441887"/>
        <c:scaling>
          <c:orientation val="minMax"/>
        </c:scaling>
        <c:delete val="1"/>
        <c:axPos val="l"/>
        <c:numFmt formatCode="General" sourceLinked="1"/>
        <c:majorTickMark val="none"/>
        <c:minorTickMark val="none"/>
        <c:tickLblPos val="nextTo"/>
        <c:crossAx val="46044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[HRDATA.xlsx]PivotField!PivotTable13</c:name>
    <c:fmtId val="6"/>
  </c:pivotSource>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solidFill>
                  <a:sysClr val="windowText" lastClr="000000"/>
                </a:solidFill>
              </a:rPr>
              <a:t>Count</a:t>
            </a:r>
            <a:r>
              <a:rPr lang="en-US" sz="900" baseline="0">
                <a:solidFill>
                  <a:sysClr val="windowText" lastClr="000000"/>
                </a:solidFill>
              </a:rPr>
              <a:t> OF Employees Hired Per Year</a:t>
            </a:r>
            <a:endParaRPr lang="en-US" sz="900">
              <a:solidFill>
                <a:sysClr val="windowText" lastClr="000000"/>
              </a:solidFill>
            </a:endParaRPr>
          </a:p>
        </c:rich>
      </c:tx>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3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087115989085223E-2"/>
          <c:y val="0.23558717416764921"/>
          <c:w val="0.95722730985580717"/>
          <c:h val="0.58421401704071774"/>
        </c:manualLayout>
      </c:layout>
      <c:lineChart>
        <c:grouping val="standard"/>
        <c:varyColors val="0"/>
        <c:ser>
          <c:idx val="0"/>
          <c:order val="0"/>
          <c:tx>
            <c:strRef>
              <c:f>PivotField!$T$33</c:f>
              <c:strCache>
                <c:ptCount val="1"/>
                <c:pt idx="0">
                  <c:v>Total</c:v>
                </c:pt>
              </c:strCache>
            </c:strRef>
          </c:tx>
          <c:spPr>
            <a:ln w="28575" cap="rnd">
              <a:solidFill>
                <a:srgbClr val="003399"/>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PivotField!$S$34:$S$54</c:f>
              <c:strCach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PivotField!$T$34:$T$54</c:f>
              <c:numCache>
                <c:formatCode>General</c:formatCode>
                <c:ptCount val="20"/>
                <c:pt idx="0">
                  <c:v>1</c:v>
                </c:pt>
                <c:pt idx="1">
                  <c:v>2</c:v>
                </c:pt>
                <c:pt idx="2">
                  <c:v>3</c:v>
                </c:pt>
                <c:pt idx="3">
                  <c:v>7</c:v>
                </c:pt>
                <c:pt idx="4">
                  <c:v>9</c:v>
                </c:pt>
                <c:pt idx="5">
                  <c:v>82</c:v>
                </c:pt>
                <c:pt idx="6">
                  <c:v>45</c:v>
                </c:pt>
                <c:pt idx="7">
                  <c:v>41</c:v>
                </c:pt>
                <c:pt idx="8">
                  <c:v>58</c:v>
                </c:pt>
                <c:pt idx="9">
                  <c:v>43</c:v>
                </c:pt>
                <c:pt idx="10">
                  <c:v>71</c:v>
                </c:pt>
                <c:pt idx="11">
                  <c:v>43</c:v>
                </c:pt>
                <c:pt idx="12">
                  <c:v>60</c:v>
                </c:pt>
                <c:pt idx="13">
                  <c:v>54</c:v>
                </c:pt>
                <c:pt idx="14">
                  <c:v>43</c:v>
                </c:pt>
                <c:pt idx="15">
                  <c:v>47</c:v>
                </c:pt>
                <c:pt idx="16">
                  <c:v>57</c:v>
                </c:pt>
                <c:pt idx="17">
                  <c:v>45</c:v>
                </c:pt>
                <c:pt idx="18">
                  <c:v>50</c:v>
                </c:pt>
                <c:pt idx="19">
                  <c:v>42</c:v>
                </c:pt>
              </c:numCache>
            </c:numRef>
          </c:val>
          <c:smooth val="0"/>
          <c:extLst>
            <c:ext xmlns:c16="http://schemas.microsoft.com/office/drawing/2014/chart" uri="{C3380CC4-5D6E-409C-BE32-E72D297353CC}">
              <c16:uniqueId val="{00000000-26E4-4139-ACE6-7499E13F3C86}"/>
            </c:ext>
          </c:extLst>
        </c:ser>
        <c:dLbls>
          <c:dLblPos val="t"/>
          <c:showLegendKey val="0"/>
          <c:showVal val="1"/>
          <c:showCatName val="0"/>
          <c:showSerName val="0"/>
          <c:showPercent val="0"/>
          <c:showBubbleSize val="0"/>
        </c:dLbls>
        <c:smooth val="0"/>
        <c:axId val="1391388031"/>
        <c:axId val="1391388991"/>
      </c:lineChart>
      <c:catAx>
        <c:axId val="1391388031"/>
        <c:scaling>
          <c:orientation val="minMax"/>
        </c:scaling>
        <c:delete val="0"/>
        <c:axPos val="b"/>
        <c:numFmt formatCode="General" sourceLinked="1"/>
        <c:majorTickMark val="out"/>
        <c:minorTickMark val="none"/>
        <c:tickLblPos val="nextTo"/>
        <c:spPr>
          <a:noFill/>
          <a:ln w="9525" cap="flat" cmpd="sng" algn="ctr">
            <a:solidFill>
              <a:srgbClr val="003399"/>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1391388991"/>
        <c:crosses val="autoZero"/>
        <c:auto val="1"/>
        <c:lblAlgn val="ctr"/>
        <c:lblOffset val="100"/>
        <c:noMultiLvlLbl val="0"/>
      </c:catAx>
      <c:valAx>
        <c:axId val="1391388991"/>
        <c:scaling>
          <c:orientation val="minMax"/>
        </c:scaling>
        <c:delete val="1"/>
        <c:axPos val="l"/>
        <c:numFmt formatCode="General" sourceLinked="1"/>
        <c:majorTickMark val="out"/>
        <c:minorTickMark val="none"/>
        <c:tickLblPos val="nextTo"/>
        <c:crossAx val="139138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[HRDATA.xlsx]PivotField!PivotTable5</c:name>
    <c:fmtId val="4"/>
  </c:pivotSource>
  <c:chart>
    <c:title>
      <c:tx>
        <c:rich>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r>
              <a:rPr lang="en-US" sz="1000">
                <a:solidFill>
                  <a:sysClr val="windowText" lastClr="000000"/>
                </a:solidFill>
              </a:rPr>
              <a:t>Status</a:t>
            </a:r>
            <a:r>
              <a:rPr lang="en-US" sz="1000" baseline="0">
                <a:solidFill>
                  <a:sysClr val="windowText" lastClr="000000"/>
                </a:solidFill>
              </a:rPr>
              <a:t> Based Employee Count</a:t>
            </a:r>
            <a:endParaRPr lang="en-US" sz="1000">
              <a:solidFill>
                <a:sysClr val="windowText" lastClr="000000"/>
              </a:solidFill>
            </a:endParaRPr>
          </a:p>
        </c:rich>
      </c:tx>
      <c:layout>
        <c:manualLayout>
          <c:xMode val="edge"/>
          <c:yMode val="edge"/>
          <c:x val="0.20938128297181782"/>
          <c:y val="4.3068746536696269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3399"/>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775959254625816E-3"/>
          <c:y val="0.22702112810273015"/>
          <c:w val="0.99022240407453743"/>
          <c:h val="0.52160118069407824"/>
        </c:manualLayout>
      </c:layout>
      <c:lineChart>
        <c:grouping val="stacked"/>
        <c:varyColors val="0"/>
        <c:ser>
          <c:idx val="0"/>
          <c:order val="0"/>
          <c:tx>
            <c:strRef>
              <c:f>PivotField!$B$60</c:f>
              <c:strCache>
                <c:ptCount val="1"/>
                <c:pt idx="0">
                  <c:v>Total</c:v>
                </c:pt>
              </c:strCache>
            </c:strRef>
          </c:tx>
          <c:spPr>
            <a:ln w="28575" cap="rnd">
              <a:solidFill>
                <a:srgbClr val="003399"/>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PivotField!$A$61:$A$64</c:f>
              <c:strCache>
                <c:ptCount val="3"/>
                <c:pt idx="0">
                  <c:v>Active</c:v>
                </c:pt>
                <c:pt idx="1">
                  <c:v>Terminated for Cause</c:v>
                </c:pt>
                <c:pt idx="2">
                  <c:v>Voluntarily Terminated</c:v>
                </c:pt>
              </c:strCache>
            </c:strRef>
          </c:cat>
          <c:val>
            <c:numRef>
              <c:f>PivotField!$B$61:$B$64</c:f>
              <c:numCache>
                <c:formatCode>General</c:formatCode>
                <c:ptCount val="3"/>
                <c:pt idx="0">
                  <c:v>362</c:v>
                </c:pt>
                <c:pt idx="1">
                  <c:v>169</c:v>
                </c:pt>
                <c:pt idx="2">
                  <c:v>272</c:v>
                </c:pt>
              </c:numCache>
            </c:numRef>
          </c:val>
          <c:smooth val="0"/>
          <c:extLst>
            <c:ext xmlns:c16="http://schemas.microsoft.com/office/drawing/2014/chart" uri="{C3380CC4-5D6E-409C-BE32-E72D297353CC}">
              <c16:uniqueId val="{00000000-262E-4A4A-9202-19ACE416C51F}"/>
            </c:ext>
          </c:extLst>
        </c:ser>
        <c:dLbls>
          <c:dLblPos val="t"/>
          <c:showLegendKey val="0"/>
          <c:showVal val="1"/>
          <c:showCatName val="0"/>
          <c:showSerName val="0"/>
          <c:showPercent val="0"/>
          <c:showBubbleSize val="0"/>
        </c:dLbls>
        <c:marker val="1"/>
        <c:smooth val="0"/>
        <c:axId val="445798351"/>
        <c:axId val="445812271"/>
      </c:lineChart>
      <c:catAx>
        <c:axId val="445798351"/>
        <c:scaling>
          <c:orientation val="minMax"/>
        </c:scaling>
        <c:delete val="0"/>
        <c:axPos val="b"/>
        <c:numFmt formatCode="General" sourceLinked="1"/>
        <c:majorTickMark val="out"/>
        <c:minorTickMark val="none"/>
        <c:tickLblPos val="nextTo"/>
        <c:spPr>
          <a:noFill/>
          <a:ln w="9525" cap="flat" cmpd="sng" algn="ctr">
            <a:solidFill>
              <a:srgbClr val="003399"/>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45812271"/>
        <c:crosses val="autoZero"/>
        <c:auto val="1"/>
        <c:lblAlgn val="ctr"/>
        <c:lblOffset val="100"/>
        <c:noMultiLvlLbl val="0"/>
      </c:catAx>
      <c:valAx>
        <c:axId val="445812271"/>
        <c:scaling>
          <c:orientation val="minMax"/>
        </c:scaling>
        <c:delete val="1"/>
        <c:axPos val="l"/>
        <c:numFmt formatCode="General" sourceLinked="1"/>
        <c:majorTickMark val="out"/>
        <c:minorTickMark val="none"/>
        <c:tickLblPos val="nextTo"/>
        <c:crossAx val="44579835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[HRDATA.xlsx]PivotField!PivotTable4</c:name>
    <c:fmtId val="6"/>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rgbClr val="002060"/>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9102421145954244"/>
                  <c:h val="0.38844804015987844"/>
                </c:manualLayout>
              </c15:layout>
            </c:ext>
          </c:extLst>
        </c:dLbl>
      </c:pivotFmt>
      <c:pivotFmt>
        <c:idx val="6"/>
        <c:spPr>
          <a:solidFill>
            <a:schemeClr val="accent1">
              <a:lumMod val="75000"/>
            </a:schemeClr>
          </a:solidFill>
          <a:ln w="19050">
            <a:noFill/>
          </a:ln>
          <a:effectLst/>
        </c:spPr>
      </c:pivotFmt>
    </c:pivotFmts>
    <c:plotArea>
      <c:layout>
        <c:manualLayout>
          <c:layoutTarget val="inner"/>
          <c:xMode val="edge"/>
          <c:yMode val="edge"/>
          <c:x val="8.0275863487217922E-2"/>
          <c:y val="0.14578416411127892"/>
          <c:w val="0.72132429554615163"/>
          <c:h val="0.82280639565872971"/>
        </c:manualLayout>
      </c:layout>
      <c:doughnutChart>
        <c:varyColors val="1"/>
        <c:ser>
          <c:idx val="0"/>
          <c:order val="0"/>
          <c:tx>
            <c:strRef>
              <c:f>PivotField!$B$48</c:f>
              <c:strCache>
                <c:ptCount val="1"/>
                <c:pt idx="0">
                  <c:v>Total</c:v>
                </c:pt>
              </c:strCache>
            </c:strRef>
          </c:tx>
          <c:spPr>
            <a:ln>
              <a:noFill/>
            </a:ln>
          </c:spPr>
          <c:dPt>
            <c:idx val="0"/>
            <c:bubble3D val="0"/>
            <c:spPr>
              <a:solidFill>
                <a:srgbClr val="002060"/>
              </a:solidFill>
              <a:ln w="19050">
                <a:noFill/>
              </a:ln>
              <a:effectLst/>
            </c:spPr>
            <c:extLst>
              <c:ext xmlns:c16="http://schemas.microsoft.com/office/drawing/2014/chart" uri="{C3380CC4-5D6E-409C-BE32-E72D297353CC}">
                <c16:uniqueId val="{00000001-5F39-4385-8CB2-9A563A3EEEE7}"/>
              </c:ext>
            </c:extLst>
          </c:dPt>
          <c:dPt>
            <c:idx val="1"/>
            <c:bubble3D val="0"/>
            <c:spPr>
              <a:solidFill>
                <a:schemeClr val="accent1">
                  <a:lumMod val="75000"/>
                </a:schemeClr>
              </a:solidFill>
              <a:ln w="19050">
                <a:noFill/>
              </a:ln>
              <a:effectLst/>
            </c:spPr>
            <c:extLst>
              <c:ext xmlns:c16="http://schemas.microsoft.com/office/drawing/2014/chart" uri="{C3380CC4-5D6E-409C-BE32-E72D297353CC}">
                <c16:uniqueId val="{00000003-5F39-4385-8CB2-9A563A3EEEE7}"/>
              </c:ext>
            </c:extLst>
          </c:dPt>
          <c:dLbls>
            <c:dLbl>
              <c:idx val="0"/>
              <c:showLegendKey val="0"/>
              <c:showVal val="1"/>
              <c:showCatName val="1"/>
              <c:showSerName val="0"/>
              <c:showPercent val="1"/>
              <c:showBubbleSize val="0"/>
              <c:separator>
</c:separator>
              <c:extLst>
                <c:ext xmlns:c15="http://schemas.microsoft.com/office/drawing/2012/chart" uri="{CE6537A1-D6FC-4f65-9D91-7224C49458BB}">
                  <c15:layout>
                    <c:manualLayout>
                      <c:w val="0.29102421145954244"/>
                      <c:h val="0.38844804015987844"/>
                    </c:manualLayout>
                  </c15:layout>
                </c:ext>
                <c:ext xmlns:c16="http://schemas.microsoft.com/office/drawing/2014/chart" uri="{C3380CC4-5D6E-409C-BE32-E72D297353CC}">
                  <c16:uniqueId val="{00000001-5F39-4385-8CB2-9A563A3EEE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PivotField!$A$49:$A$51</c:f>
              <c:strCache>
                <c:ptCount val="2"/>
                <c:pt idx="0">
                  <c:v>Female</c:v>
                </c:pt>
                <c:pt idx="1">
                  <c:v>Male</c:v>
                </c:pt>
              </c:strCache>
            </c:strRef>
          </c:cat>
          <c:val>
            <c:numRef>
              <c:f>PivotField!$B$49:$B$51</c:f>
              <c:numCache>
                <c:formatCode>General</c:formatCode>
                <c:ptCount val="2"/>
                <c:pt idx="0">
                  <c:v>406</c:v>
                </c:pt>
                <c:pt idx="1">
                  <c:v>397</c:v>
                </c:pt>
              </c:numCache>
            </c:numRef>
          </c:val>
          <c:extLst>
            <c:ext xmlns:c16="http://schemas.microsoft.com/office/drawing/2014/chart" uri="{C3380CC4-5D6E-409C-BE32-E72D297353CC}">
              <c16:uniqueId val="{00000004-5F39-4385-8CB2-9A563A3EEEE7}"/>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[HRDATA.xlsx]PivotField!PivotTable11</c:name>
    <c:fmtId val="7"/>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ln>
            <a:noFill/>
          </a:ln>
        </c:spPr>
        <c:marker>
          <c:symbol val="none"/>
        </c:marker>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rgbClr val="003399"/>
          </a:solidFill>
          <a:ln w="19050">
            <a:noFill/>
          </a:ln>
          <a:effectLst/>
        </c:spPr>
      </c:pivotFmt>
      <c:pivotFmt>
        <c:idx val="9"/>
        <c:spPr>
          <a:solidFill>
            <a:schemeClr val="accent1">
              <a:lumMod val="75000"/>
            </a:schemeClr>
          </a:solidFill>
          <a:ln w="19050">
            <a:noFill/>
          </a:ln>
          <a:effectLst/>
        </c:spPr>
      </c:pivotFmt>
    </c:pivotFmts>
    <c:plotArea>
      <c:layout>
        <c:manualLayout>
          <c:layoutTarget val="inner"/>
          <c:xMode val="edge"/>
          <c:yMode val="edge"/>
          <c:x val="0.13362655230631226"/>
          <c:y val="0.13501617675272085"/>
          <c:w val="0.7436679966908526"/>
          <c:h val="0.84880185011413123"/>
        </c:manualLayout>
      </c:layout>
      <c:doughnutChart>
        <c:varyColors val="1"/>
        <c:ser>
          <c:idx val="0"/>
          <c:order val="0"/>
          <c:tx>
            <c:strRef>
              <c:f>PivotField!$K$33</c:f>
              <c:strCache>
                <c:ptCount val="1"/>
                <c:pt idx="0">
                  <c:v>Total</c:v>
                </c:pt>
              </c:strCache>
            </c:strRef>
          </c:tx>
          <c:spPr>
            <a:ln>
              <a:noFill/>
            </a:ln>
          </c:spPr>
          <c:dPt>
            <c:idx val="0"/>
            <c:bubble3D val="0"/>
            <c:spPr>
              <a:solidFill>
                <a:srgbClr val="003399"/>
              </a:solidFill>
              <a:ln w="19050">
                <a:noFill/>
              </a:ln>
              <a:effectLst/>
            </c:spPr>
            <c:extLst>
              <c:ext xmlns:c16="http://schemas.microsoft.com/office/drawing/2014/chart" uri="{C3380CC4-5D6E-409C-BE32-E72D297353CC}">
                <c16:uniqueId val="{00000007-C104-42BB-8F7A-EC5B2D019DE8}"/>
              </c:ext>
            </c:extLst>
          </c:dPt>
          <c:dPt>
            <c:idx val="1"/>
            <c:bubble3D val="0"/>
            <c:spPr>
              <a:solidFill>
                <a:schemeClr val="accent1">
                  <a:lumMod val="75000"/>
                </a:schemeClr>
              </a:solidFill>
              <a:ln w="19050">
                <a:noFill/>
              </a:ln>
              <a:effectLst/>
            </c:spPr>
            <c:extLst>
              <c:ext xmlns:c16="http://schemas.microsoft.com/office/drawing/2014/chart" uri="{C3380CC4-5D6E-409C-BE32-E72D297353CC}">
                <c16:uniqueId val="{00000009-C104-42BB-8F7A-EC5B2D019DE8}"/>
              </c:ext>
            </c:extLst>
          </c:dPt>
          <c:dLbls>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1"/>
            <c:showCatName val="1"/>
            <c:showSerName val="0"/>
            <c:showPercent val="1"/>
            <c:showBubbleSize val="0"/>
            <c:separator>
</c:separator>
            <c:showLeaderLines val="1"/>
            <c:extLst>
              <c:ext xmlns:c15="http://schemas.microsoft.com/office/drawing/2012/chart" uri="{CE6537A1-D6FC-4f65-9D91-7224C49458BB}"/>
            </c:extLst>
          </c:dLbls>
          <c:cat>
            <c:strRef>
              <c:f>PivotField!$J$34:$J$36</c:f>
              <c:strCache>
                <c:ptCount val="2"/>
                <c:pt idx="0">
                  <c:v>No</c:v>
                </c:pt>
                <c:pt idx="1">
                  <c:v>Yes</c:v>
                </c:pt>
              </c:strCache>
            </c:strRef>
          </c:cat>
          <c:val>
            <c:numRef>
              <c:f>PivotField!$K$34:$K$36</c:f>
              <c:numCache>
                <c:formatCode>General</c:formatCode>
                <c:ptCount val="2"/>
                <c:pt idx="0">
                  <c:v>520</c:v>
                </c:pt>
                <c:pt idx="1">
                  <c:v>283</c:v>
                </c:pt>
              </c:numCache>
            </c:numRef>
          </c:val>
          <c:extLst>
            <c:ext xmlns:c16="http://schemas.microsoft.com/office/drawing/2014/chart" uri="{C3380CC4-5D6E-409C-BE32-E72D297353CC}">
              <c16:uniqueId val="{0000000A-C104-42BB-8F7A-EC5B2D019DE8}"/>
            </c:ext>
          </c:extLst>
        </c:ser>
        <c:dLbls>
          <c:showLegendKey val="0"/>
          <c:showVal val="0"/>
          <c:showCatName val="0"/>
          <c:showSerName val="0"/>
          <c:showPercent val="0"/>
          <c:showBubbleSize val="0"/>
          <c:showLeaderLines val="1"/>
        </c:dLbls>
        <c:firstSliceAng val="0"/>
        <c:holeSize val="50"/>
      </c:doughnutChart>
      <c:spPr>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[HRDATA.xlsx]PivotField!PivotTable7</c:name>
    <c:fmtId val="4"/>
  </c:pivotSource>
  <c:chart>
    <c:title>
      <c:tx>
        <c:rich>
          <a:bodyPr rot="0" spcFirstLastPara="1" vertOverflow="ellipsis" vert="horz" wrap="square" anchor="ctr" anchorCtr="1"/>
          <a:lstStyle/>
          <a:p>
            <a:pPr>
              <a:defRPr sz="800" b="0" i="0" u="none" strike="noStrike" kern="1200" spc="0" baseline="0">
                <a:solidFill>
                  <a:sysClr val="windowText" lastClr="000000"/>
                </a:solidFill>
                <a:latin typeface="+mn-lt"/>
                <a:ea typeface="+mn-ea"/>
                <a:cs typeface="+mn-cs"/>
              </a:defRPr>
            </a:pPr>
            <a:r>
              <a:rPr lang="en-US" sz="800">
                <a:solidFill>
                  <a:sysClr val="windowText" lastClr="000000"/>
                </a:solidFill>
              </a:rPr>
              <a:t>Employee</a:t>
            </a:r>
            <a:r>
              <a:rPr lang="en-US" sz="800" baseline="0">
                <a:solidFill>
                  <a:sysClr val="windowText" lastClr="000000"/>
                </a:solidFill>
              </a:rPr>
              <a:t> Count Based On Maritial Status</a:t>
            </a:r>
            <a:endParaRPr lang="en-US" sz="800">
              <a:solidFill>
                <a:sysClr val="windowText" lastClr="000000"/>
              </a:solidFill>
            </a:endParaRPr>
          </a:p>
        </c:rich>
      </c:tx>
      <c:layout>
        <c:manualLayout>
          <c:xMode val="edge"/>
          <c:yMode val="edge"/>
          <c:x val="0.15671787028551429"/>
          <c:y val="4.2708341039890935E-2"/>
        </c:manualLayout>
      </c:layout>
      <c:overlay val="0"/>
      <c:spPr>
        <a:noFill/>
        <a:ln>
          <a:noFill/>
        </a:ln>
        <a:effectLst/>
      </c:spPr>
      <c:txPr>
        <a:bodyPr rot="0" spcFirstLastPara="1" vertOverflow="ellipsis" vert="horz" wrap="square" anchor="ctr" anchorCtr="1"/>
        <a:lstStyle/>
        <a:p>
          <a:pPr>
            <a:defRPr sz="8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3399"/>
          </a:solidFill>
          <a:ln>
            <a:noFill/>
          </a:ln>
          <a:effectLst/>
        </c:spPr>
        <c:dLbl>
          <c:idx val="0"/>
          <c:layout>
            <c:manualLayout>
              <c:x val="-5.1385694141828564E-3"/>
              <c:y val="-0.351066329421846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3399"/>
          </a:solidFill>
          <a:ln>
            <a:noFill/>
          </a:ln>
          <a:effectLst/>
        </c:spPr>
        <c:dLbl>
          <c:idx val="0"/>
          <c:layout>
            <c:manualLayout>
              <c:x val="0"/>
              <c:y val="-0.307183038244115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3399"/>
          </a:solidFill>
          <a:ln>
            <a:noFill/>
          </a:ln>
          <a:effectLst/>
        </c:spPr>
        <c:dLbl>
          <c:idx val="0"/>
          <c:layout>
            <c:manualLayout>
              <c:x val="-1.0277138828365713E-2"/>
              <c:y val="-0.219416455888653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3399"/>
          </a:solidFill>
          <a:ln>
            <a:noFill/>
          </a:ln>
          <a:effectLst/>
        </c:spPr>
        <c:dLbl>
          <c:idx val="0"/>
          <c:layout>
            <c:manualLayout>
              <c:x val="1.0277138828365617E-2"/>
              <c:y val="-0.324736354715207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3399"/>
          </a:solidFill>
          <a:ln>
            <a:noFill/>
          </a:ln>
          <a:effectLst/>
        </c:spPr>
        <c:dLbl>
          <c:idx val="0"/>
          <c:layout>
            <c:manualLayout>
              <c:x val="2.0575331635463257E-2"/>
              <c:y val="-0.153124995813511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13834008772336"/>
          <c:y val="0.18487881613723292"/>
          <c:w val="0.76425457363023741"/>
          <c:h val="0.45134802508923216"/>
        </c:manualLayout>
      </c:layout>
      <c:areaChart>
        <c:grouping val="stacked"/>
        <c:varyColors val="0"/>
        <c:ser>
          <c:idx val="0"/>
          <c:order val="0"/>
          <c:tx>
            <c:strRef>
              <c:f>PivotField!$B$90</c:f>
              <c:strCache>
                <c:ptCount val="1"/>
                <c:pt idx="0">
                  <c:v>Total</c:v>
                </c:pt>
              </c:strCache>
            </c:strRef>
          </c:tx>
          <c:spPr>
            <a:solidFill>
              <a:srgbClr val="003399"/>
            </a:solidFill>
            <a:ln>
              <a:noFill/>
            </a:ln>
            <a:effectLst/>
          </c:spPr>
          <c:dPt>
            <c:idx val="0"/>
            <c:bubble3D val="0"/>
            <c:extLst>
              <c:ext xmlns:c16="http://schemas.microsoft.com/office/drawing/2014/chart" uri="{C3380CC4-5D6E-409C-BE32-E72D297353CC}">
                <c16:uniqueId val="{00000002-76B9-4061-9346-325AD17FD586}"/>
              </c:ext>
            </c:extLst>
          </c:dPt>
          <c:dPt>
            <c:idx val="1"/>
            <c:bubble3D val="0"/>
            <c:extLst>
              <c:ext xmlns:c16="http://schemas.microsoft.com/office/drawing/2014/chart" uri="{C3380CC4-5D6E-409C-BE32-E72D297353CC}">
                <c16:uniqueId val="{00000001-76B9-4061-9346-325AD17FD586}"/>
              </c:ext>
            </c:extLst>
          </c:dPt>
          <c:dPt>
            <c:idx val="2"/>
            <c:bubble3D val="0"/>
            <c:extLst>
              <c:ext xmlns:c16="http://schemas.microsoft.com/office/drawing/2014/chart" uri="{C3380CC4-5D6E-409C-BE32-E72D297353CC}">
                <c16:uniqueId val="{00000003-76B9-4061-9346-325AD17FD586}"/>
              </c:ext>
            </c:extLst>
          </c:dPt>
          <c:dPt>
            <c:idx val="3"/>
            <c:bubble3D val="0"/>
            <c:extLst>
              <c:ext xmlns:c16="http://schemas.microsoft.com/office/drawing/2014/chart" uri="{C3380CC4-5D6E-409C-BE32-E72D297353CC}">
                <c16:uniqueId val="{00000004-76B9-4061-9346-325AD17FD586}"/>
              </c:ext>
            </c:extLst>
          </c:dPt>
          <c:dPt>
            <c:idx val="4"/>
            <c:bubble3D val="0"/>
            <c:extLst>
              <c:ext xmlns:c16="http://schemas.microsoft.com/office/drawing/2014/chart" uri="{C3380CC4-5D6E-409C-BE32-E72D297353CC}">
                <c16:uniqueId val="{00000005-76B9-4061-9346-325AD17FD586}"/>
              </c:ext>
            </c:extLst>
          </c:dPt>
          <c:dLbls>
            <c:dLbl>
              <c:idx val="0"/>
              <c:layout>
                <c:manualLayout>
                  <c:x val="0"/>
                  <c:y val="-0.30718303824411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B9-4061-9346-325AD17FD586}"/>
                </c:ext>
              </c:extLst>
            </c:dLbl>
            <c:dLbl>
              <c:idx val="1"/>
              <c:layout>
                <c:manualLayout>
                  <c:x val="-5.1385694141828564E-3"/>
                  <c:y val="-0.351066329421846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B9-4061-9346-325AD17FD586}"/>
                </c:ext>
              </c:extLst>
            </c:dLbl>
            <c:dLbl>
              <c:idx val="2"/>
              <c:layout>
                <c:manualLayout>
                  <c:x val="-1.0277138828365713E-2"/>
                  <c:y val="-0.219416455888653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B9-4061-9346-325AD17FD586}"/>
                </c:ext>
              </c:extLst>
            </c:dLbl>
            <c:dLbl>
              <c:idx val="3"/>
              <c:layout>
                <c:manualLayout>
                  <c:x val="1.0277138828365617E-2"/>
                  <c:y val="-0.324736354715207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6B9-4061-9346-325AD17FD586}"/>
                </c:ext>
              </c:extLst>
            </c:dLbl>
            <c:dLbl>
              <c:idx val="4"/>
              <c:layout>
                <c:manualLayout>
                  <c:x val="2.0575331635463257E-2"/>
                  <c:y val="-0.153124995813511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B9-4061-9346-325AD17FD5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003399"/>
                      </a:solidFill>
                      <a:round/>
                    </a:ln>
                    <a:effectLst/>
                  </c:spPr>
                </c15:leaderLines>
              </c:ext>
            </c:extLst>
          </c:dLbls>
          <c:cat>
            <c:strRef>
              <c:f>PivotField!$A$91:$A$96</c:f>
              <c:strCache>
                <c:ptCount val="5"/>
                <c:pt idx="0">
                  <c:v>Divorced</c:v>
                </c:pt>
                <c:pt idx="1">
                  <c:v>Married</c:v>
                </c:pt>
                <c:pt idx="2">
                  <c:v>Seperated</c:v>
                </c:pt>
                <c:pt idx="3">
                  <c:v>Single</c:v>
                </c:pt>
                <c:pt idx="4">
                  <c:v>Widowed</c:v>
                </c:pt>
              </c:strCache>
            </c:strRef>
          </c:cat>
          <c:val>
            <c:numRef>
              <c:f>PivotField!$B$91:$B$96</c:f>
              <c:numCache>
                <c:formatCode>General</c:formatCode>
                <c:ptCount val="5"/>
                <c:pt idx="0">
                  <c:v>196</c:v>
                </c:pt>
                <c:pt idx="1">
                  <c:v>286</c:v>
                </c:pt>
                <c:pt idx="2">
                  <c:v>11</c:v>
                </c:pt>
                <c:pt idx="3">
                  <c:v>302</c:v>
                </c:pt>
                <c:pt idx="4">
                  <c:v>8</c:v>
                </c:pt>
              </c:numCache>
            </c:numRef>
          </c:val>
          <c:extLst>
            <c:ext xmlns:c16="http://schemas.microsoft.com/office/drawing/2014/chart" uri="{C3380CC4-5D6E-409C-BE32-E72D297353CC}">
              <c16:uniqueId val="{00000000-76B9-4061-9346-325AD17FD586}"/>
            </c:ext>
          </c:extLst>
        </c:ser>
        <c:dLbls>
          <c:showLegendKey val="0"/>
          <c:showVal val="1"/>
          <c:showCatName val="0"/>
          <c:showSerName val="0"/>
          <c:showPercent val="0"/>
          <c:showBubbleSize val="0"/>
        </c:dLbls>
        <c:axId val="1391439871"/>
        <c:axId val="1391440351"/>
      </c:areaChart>
      <c:catAx>
        <c:axId val="1391439871"/>
        <c:scaling>
          <c:orientation val="minMax"/>
        </c:scaling>
        <c:delete val="0"/>
        <c:axPos val="b"/>
        <c:numFmt formatCode="General" sourceLinked="1"/>
        <c:majorTickMark val="out"/>
        <c:minorTickMark val="none"/>
        <c:tickLblPos val="nextTo"/>
        <c:spPr>
          <a:noFill/>
          <a:ln w="9525" cap="flat" cmpd="sng" algn="ctr">
            <a:solidFill>
              <a:srgbClr val="003399"/>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91440351"/>
        <c:crosses val="autoZero"/>
        <c:auto val="1"/>
        <c:lblAlgn val="ctr"/>
        <c:lblOffset val="100"/>
        <c:noMultiLvlLbl val="0"/>
      </c:catAx>
      <c:valAx>
        <c:axId val="1391440351"/>
        <c:scaling>
          <c:orientation val="minMax"/>
        </c:scaling>
        <c:delete val="1"/>
        <c:axPos val="l"/>
        <c:numFmt formatCode="General" sourceLinked="1"/>
        <c:majorTickMark val="none"/>
        <c:minorTickMark val="none"/>
        <c:tickLblPos val="nextTo"/>
        <c:crossAx val="1391439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[HRDATA.xlsx]PivotField!PivotTable12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lumMod val="50000"/>
            </a:schemeClr>
          </a:solidFill>
          <a:ln w="19050">
            <a:noFill/>
          </a:ln>
          <a:effectLst/>
        </c:spPr>
      </c:pivotFmt>
      <c:pivotFmt>
        <c:idx val="6"/>
        <c:spPr>
          <a:solidFill>
            <a:schemeClr val="accent1">
              <a:lumMod val="75000"/>
            </a:schemeClr>
          </a:solidFill>
          <a:ln w="19050">
            <a:noFill/>
          </a:ln>
          <a:effectLst/>
        </c:spPr>
      </c:pivotFmt>
    </c:pivotFmts>
    <c:plotArea>
      <c:layout>
        <c:manualLayout>
          <c:layoutTarget val="inner"/>
          <c:xMode val="edge"/>
          <c:yMode val="edge"/>
          <c:x val="6.4086876192305534E-2"/>
          <c:y val="7.0404300862877786E-2"/>
          <c:w val="0.87453611930068464"/>
          <c:h val="0.90582988203686987"/>
        </c:manualLayout>
      </c:layout>
      <c:doughnutChart>
        <c:varyColors val="1"/>
        <c:ser>
          <c:idx val="0"/>
          <c:order val="0"/>
          <c:tx>
            <c:strRef>
              <c:f>PivotField!$K$44</c:f>
              <c:strCache>
                <c:ptCount val="1"/>
                <c:pt idx="0">
                  <c:v>Total</c:v>
                </c:pt>
              </c:strCache>
            </c:strRef>
          </c:tx>
          <c:spPr>
            <a:ln>
              <a:noFill/>
            </a:ln>
          </c:spPr>
          <c:dPt>
            <c:idx val="0"/>
            <c:bubble3D val="0"/>
            <c:spPr>
              <a:solidFill>
                <a:schemeClr val="accent1">
                  <a:lumMod val="50000"/>
                </a:schemeClr>
              </a:solidFill>
              <a:ln w="19050">
                <a:noFill/>
              </a:ln>
              <a:effectLst/>
            </c:spPr>
            <c:extLst>
              <c:ext xmlns:c16="http://schemas.microsoft.com/office/drawing/2014/chart" uri="{C3380CC4-5D6E-409C-BE32-E72D297353CC}">
                <c16:uniqueId val="{00000001-FA81-4BE1-AAA3-27C29EC7D0D6}"/>
              </c:ext>
            </c:extLst>
          </c:dPt>
          <c:dPt>
            <c:idx val="1"/>
            <c:bubble3D val="0"/>
            <c:spPr>
              <a:solidFill>
                <a:schemeClr val="accent1">
                  <a:lumMod val="75000"/>
                </a:schemeClr>
              </a:solidFill>
              <a:ln w="19050">
                <a:noFill/>
              </a:ln>
              <a:effectLst/>
            </c:spPr>
            <c:extLst>
              <c:ext xmlns:c16="http://schemas.microsoft.com/office/drawing/2014/chart" uri="{C3380CC4-5D6E-409C-BE32-E72D297353CC}">
                <c16:uniqueId val="{00000003-FA81-4BE1-AAA3-27C29EC7D0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PivotField!$J$45:$J$47</c:f>
              <c:strCache>
                <c:ptCount val="2"/>
                <c:pt idx="0">
                  <c:v>0</c:v>
                </c:pt>
                <c:pt idx="1">
                  <c:v>1</c:v>
                </c:pt>
              </c:strCache>
            </c:strRef>
          </c:cat>
          <c:val>
            <c:numRef>
              <c:f>PivotField!$K$45:$K$47</c:f>
              <c:numCache>
                <c:formatCode>General</c:formatCode>
                <c:ptCount val="2"/>
                <c:pt idx="0">
                  <c:v>463</c:v>
                </c:pt>
                <c:pt idx="1">
                  <c:v>340</c:v>
                </c:pt>
              </c:numCache>
            </c:numRef>
          </c:val>
          <c:extLst>
            <c:ext xmlns:c16="http://schemas.microsoft.com/office/drawing/2014/chart" uri="{C3380CC4-5D6E-409C-BE32-E72D297353CC}">
              <c16:uniqueId val="{00000004-FA81-4BE1-AAA3-27C29EC7D0D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editAs="oneCell">
    <xdr:from>
      <xdr:col>9</xdr:col>
      <xdr:colOff>67887</xdr:colOff>
      <xdr:row>1</xdr:row>
      <xdr:rowOff>80818</xdr:rowOff>
    </xdr:from>
    <xdr:to>
      <xdr:col>11</xdr:col>
      <xdr:colOff>377766</xdr:colOff>
      <xdr:row>14</xdr:row>
      <xdr:rowOff>135717</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295991AA-911B-35C5-C0A4-C5440408FBF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995160" y="265545"/>
              <a:ext cx="1833879" cy="2456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297873</xdr:colOff>
      <xdr:row>1</xdr:row>
      <xdr:rowOff>80818</xdr:rowOff>
    </xdr:from>
    <xdr:to>
      <xdr:col>18</xdr:col>
      <xdr:colOff>480752</xdr:colOff>
      <xdr:row>14</xdr:row>
      <xdr:rowOff>135717</xdr:rowOff>
    </xdr:to>
    <mc:AlternateContent xmlns:mc="http://schemas.openxmlformats.org/markup-compatibility/2006" xmlns:a14="http://schemas.microsoft.com/office/drawing/2010/main">
      <mc:Choice Requires="a14">
        <xdr:graphicFrame macro="">
          <xdr:nvGraphicFramePr>
            <xdr:cNvPr id="3" name="GenderID">
              <a:extLst>
                <a:ext uri="{FF2B5EF4-FFF2-40B4-BE49-F238E27FC236}">
                  <a16:creationId xmlns:a16="http://schemas.microsoft.com/office/drawing/2014/main" id="{6BA3A583-A48E-2DAD-F7AA-2F7D87ACE41E}"/>
                </a:ext>
              </a:extLst>
            </xdr:cNvPr>
            <xdr:cNvGraphicFramePr/>
          </xdr:nvGraphicFramePr>
          <xdr:xfrm>
            <a:off x="0" y="0"/>
            <a:ext cx="0" cy="0"/>
          </xdr:xfrm>
          <a:graphic>
            <a:graphicData uri="http://schemas.microsoft.com/office/drawing/2010/slicer">
              <sle:slicer xmlns:sle="http://schemas.microsoft.com/office/drawing/2010/slicer" name="GenderID"/>
            </a:graphicData>
          </a:graphic>
        </xdr:graphicFrame>
      </mc:Choice>
      <mc:Fallback xmlns="">
        <xdr:sp macro="" textlink="">
          <xdr:nvSpPr>
            <xdr:cNvPr id="0" name=""/>
            <xdr:cNvSpPr>
              <a:spLocks noTextEdit="1"/>
            </xdr:cNvSpPr>
          </xdr:nvSpPr>
          <xdr:spPr>
            <a:xfrm>
              <a:off x="10965873" y="265545"/>
              <a:ext cx="1845424" cy="2456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44334</xdr:colOff>
      <xdr:row>14</xdr:row>
      <xdr:rowOff>187267</xdr:rowOff>
    </xdr:from>
    <xdr:to>
      <xdr:col>15</xdr:col>
      <xdr:colOff>227216</xdr:colOff>
      <xdr:row>28</xdr:row>
      <xdr:rowOff>47740</xdr:rowOff>
    </xdr:to>
    <mc:AlternateContent xmlns:mc="http://schemas.openxmlformats.org/markup-compatibility/2006" xmlns:a14="http://schemas.microsoft.com/office/drawing/2010/main">
      <mc:Choice Requires="a14">
        <xdr:graphicFrame macro="">
          <xdr:nvGraphicFramePr>
            <xdr:cNvPr id="4" name="Position">
              <a:extLst>
                <a:ext uri="{FF2B5EF4-FFF2-40B4-BE49-F238E27FC236}">
                  <a16:creationId xmlns:a16="http://schemas.microsoft.com/office/drawing/2014/main" id="{BFF2AA28-11B8-3A08-78EC-6B43E95E2F73}"/>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9049789" y="2773449"/>
              <a:ext cx="1845427" cy="2446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309188</xdr:colOff>
      <xdr:row>15</xdr:row>
      <xdr:rowOff>2540</xdr:rowOff>
    </xdr:from>
    <xdr:to>
      <xdr:col>18</xdr:col>
      <xdr:colOff>492067</xdr:colOff>
      <xdr:row>28</xdr:row>
      <xdr:rowOff>59285</xdr:rowOff>
    </xdr:to>
    <mc:AlternateContent xmlns:mc="http://schemas.openxmlformats.org/markup-compatibility/2006" xmlns:a14="http://schemas.microsoft.com/office/drawing/2010/main">
      <mc:Choice Requires="a14">
        <xdr:graphicFrame macro="">
          <xdr:nvGraphicFramePr>
            <xdr:cNvPr id="5" name="ManagerName">
              <a:extLst>
                <a:ext uri="{FF2B5EF4-FFF2-40B4-BE49-F238E27FC236}">
                  <a16:creationId xmlns:a16="http://schemas.microsoft.com/office/drawing/2014/main" id="{73C22D09-B1D0-33DA-815B-AE5A180AD41C}"/>
                </a:ext>
              </a:extLst>
            </xdr:cNvPr>
            <xdr:cNvGraphicFramePr/>
          </xdr:nvGraphicFramePr>
          <xdr:xfrm>
            <a:off x="0" y="0"/>
            <a:ext cx="0" cy="0"/>
          </xdr:xfrm>
          <a:graphic>
            <a:graphicData uri="http://schemas.microsoft.com/office/drawing/2010/slicer">
              <sle:slicer xmlns:sle="http://schemas.microsoft.com/office/drawing/2010/slicer" name="ManagerName"/>
            </a:graphicData>
          </a:graphic>
        </xdr:graphicFrame>
      </mc:Choice>
      <mc:Fallback xmlns="">
        <xdr:sp macro="" textlink="">
          <xdr:nvSpPr>
            <xdr:cNvPr id="0" name=""/>
            <xdr:cNvSpPr>
              <a:spLocks noTextEdit="1"/>
            </xdr:cNvSpPr>
          </xdr:nvSpPr>
          <xdr:spPr>
            <a:xfrm>
              <a:off x="10977188" y="2773449"/>
              <a:ext cx="1845424" cy="245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36714</xdr:colOff>
      <xdr:row>1</xdr:row>
      <xdr:rowOff>80818</xdr:rowOff>
    </xdr:from>
    <xdr:to>
      <xdr:col>15</xdr:col>
      <xdr:colOff>219596</xdr:colOff>
      <xdr:row>14</xdr:row>
      <xdr:rowOff>135717</xdr:rowOff>
    </xdr:to>
    <mc:AlternateContent xmlns:mc="http://schemas.openxmlformats.org/markup-compatibility/2006" xmlns:a14="http://schemas.microsoft.com/office/drawing/2010/main">
      <mc:Choice Requires="a14">
        <xdr:graphicFrame macro="">
          <xdr:nvGraphicFramePr>
            <xdr:cNvPr id="6" name="Sex">
              <a:extLst>
                <a:ext uri="{FF2B5EF4-FFF2-40B4-BE49-F238E27FC236}">
                  <a16:creationId xmlns:a16="http://schemas.microsoft.com/office/drawing/2014/main" id="{283B530C-F2F7-D2DA-CF40-A2CCC68331AB}"/>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9042169" y="265545"/>
              <a:ext cx="1845427" cy="2456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67887</xdr:colOff>
      <xdr:row>14</xdr:row>
      <xdr:rowOff>191423</xdr:rowOff>
    </xdr:from>
    <xdr:to>
      <xdr:col>11</xdr:col>
      <xdr:colOff>377766</xdr:colOff>
      <xdr:row>28</xdr:row>
      <xdr:rowOff>51896</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849D8FB1-71FC-8C94-14B9-272541C3CFF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995160" y="2777605"/>
              <a:ext cx="1833879" cy="2446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91440</xdr:colOff>
      <xdr:row>2</xdr:row>
      <xdr:rowOff>34290</xdr:rowOff>
    </xdr:from>
    <xdr:to>
      <xdr:col>7</xdr:col>
      <xdr:colOff>510540</xdr:colOff>
      <xdr:row>14</xdr:row>
      <xdr:rowOff>144780</xdr:rowOff>
    </xdr:to>
    <xdr:graphicFrame macro="">
      <xdr:nvGraphicFramePr>
        <xdr:cNvPr id="8" name="Chart 7">
          <a:extLst>
            <a:ext uri="{FF2B5EF4-FFF2-40B4-BE49-F238E27FC236}">
              <a16:creationId xmlns:a16="http://schemas.microsoft.com/office/drawing/2014/main" id="{BBA4C591-9000-1412-91E6-A65D58DB9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47</xdr:row>
      <xdr:rowOff>49530</xdr:rowOff>
    </xdr:from>
    <xdr:to>
      <xdr:col>7</xdr:col>
      <xdr:colOff>419100</xdr:colOff>
      <xdr:row>56</xdr:row>
      <xdr:rowOff>160020</xdr:rowOff>
    </xdr:to>
    <xdr:graphicFrame macro="">
      <xdr:nvGraphicFramePr>
        <xdr:cNvPr id="9" name="Chart 8">
          <a:extLst>
            <a:ext uri="{FF2B5EF4-FFF2-40B4-BE49-F238E27FC236}">
              <a16:creationId xmlns:a16="http://schemas.microsoft.com/office/drawing/2014/main" id="{9C4321D5-5463-00EE-52DF-0E905C143D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xdr:colOff>
      <xdr:row>17</xdr:row>
      <xdr:rowOff>64770</xdr:rowOff>
    </xdr:from>
    <xdr:to>
      <xdr:col>7</xdr:col>
      <xdr:colOff>441960</xdr:colOff>
      <xdr:row>29</xdr:row>
      <xdr:rowOff>144780</xdr:rowOff>
    </xdr:to>
    <xdr:graphicFrame macro="">
      <xdr:nvGraphicFramePr>
        <xdr:cNvPr id="10" name="Chart 9">
          <a:extLst>
            <a:ext uri="{FF2B5EF4-FFF2-40B4-BE49-F238E27FC236}">
              <a16:creationId xmlns:a16="http://schemas.microsoft.com/office/drawing/2014/main" id="{877C2D5D-A5D9-E70B-D9EF-12E336FE8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53340</xdr:colOff>
      <xdr:row>32</xdr:row>
      <xdr:rowOff>64770</xdr:rowOff>
    </xdr:from>
    <xdr:to>
      <xdr:col>7</xdr:col>
      <xdr:colOff>434340</xdr:colOff>
      <xdr:row>44</xdr:row>
      <xdr:rowOff>137160</xdr:rowOff>
    </xdr:to>
    <xdr:graphicFrame macro="">
      <xdr:nvGraphicFramePr>
        <xdr:cNvPr id="11" name="Chart 10">
          <a:extLst>
            <a:ext uri="{FF2B5EF4-FFF2-40B4-BE49-F238E27FC236}">
              <a16:creationId xmlns:a16="http://schemas.microsoft.com/office/drawing/2014/main" id="{857D910A-7824-D485-2FD8-3400D3BD8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59</xdr:row>
      <xdr:rowOff>41910</xdr:rowOff>
    </xdr:from>
    <xdr:to>
      <xdr:col>7</xdr:col>
      <xdr:colOff>464820</xdr:colOff>
      <xdr:row>71</xdr:row>
      <xdr:rowOff>99060</xdr:rowOff>
    </xdr:to>
    <xdr:graphicFrame macro="">
      <xdr:nvGraphicFramePr>
        <xdr:cNvPr id="12" name="Chart 11">
          <a:extLst>
            <a:ext uri="{FF2B5EF4-FFF2-40B4-BE49-F238E27FC236}">
              <a16:creationId xmlns:a16="http://schemas.microsoft.com/office/drawing/2014/main" id="{A91C2890-0349-1E5F-D08F-12AE07D32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38100</xdr:colOff>
      <xdr:row>74</xdr:row>
      <xdr:rowOff>34290</xdr:rowOff>
    </xdr:from>
    <xdr:to>
      <xdr:col>7</xdr:col>
      <xdr:colOff>510540</xdr:colOff>
      <xdr:row>86</xdr:row>
      <xdr:rowOff>99060</xdr:rowOff>
    </xdr:to>
    <xdr:graphicFrame macro="">
      <xdr:nvGraphicFramePr>
        <xdr:cNvPr id="13" name="Chart 12">
          <a:extLst>
            <a:ext uri="{FF2B5EF4-FFF2-40B4-BE49-F238E27FC236}">
              <a16:creationId xmlns:a16="http://schemas.microsoft.com/office/drawing/2014/main" id="{C4065025-1F56-76D5-72D2-30704D70F9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60960</xdr:colOff>
      <xdr:row>89</xdr:row>
      <xdr:rowOff>26670</xdr:rowOff>
    </xdr:from>
    <xdr:to>
      <xdr:col>7</xdr:col>
      <xdr:colOff>449580</xdr:colOff>
      <xdr:row>99</xdr:row>
      <xdr:rowOff>114300</xdr:rowOff>
    </xdr:to>
    <xdr:graphicFrame macro="">
      <xdr:nvGraphicFramePr>
        <xdr:cNvPr id="14" name="Chart 13">
          <a:extLst>
            <a:ext uri="{FF2B5EF4-FFF2-40B4-BE49-F238E27FC236}">
              <a16:creationId xmlns:a16="http://schemas.microsoft.com/office/drawing/2014/main" id="{A4DB6A18-57B2-0ACC-B66D-A9725F64B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45720</xdr:colOff>
      <xdr:row>32</xdr:row>
      <xdr:rowOff>57150</xdr:rowOff>
    </xdr:from>
    <xdr:to>
      <xdr:col>16</xdr:col>
      <xdr:colOff>487680</xdr:colOff>
      <xdr:row>40</xdr:row>
      <xdr:rowOff>137160</xdr:rowOff>
    </xdr:to>
    <xdr:graphicFrame macro="">
      <xdr:nvGraphicFramePr>
        <xdr:cNvPr id="15" name="Chart 14">
          <a:extLst>
            <a:ext uri="{FF2B5EF4-FFF2-40B4-BE49-F238E27FC236}">
              <a16:creationId xmlns:a16="http://schemas.microsoft.com/office/drawing/2014/main" id="{7E258419-B609-0109-41B1-283BDB0CA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106680</xdr:colOff>
      <xdr:row>43</xdr:row>
      <xdr:rowOff>113723</xdr:rowOff>
    </xdr:from>
    <xdr:to>
      <xdr:col>16</xdr:col>
      <xdr:colOff>457200</xdr:colOff>
      <xdr:row>53</xdr:row>
      <xdr:rowOff>48953</xdr:rowOff>
    </xdr:to>
    <xdr:graphicFrame macro="">
      <xdr:nvGraphicFramePr>
        <xdr:cNvPr id="16" name="Chart 15">
          <a:extLst>
            <a:ext uri="{FF2B5EF4-FFF2-40B4-BE49-F238E27FC236}">
              <a16:creationId xmlns:a16="http://schemas.microsoft.com/office/drawing/2014/main" id="{C5C07205-C18D-5875-E803-91D131625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42930</xdr:colOff>
      <xdr:row>59</xdr:row>
      <xdr:rowOff>53662</xdr:rowOff>
    </xdr:from>
    <xdr:to>
      <xdr:col>16</xdr:col>
      <xdr:colOff>515155</xdr:colOff>
      <xdr:row>71</xdr:row>
      <xdr:rowOff>139521</xdr:rowOff>
    </xdr:to>
    <xdr:graphicFrame macro="">
      <xdr:nvGraphicFramePr>
        <xdr:cNvPr id="17" name="Chart 16">
          <a:extLst>
            <a:ext uri="{FF2B5EF4-FFF2-40B4-BE49-F238E27FC236}">
              <a16:creationId xmlns:a16="http://schemas.microsoft.com/office/drawing/2014/main" id="{A5CEA798-2A0E-D0E7-C755-D1E116BEF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128789</xdr:colOff>
      <xdr:row>73</xdr:row>
      <xdr:rowOff>75126</xdr:rowOff>
    </xdr:from>
    <xdr:to>
      <xdr:col>16</xdr:col>
      <xdr:colOff>493690</xdr:colOff>
      <xdr:row>85</xdr:row>
      <xdr:rowOff>171720</xdr:rowOff>
    </xdr:to>
    <xdr:graphicFrame macro="">
      <xdr:nvGraphicFramePr>
        <xdr:cNvPr id="18" name="Chart 17">
          <a:extLst>
            <a:ext uri="{FF2B5EF4-FFF2-40B4-BE49-F238E27FC236}">
              <a16:creationId xmlns:a16="http://schemas.microsoft.com/office/drawing/2014/main" id="{BFF54C6D-A7C6-5BD6-9DB3-C039765A7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17317</xdr:colOff>
      <xdr:row>102</xdr:row>
      <xdr:rowOff>123534</xdr:rowOff>
    </xdr:from>
    <xdr:to>
      <xdr:col>7</xdr:col>
      <xdr:colOff>450273</xdr:colOff>
      <xdr:row>138</xdr:row>
      <xdr:rowOff>57728</xdr:rowOff>
    </xdr:to>
    <xdr:graphicFrame macro="">
      <xdr:nvGraphicFramePr>
        <xdr:cNvPr id="19" name="Chart 18">
          <a:extLst>
            <a:ext uri="{FF2B5EF4-FFF2-40B4-BE49-F238E27FC236}">
              <a16:creationId xmlns:a16="http://schemas.microsoft.com/office/drawing/2014/main" id="{18AFE2A4-C253-AB9E-8CD5-D89CBADA0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155863</xdr:colOff>
      <xdr:row>39</xdr:row>
      <xdr:rowOff>34637</xdr:rowOff>
    </xdr:from>
    <xdr:to>
      <xdr:col>28</xdr:col>
      <xdr:colOff>415636</xdr:colOff>
      <xdr:row>53</xdr:row>
      <xdr:rowOff>138545</xdr:rowOff>
    </xdr:to>
    <xdr:graphicFrame macro="">
      <xdr:nvGraphicFramePr>
        <xdr:cNvPr id="20" name="Chart 19">
          <a:extLst>
            <a:ext uri="{FF2B5EF4-FFF2-40B4-BE49-F238E27FC236}">
              <a16:creationId xmlns:a16="http://schemas.microsoft.com/office/drawing/2014/main" id="{DE6AC283-4591-B7AE-2234-F1E937838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20</xdr:col>
      <xdr:colOff>152861</xdr:colOff>
      <xdr:row>32</xdr:row>
      <xdr:rowOff>66271</xdr:rowOff>
    </xdr:from>
    <xdr:to>
      <xdr:col>28</xdr:col>
      <xdr:colOff>415636</xdr:colOff>
      <xdr:row>38</xdr:row>
      <xdr:rowOff>121689</xdr:rowOff>
    </xdr:to>
    <mc:AlternateContent xmlns:mc="http://schemas.openxmlformats.org/markup-compatibility/2006" xmlns:tsle="http://schemas.microsoft.com/office/drawing/2012/timeslicer">
      <mc:Choice Requires="tsle">
        <xdr:graphicFrame macro="">
          <xdr:nvGraphicFramePr>
            <xdr:cNvPr id="21" name="DateofHire">
              <a:extLst>
                <a:ext uri="{FF2B5EF4-FFF2-40B4-BE49-F238E27FC236}">
                  <a16:creationId xmlns:a16="http://schemas.microsoft.com/office/drawing/2014/main" id="{5313E507-E509-1A99-8F32-CAB2C2BCF20F}"/>
                </a:ext>
              </a:extLst>
            </xdr:cNvPr>
            <xdr:cNvGraphicFramePr/>
          </xdr:nvGraphicFramePr>
          <xdr:xfrm>
            <a:off x="0" y="0"/>
            <a:ext cx="0" cy="0"/>
          </xdr:xfrm>
          <a:graphic>
            <a:graphicData uri="http://schemas.microsoft.com/office/drawing/2012/timeslicer">
              <tsle:timeslicer name="DateofHire"/>
            </a:graphicData>
          </a:graphic>
        </xdr:graphicFrame>
      </mc:Choice>
      <mc:Fallback xmlns="">
        <xdr:sp macro="" textlink="">
          <xdr:nvSpPr>
            <xdr:cNvPr id="0" name=""/>
            <xdr:cNvSpPr>
              <a:spLocks noTextEdit="1"/>
            </xdr:cNvSpPr>
          </xdr:nvSpPr>
          <xdr:spPr>
            <a:xfrm>
              <a:off x="14007406" y="5977544"/>
              <a:ext cx="4696230" cy="134850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67579</xdr:colOff>
      <xdr:row>0</xdr:row>
      <xdr:rowOff>51996</xdr:rowOff>
    </xdr:from>
    <xdr:to>
      <xdr:col>22</xdr:col>
      <xdr:colOff>243426</xdr:colOff>
      <xdr:row>29</xdr:row>
      <xdr:rowOff>135816</xdr:rowOff>
    </xdr:to>
    <xdr:sp macro="" textlink="">
      <xdr:nvSpPr>
        <xdr:cNvPr id="2" name="Rectangle 1">
          <a:extLst>
            <a:ext uri="{FF2B5EF4-FFF2-40B4-BE49-F238E27FC236}">
              <a16:creationId xmlns:a16="http://schemas.microsoft.com/office/drawing/2014/main" id="{72D07608-9218-CAAF-43DF-A5CA60F0A3FF}"/>
            </a:ext>
          </a:extLst>
        </xdr:cNvPr>
        <xdr:cNvSpPr/>
      </xdr:nvSpPr>
      <xdr:spPr>
        <a:xfrm>
          <a:off x="1289298" y="51996"/>
          <a:ext cx="12393037" cy="5380035"/>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rgbClr val="00CC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105507</xdr:colOff>
      <xdr:row>0</xdr:row>
      <xdr:rowOff>99059</xdr:rowOff>
    </xdr:from>
    <xdr:to>
      <xdr:col>4</xdr:col>
      <xdr:colOff>312419</xdr:colOff>
      <xdr:row>29</xdr:row>
      <xdr:rowOff>139524</xdr:rowOff>
    </xdr:to>
    <xdr:sp macro="" textlink="">
      <xdr:nvSpPr>
        <xdr:cNvPr id="3" name="Rectangle 2">
          <a:extLst>
            <a:ext uri="{FF2B5EF4-FFF2-40B4-BE49-F238E27FC236}">
              <a16:creationId xmlns:a16="http://schemas.microsoft.com/office/drawing/2014/main" id="{CCB6E5FC-B5BF-4CC2-9A69-9851722B2629}"/>
            </a:ext>
          </a:extLst>
        </xdr:cNvPr>
        <xdr:cNvSpPr/>
      </xdr:nvSpPr>
      <xdr:spPr>
        <a:xfrm rot="5400000">
          <a:off x="-634230" y="2057996"/>
          <a:ext cx="5343985" cy="1426112"/>
        </a:xfrm>
        <a:prstGeom prst="rect">
          <a:avLst/>
        </a:prstGeom>
        <a:solidFill>
          <a:srgbClr val="00CC99"/>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innerShdw blurRad="63500" dist="50800" dir="13500000">
                <a:prstClr val="black">
                  <a:alpha val="50000"/>
                </a:prstClr>
              </a:innerShdw>
            </a:effectLst>
          </a:endParaRPr>
        </a:p>
      </xdr:txBody>
    </xdr:sp>
    <xdr:clientData/>
  </xdr:twoCellAnchor>
  <xdr:twoCellAnchor>
    <xdr:from>
      <xdr:col>19</xdr:col>
      <xdr:colOff>608992</xdr:colOff>
      <xdr:row>0</xdr:row>
      <xdr:rowOff>94359</xdr:rowOff>
    </xdr:from>
    <xdr:to>
      <xdr:col>22</xdr:col>
      <xdr:colOff>225061</xdr:colOff>
      <xdr:row>29</xdr:row>
      <xdr:rowOff>135814</xdr:rowOff>
    </xdr:to>
    <xdr:sp macro="" textlink="">
      <xdr:nvSpPr>
        <xdr:cNvPr id="6" name="Rectangle 5">
          <a:extLst>
            <a:ext uri="{FF2B5EF4-FFF2-40B4-BE49-F238E27FC236}">
              <a16:creationId xmlns:a16="http://schemas.microsoft.com/office/drawing/2014/main" id="{AAABE992-064B-4047-8F94-CE22BFB55277}"/>
            </a:ext>
          </a:extLst>
        </xdr:cNvPr>
        <xdr:cNvSpPr/>
      </xdr:nvSpPr>
      <xdr:spPr>
        <a:xfrm rot="5400000">
          <a:off x="10274207" y="2038232"/>
          <a:ext cx="5336828" cy="1449082"/>
        </a:xfrm>
        <a:prstGeom prst="rect">
          <a:avLst/>
        </a:prstGeom>
        <a:solidFill>
          <a:srgbClr val="00CC99"/>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innerShdw blurRad="63500" dist="50800" dir="13500000">
                <a:prstClr val="black">
                  <a:alpha val="50000"/>
                </a:prstClr>
              </a:innerShdw>
            </a:effectLst>
          </a:endParaRPr>
        </a:p>
      </xdr:txBody>
    </xdr:sp>
    <xdr:clientData/>
  </xdr:twoCellAnchor>
  <xdr:twoCellAnchor editAs="oneCell">
    <xdr:from>
      <xdr:col>2</xdr:col>
      <xdr:colOff>198085</xdr:colOff>
      <xdr:row>2</xdr:row>
      <xdr:rowOff>81627</xdr:rowOff>
    </xdr:from>
    <xdr:to>
      <xdr:col>4</xdr:col>
      <xdr:colOff>154329</xdr:colOff>
      <xdr:row>8</xdr:row>
      <xdr:rowOff>140220</xdr:rowOff>
    </xdr:to>
    <mc:AlternateContent xmlns:mc="http://schemas.openxmlformats.org/markup-compatibility/2006" xmlns:a14="http://schemas.microsoft.com/office/drawing/2010/main">
      <mc:Choice Requires="a14">
        <xdr:graphicFrame macro="">
          <xdr:nvGraphicFramePr>
            <xdr:cNvPr id="9" name="Department 1">
              <a:extLst>
                <a:ext uri="{FF2B5EF4-FFF2-40B4-BE49-F238E27FC236}">
                  <a16:creationId xmlns:a16="http://schemas.microsoft.com/office/drawing/2014/main" id="{24597D5B-69A8-4BF6-AE19-A53DBDCA92E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17285" y="443577"/>
              <a:ext cx="1175444" cy="1144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418879</xdr:colOff>
      <xdr:row>14</xdr:row>
      <xdr:rowOff>3884</xdr:rowOff>
    </xdr:from>
    <xdr:to>
      <xdr:col>19</xdr:col>
      <xdr:colOff>523106</xdr:colOff>
      <xdr:row>28</xdr:row>
      <xdr:rowOff>172440</xdr:rowOff>
    </xdr:to>
    <xdr:graphicFrame macro="">
      <xdr:nvGraphicFramePr>
        <xdr:cNvPr id="10" name="Chart 9">
          <a:extLst>
            <a:ext uri="{FF2B5EF4-FFF2-40B4-BE49-F238E27FC236}">
              <a16:creationId xmlns:a16="http://schemas.microsoft.com/office/drawing/2014/main" id="{D4015D86-8D2B-4E38-ACBA-EB5BC88B9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296475</xdr:colOff>
      <xdr:row>13</xdr:row>
      <xdr:rowOff>117599</xdr:rowOff>
    </xdr:from>
    <xdr:to>
      <xdr:col>15</xdr:col>
      <xdr:colOff>239469</xdr:colOff>
      <xdr:row>29</xdr:row>
      <xdr:rowOff>31750</xdr:rowOff>
    </xdr:to>
    <xdr:graphicFrame macro="">
      <xdr:nvGraphicFramePr>
        <xdr:cNvPr id="11" name="Chart 10">
          <a:extLst>
            <a:ext uri="{FF2B5EF4-FFF2-40B4-BE49-F238E27FC236}">
              <a16:creationId xmlns:a16="http://schemas.microsoft.com/office/drawing/2014/main" id="{0AF84E17-9832-4FF7-9209-FA1267BFA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1600</xdr:colOff>
      <xdr:row>14</xdr:row>
      <xdr:rowOff>32821</xdr:rowOff>
    </xdr:from>
    <xdr:to>
      <xdr:col>11</xdr:col>
      <xdr:colOff>168288</xdr:colOff>
      <xdr:row>29</xdr:row>
      <xdr:rowOff>7282</xdr:rowOff>
    </xdr:to>
    <xdr:graphicFrame macro="">
      <xdr:nvGraphicFramePr>
        <xdr:cNvPr id="12" name="Chart 11">
          <a:extLst>
            <a:ext uri="{FF2B5EF4-FFF2-40B4-BE49-F238E27FC236}">
              <a16:creationId xmlns:a16="http://schemas.microsoft.com/office/drawing/2014/main" id="{A544B930-0251-4618-B4BA-7D7350E5E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485410</xdr:colOff>
      <xdr:row>4</xdr:row>
      <xdr:rowOff>32232</xdr:rowOff>
    </xdr:from>
    <xdr:to>
      <xdr:col>19</xdr:col>
      <xdr:colOff>420673</xdr:colOff>
      <xdr:row>12</xdr:row>
      <xdr:rowOff>59189</xdr:rowOff>
    </xdr:to>
    <xdr:graphicFrame macro="">
      <xdr:nvGraphicFramePr>
        <xdr:cNvPr id="16" name="Chart 15">
          <a:extLst>
            <a:ext uri="{FF2B5EF4-FFF2-40B4-BE49-F238E27FC236}">
              <a16:creationId xmlns:a16="http://schemas.microsoft.com/office/drawing/2014/main" id="{9B19F48A-4446-47E7-84A6-6F67A1E44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134937</xdr:colOff>
      <xdr:row>4</xdr:row>
      <xdr:rowOff>92293</xdr:rowOff>
    </xdr:from>
    <xdr:to>
      <xdr:col>11</xdr:col>
      <xdr:colOff>87312</xdr:colOff>
      <xdr:row>12</xdr:row>
      <xdr:rowOff>120171</xdr:rowOff>
    </xdr:to>
    <xdr:graphicFrame macro="">
      <xdr:nvGraphicFramePr>
        <xdr:cNvPr id="17" name="Chart 16">
          <a:extLst>
            <a:ext uri="{FF2B5EF4-FFF2-40B4-BE49-F238E27FC236}">
              <a16:creationId xmlns:a16="http://schemas.microsoft.com/office/drawing/2014/main" id="{6DBAC2C3-0FD7-4C6C-993A-EFCF4CC9A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351148</xdr:colOff>
      <xdr:row>13</xdr:row>
      <xdr:rowOff>0</xdr:rowOff>
    </xdr:from>
    <xdr:to>
      <xdr:col>6</xdr:col>
      <xdr:colOff>578962</xdr:colOff>
      <xdr:row>21</xdr:row>
      <xdr:rowOff>7854</xdr:rowOff>
    </xdr:to>
    <xdr:sp macro="" textlink="">
      <xdr:nvSpPr>
        <xdr:cNvPr id="24" name="Oval 23">
          <a:extLst>
            <a:ext uri="{FF2B5EF4-FFF2-40B4-BE49-F238E27FC236}">
              <a16:creationId xmlns:a16="http://schemas.microsoft.com/office/drawing/2014/main" id="{F7E8AEA4-7A0D-416C-A795-F1F8A4F1CB90}"/>
            </a:ext>
          </a:extLst>
        </xdr:cNvPr>
        <xdr:cNvSpPr/>
      </xdr:nvSpPr>
      <xdr:spPr>
        <a:xfrm>
          <a:off x="2782291" y="2358571"/>
          <a:ext cx="1443385" cy="1459283"/>
        </a:xfrm>
        <a:prstGeom prst="ellipse">
          <a:avLst/>
        </a:prstGeom>
        <a:solidFill>
          <a:srgbClr val="00CC99"/>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effectLst>
              <a:innerShdw blurRad="63500" dist="50800" dir="13500000">
                <a:prstClr val="black">
                  <a:alpha val="50000"/>
                </a:prstClr>
              </a:innerShdw>
            </a:effectLst>
            <a:latin typeface="+mn-lt"/>
            <a:ea typeface="+mn-ea"/>
            <a:cs typeface="+mn-cs"/>
          </a:endParaRPr>
        </a:p>
      </xdr:txBody>
    </xdr:sp>
    <xdr:clientData/>
  </xdr:twoCellAnchor>
  <xdr:twoCellAnchor>
    <xdr:from>
      <xdr:col>4</xdr:col>
      <xdr:colOff>351148</xdr:colOff>
      <xdr:row>21</xdr:row>
      <xdr:rowOff>65987</xdr:rowOff>
    </xdr:from>
    <xdr:to>
      <xdr:col>6</xdr:col>
      <xdr:colOff>578962</xdr:colOff>
      <xdr:row>29</xdr:row>
      <xdr:rowOff>73842</xdr:rowOff>
    </xdr:to>
    <xdr:sp macro="" textlink="">
      <xdr:nvSpPr>
        <xdr:cNvPr id="25" name="Oval 24">
          <a:extLst>
            <a:ext uri="{FF2B5EF4-FFF2-40B4-BE49-F238E27FC236}">
              <a16:creationId xmlns:a16="http://schemas.microsoft.com/office/drawing/2014/main" id="{4F92454D-5210-4E19-82ED-0CF805D0BBDB}"/>
            </a:ext>
          </a:extLst>
        </xdr:cNvPr>
        <xdr:cNvSpPr/>
      </xdr:nvSpPr>
      <xdr:spPr>
        <a:xfrm>
          <a:off x="2802117" y="3860276"/>
          <a:ext cx="1453299" cy="1453298"/>
        </a:xfrm>
        <a:prstGeom prst="ellipse">
          <a:avLst/>
        </a:prstGeom>
        <a:solidFill>
          <a:srgbClr val="00CC99"/>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effectLst>
              <a:innerShdw blurRad="63500" dist="50800" dir="13500000">
                <a:prstClr val="black">
                  <a:alpha val="50000"/>
                </a:prstClr>
              </a:innerShdw>
            </a:effectLst>
            <a:latin typeface="+mn-lt"/>
            <a:ea typeface="+mn-ea"/>
            <a:cs typeface="+mn-cs"/>
          </a:endParaRPr>
        </a:p>
      </xdr:txBody>
    </xdr:sp>
    <xdr:clientData/>
  </xdr:twoCellAnchor>
  <xdr:twoCellAnchor>
    <xdr:from>
      <xdr:col>4</xdr:col>
      <xdr:colOff>306276</xdr:colOff>
      <xdr:row>12</xdr:row>
      <xdr:rowOff>55317</xdr:rowOff>
    </xdr:from>
    <xdr:to>
      <xdr:col>7</xdr:col>
      <xdr:colOff>218113</xdr:colOff>
      <xdr:row>20</xdr:row>
      <xdr:rowOff>132244</xdr:rowOff>
    </xdr:to>
    <xdr:graphicFrame macro="">
      <xdr:nvGraphicFramePr>
        <xdr:cNvPr id="15" name="Chart 14">
          <a:extLst>
            <a:ext uri="{FF2B5EF4-FFF2-40B4-BE49-F238E27FC236}">
              <a16:creationId xmlns:a16="http://schemas.microsoft.com/office/drawing/2014/main" id="{E938F1B7-C7FC-4C47-B742-2AB87B6B7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194638</xdr:colOff>
      <xdr:row>20</xdr:row>
      <xdr:rowOff>127981</xdr:rowOff>
    </xdr:from>
    <xdr:to>
      <xdr:col>7</xdr:col>
      <xdr:colOff>104990</xdr:colOff>
      <xdr:row>29</xdr:row>
      <xdr:rowOff>20471</xdr:rowOff>
    </xdr:to>
    <xdr:graphicFrame macro="">
      <xdr:nvGraphicFramePr>
        <xdr:cNvPr id="14" name="Chart 13">
          <a:extLst>
            <a:ext uri="{FF2B5EF4-FFF2-40B4-BE49-F238E27FC236}">
              <a16:creationId xmlns:a16="http://schemas.microsoft.com/office/drawing/2014/main" id="{FD51666B-5F9A-4F7C-A20E-EA8B6FEC2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275960</xdr:colOff>
      <xdr:row>4</xdr:row>
      <xdr:rowOff>117707</xdr:rowOff>
    </xdr:from>
    <xdr:to>
      <xdr:col>15</xdr:col>
      <xdr:colOff>318977</xdr:colOff>
      <xdr:row>12</xdr:row>
      <xdr:rowOff>117707</xdr:rowOff>
    </xdr:to>
    <xdr:graphicFrame macro="">
      <xdr:nvGraphicFramePr>
        <xdr:cNvPr id="18" name="Chart 17">
          <a:extLst>
            <a:ext uri="{FF2B5EF4-FFF2-40B4-BE49-F238E27FC236}">
              <a16:creationId xmlns:a16="http://schemas.microsoft.com/office/drawing/2014/main" id="{D57F1CEA-12D2-4626-8C79-82A953E5F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20</xdr:col>
      <xdr:colOff>144684</xdr:colOff>
      <xdr:row>2</xdr:row>
      <xdr:rowOff>86810</xdr:rowOff>
    </xdr:from>
    <xdr:to>
      <xdr:col>22</xdr:col>
      <xdr:colOff>99343</xdr:colOff>
      <xdr:row>8</xdr:row>
      <xdr:rowOff>146415</xdr:rowOff>
    </xdr:to>
    <mc:AlternateContent xmlns:mc="http://schemas.openxmlformats.org/markup-compatibility/2006" xmlns:a14="http://schemas.microsoft.com/office/drawing/2010/main">
      <mc:Choice Requires="a14">
        <xdr:graphicFrame macro="">
          <xdr:nvGraphicFramePr>
            <xdr:cNvPr id="32" name="Sex 1">
              <a:extLst>
                <a:ext uri="{FF2B5EF4-FFF2-40B4-BE49-F238E27FC236}">
                  <a16:creationId xmlns:a16="http://schemas.microsoft.com/office/drawing/2014/main" id="{056AECC7-4AB2-4AE0-AD56-DA72100E98BC}"/>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12336684" y="448760"/>
              <a:ext cx="1173859" cy="1145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163974</xdr:colOff>
      <xdr:row>9</xdr:row>
      <xdr:rowOff>106102</xdr:rowOff>
    </xdr:from>
    <xdr:to>
      <xdr:col>22</xdr:col>
      <xdr:colOff>118633</xdr:colOff>
      <xdr:row>14</xdr:row>
      <xdr:rowOff>67519</xdr:rowOff>
    </xdr:to>
    <mc:AlternateContent xmlns:mc="http://schemas.openxmlformats.org/markup-compatibility/2006" xmlns:a14="http://schemas.microsoft.com/office/drawing/2010/main">
      <mc:Choice Requires="a14">
        <xdr:graphicFrame macro="">
          <xdr:nvGraphicFramePr>
            <xdr:cNvPr id="33" name="GenderID 1">
              <a:extLst>
                <a:ext uri="{FF2B5EF4-FFF2-40B4-BE49-F238E27FC236}">
                  <a16:creationId xmlns:a16="http://schemas.microsoft.com/office/drawing/2014/main" id="{DC56F73B-E04C-4708-9959-901E7A9703E3}"/>
                </a:ext>
              </a:extLst>
            </xdr:cNvPr>
            <xdr:cNvGraphicFramePr/>
          </xdr:nvGraphicFramePr>
          <xdr:xfrm>
            <a:off x="0" y="0"/>
            <a:ext cx="0" cy="0"/>
          </xdr:xfrm>
          <a:graphic>
            <a:graphicData uri="http://schemas.microsoft.com/office/drawing/2010/slicer">
              <sle:slicer xmlns:sle="http://schemas.microsoft.com/office/drawing/2010/slicer" name="GenderID 1"/>
            </a:graphicData>
          </a:graphic>
        </xdr:graphicFrame>
      </mc:Choice>
      <mc:Fallback xmlns="">
        <xdr:sp macro="" textlink="">
          <xdr:nvSpPr>
            <xdr:cNvPr id="0" name=""/>
            <xdr:cNvSpPr>
              <a:spLocks noTextEdit="1"/>
            </xdr:cNvSpPr>
          </xdr:nvSpPr>
          <xdr:spPr>
            <a:xfrm>
              <a:off x="12355974" y="1734877"/>
              <a:ext cx="1173859" cy="866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201409</xdr:colOff>
      <xdr:row>9</xdr:row>
      <xdr:rowOff>41753</xdr:rowOff>
    </xdr:from>
    <xdr:to>
      <xdr:col>4</xdr:col>
      <xdr:colOff>156066</xdr:colOff>
      <xdr:row>15</xdr:row>
      <xdr:rowOff>101359</xdr:rowOff>
    </xdr:to>
    <mc:AlternateContent xmlns:mc="http://schemas.openxmlformats.org/markup-compatibility/2006" xmlns:a14="http://schemas.microsoft.com/office/drawing/2010/main">
      <mc:Choice Requires="a14">
        <xdr:graphicFrame macro="">
          <xdr:nvGraphicFramePr>
            <xdr:cNvPr id="34" name="Position 1">
              <a:extLst>
                <a:ext uri="{FF2B5EF4-FFF2-40B4-BE49-F238E27FC236}">
                  <a16:creationId xmlns:a16="http://schemas.microsoft.com/office/drawing/2014/main" id="{D83136DE-BC3D-4EF0-81E4-DF8E22FFF212}"/>
                </a:ext>
              </a:extLst>
            </xdr:cNvPr>
            <xdr:cNvGraphicFramePr/>
          </xdr:nvGraphicFramePr>
          <xdr:xfrm>
            <a:off x="0" y="0"/>
            <a:ext cx="0" cy="0"/>
          </xdr:xfrm>
          <a:graphic>
            <a:graphicData uri="http://schemas.microsoft.com/office/drawing/2010/slicer">
              <sle:slicer xmlns:sle="http://schemas.microsoft.com/office/drawing/2010/slicer" name="Position 1"/>
            </a:graphicData>
          </a:graphic>
        </xdr:graphicFrame>
      </mc:Choice>
      <mc:Fallback xmlns="">
        <xdr:sp macro="" textlink="">
          <xdr:nvSpPr>
            <xdr:cNvPr id="0" name=""/>
            <xdr:cNvSpPr>
              <a:spLocks noTextEdit="1"/>
            </xdr:cNvSpPr>
          </xdr:nvSpPr>
          <xdr:spPr>
            <a:xfrm>
              <a:off x="1420609" y="1670528"/>
              <a:ext cx="1173857" cy="1145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154636</xdr:colOff>
      <xdr:row>14</xdr:row>
      <xdr:rowOff>175518</xdr:rowOff>
    </xdr:from>
    <xdr:to>
      <xdr:col>22</xdr:col>
      <xdr:colOff>109295</xdr:colOff>
      <xdr:row>21</xdr:row>
      <xdr:rowOff>51858</xdr:rowOff>
    </xdr:to>
    <mc:AlternateContent xmlns:mc="http://schemas.openxmlformats.org/markup-compatibility/2006" xmlns:a14="http://schemas.microsoft.com/office/drawing/2010/main">
      <mc:Choice Requires="a14">
        <xdr:graphicFrame macro="">
          <xdr:nvGraphicFramePr>
            <xdr:cNvPr id="35" name="ManagerName 1">
              <a:extLst>
                <a:ext uri="{FF2B5EF4-FFF2-40B4-BE49-F238E27FC236}">
                  <a16:creationId xmlns:a16="http://schemas.microsoft.com/office/drawing/2014/main" id="{133E7E4C-7EFD-4E14-8D43-0CF72E4D1BE9}"/>
                </a:ext>
              </a:extLst>
            </xdr:cNvPr>
            <xdr:cNvGraphicFramePr/>
          </xdr:nvGraphicFramePr>
          <xdr:xfrm>
            <a:off x="0" y="0"/>
            <a:ext cx="0" cy="0"/>
          </xdr:xfrm>
          <a:graphic>
            <a:graphicData uri="http://schemas.microsoft.com/office/drawing/2010/slicer">
              <sle:slicer xmlns:sle="http://schemas.microsoft.com/office/drawing/2010/slicer" name="ManagerName 1"/>
            </a:graphicData>
          </a:graphic>
        </xdr:graphicFrame>
      </mc:Choice>
      <mc:Fallback xmlns="">
        <xdr:sp macro="" textlink="">
          <xdr:nvSpPr>
            <xdr:cNvPr id="0" name=""/>
            <xdr:cNvSpPr>
              <a:spLocks noTextEdit="1"/>
            </xdr:cNvSpPr>
          </xdr:nvSpPr>
          <xdr:spPr>
            <a:xfrm>
              <a:off x="12346636" y="2709168"/>
              <a:ext cx="1173859" cy="1143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154329</xdr:colOff>
      <xdr:row>21</xdr:row>
      <xdr:rowOff>139194</xdr:rowOff>
    </xdr:from>
    <xdr:to>
      <xdr:col>22</xdr:col>
      <xdr:colOff>108988</xdr:colOff>
      <xdr:row>28</xdr:row>
      <xdr:rowOff>15533</xdr:rowOff>
    </xdr:to>
    <mc:AlternateContent xmlns:mc="http://schemas.openxmlformats.org/markup-compatibility/2006" xmlns:a14="http://schemas.microsoft.com/office/drawing/2010/main">
      <mc:Choice Requires="a14">
        <xdr:graphicFrame macro="">
          <xdr:nvGraphicFramePr>
            <xdr:cNvPr id="36" name="State 1">
              <a:extLst>
                <a:ext uri="{FF2B5EF4-FFF2-40B4-BE49-F238E27FC236}">
                  <a16:creationId xmlns:a16="http://schemas.microsoft.com/office/drawing/2014/main" id="{845E5CF6-86F1-4D50-9C53-64DF67730EF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346329" y="3939669"/>
              <a:ext cx="1173859" cy="1143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478060</xdr:colOff>
      <xdr:row>0</xdr:row>
      <xdr:rowOff>79934</xdr:rowOff>
    </xdr:from>
    <xdr:to>
      <xdr:col>6</xdr:col>
      <xdr:colOff>417094</xdr:colOff>
      <xdr:row>3</xdr:row>
      <xdr:rowOff>78513</xdr:rowOff>
    </xdr:to>
    <xdr:sp macro="" textlink="">
      <xdr:nvSpPr>
        <xdr:cNvPr id="40" name="TextBox 39">
          <a:extLst>
            <a:ext uri="{FF2B5EF4-FFF2-40B4-BE49-F238E27FC236}">
              <a16:creationId xmlns:a16="http://schemas.microsoft.com/office/drawing/2014/main" id="{A5D05625-882D-CF69-B0A9-43B8067CC017}"/>
            </a:ext>
          </a:extLst>
        </xdr:cNvPr>
        <xdr:cNvSpPr txBox="1"/>
      </xdr:nvSpPr>
      <xdr:spPr>
        <a:xfrm>
          <a:off x="2924481" y="79934"/>
          <a:ext cx="1162245" cy="540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dk1"/>
              </a:solidFill>
              <a:effectLst/>
              <a:latin typeface="+mn-lt"/>
              <a:ea typeface="+mn-ea"/>
              <a:cs typeface="+mn-cs"/>
            </a:rPr>
            <a:t>Total Employee Count</a:t>
          </a:r>
          <a:r>
            <a:rPr lang="en-IN" sz="1100">
              <a:effectLst/>
            </a:rPr>
            <a:t> </a:t>
          </a:r>
          <a:endParaRPr lang="en-IN" sz="1100"/>
        </a:p>
      </xdr:txBody>
    </xdr:sp>
    <xdr:clientData/>
  </xdr:twoCellAnchor>
  <xdr:twoCellAnchor>
    <xdr:from>
      <xdr:col>5</xdr:col>
      <xdr:colOff>238727</xdr:colOff>
      <xdr:row>2</xdr:row>
      <xdr:rowOff>106129</xdr:rowOff>
    </xdr:from>
    <xdr:to>
      <xdr:col>6</xdr:col>
      <xdr:colOff>111636</xdr:colOff>
      <xdr:row>4</xdr:row>
      <xdr:rowOff>33181</xdr:rowOff>
    </xdr:to>
    <xdr:sp macro="" textlink="'KPI''s'!D3">
      <xdr:nvSpPr>
        <xdr:cNvPr id="41" name="TextBox 40">
          <a:extLst>
            <a:ext uri="{FF2B5EF4-FFF2-40B4-BE49-F238E27FC236}">
              <a16:creationId xmlns:a16="http://schemas.microsoft.com/office/drawing/2014/main" id="{C570685B-2489-4F1E-BD72-A9EECBC1C231}"/>
            </a:ext>
          </a:extLst>
        </xdr:cNvPr>
        <xdr:cNvSpPr txBox="1"/>
      </xdr:nvSpPr>
      <xdr:spPr>
        <a:xfrm>
          <a:off x="3296753" y="467076"/>
          <a:ext cx="484515" cy="288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6C16D2-D383-4D69-A253-5CAEE3875053}" type="TxLink">
            <a:rPr lang="en-US" sz="1300" b="0" i="0" u="none" strike="noStrike">
              <a:solidFill>
                <a:srgbClr val="000000"/>
              </a:solidFill>
              <a:latin typeface="Calibri"/>
              <a:ea typeface="Calibri"/>
              <a:cs typeface="Calibri"/>
            </a:rPr>
            <a:pPr/>
            <a:t>463</a:t>
          </a:fld>
          <a:endParaRPr lang="en-IN" sz="1300"/>
        </a:p>
      </xdr:txBody>
    </xdr:sp>
    <xdr:clientData/>
  </xdr:twoCellAnchor>
  <xdr:twoCellAnchor>
    <xdr:from>
      <xdr:col>7</xdr:col>
      <xdr:colOff>12175</xdr:colOff>
      <xdr:row>0</xdr:row>
      <xdr:rowOff>79934</xdr:rowOff>
    </xdr:from>
    <xdr:to>
      <xdr:col>8</xdr:col>
      <xdr:colOff>279248</xdr:colOff>
      <xdr:row>3</xdr:row>
      <xdr:rowOff>78513</xdr:rowOff>
    </xdr:to>
    <xdr:sp macro="" textlink="">
      <xdr:nvSpPr>
        <xdr:cNvPr id="44" name="TextBox 43">
          <a:extLst>
            <a:ext uri="{FF2B5EF4-FFF2-40B4-BE49-F238E27FC236}">
              <a16:creationId xmlns:a16="http://schemas.microsoft.com/office/drawing/2014/main" id="{073E17A3-59BB-498C-B1A5-640ED8F1EDA7}"/>
            </a:ext>
          </a:extLst>
        </xdr:cNvPr>
        <xdr:cNvSpPr txBox="1"/>
      </xdr:nvSpPr>
      <xdr:spPr>
        <a:xfrm>
          <a:off x="4293412" y="79934"/>
          <a:ext cx="878678" cy="540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dk1"/>
              </a:solidFill>
              <a:effectLst/>
              <a:latin typeface="+mn-lt"/>
              <a:ea typeface="+mn-ea"/>
              <a:cs typeface="+mn-cs"/>
            </a:rPr>
            <a:t>Employees </a:t>
          </a:r>
          <a:br>
            <a:rPr lang="en-IN" sz="1100" b="0" i="0" u="none" strike="noStrike">
              <a:solidFill>
                <a:schemeClr val="dk1"/>
              </a:solidFill>
              <a:effectLst/>
              <a:latin typeface="+mn-lt"/>
              <a:ea typeface="+mn-ea"/>
              <a:cs typeface="+mn-cs"/>
            </a:rPr>
          </a:br>
          <a:r>
            <a:rPr lang="en-IN" sz="1100" b="0" i="0" u="none" strike="noStrike">
              <a:solidFill>
                <a:schemeClr val="dk1"/>
              </a:solidFill>
              <a:effectLst/>
              <a:latin typeface="+mn-lt"/>
              <a:ea typeface="+mn-ea"/>
              <a:cs typeface="+mn-cs"/>
            </a:rPr>
            <a:t>Left</a:t>
          </a:r>
          <a:endParaRPr lang="en-IN" sz="1100"/>
        </a:p>
      </xdr:txBody>
    </xdr:sp>
    <xdr:clientData/>
  </xdr:twoCellAnchor>
  <xdr:twoCellAnchor>
    <xdr:from>
      <xdr:col>7</xdr:col>
      <xdr:colOff>177635</xdr:colOff>
      <xdr:row>2</xdr:row>
      <xdr:rowOff>106129</xdr:rowOff>
    </xdr:from>
    <xdr:to>
      <xdr:col>7</xdr:col>
      <xdr:colOff>597796</xdr:colOff>
      <xdr:row>4</xdr:row>
      <xdr:rowOff>33181</xdr:rowOff>
    </xdr:to>
    <xdr:sp macro="" textlink="'KPI''s'!D5">
      <xdr:nvSpPr>
        <xdr:cNvPr id="45" name="TextBox 44">
          <a:extLst>
            <a:ext uri="{FF2B5EF4-FFF2-40B4-BE49-F238E27FC236}">
              <a16:creationId xmlns:a16="http://schemas.microsoft.com/office/drawing/2014/main" id="{BFCC9489-0B90-4F6C-A8D3-9B408CE1CDBF}"/>
            </a:ext>
          </a:extLst>
        </xdr:cNvPr>
        <xdr:cNvSpPr txBox="1"/>
      </xdr:nvSpPr>
      <xdr:spPr>
        <a:xfrm>
          <a:off x="4458872" y="467076"/>
          <a:ext cx="420161" cy="288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ED242B-AE87-4898-AE03-691CE5618D72}" type="TxLink">
            <a:rPr lang="en-US" sz="1100" b="0" i="0" u="none" strike="noStrike">
              <a:solidFill>
                <a:sysClr val="windowText" lastClr="000000"/>
              </a:solidFill>
              <a:latin typeface="Calibri"/>
              <a:ea typeface="Calibri"/>
              <a:cs typeface="Calibri"/>
            </a:rPr>
            <a:pPr/>
            <a:t>340</a:t>
          </a:fld>
          <a:endParaRPr lang="en-IN" sz="1100">
            <a:solidFill>
              <a:sysClr val="windowText" lastClr="000000"/>
            </a:solidFill>
          </a:endParaRPr>
        </a:p>
      </xdr:txBody>
    </xdr:sp>
    <xdr:clientData/>
  </xdr:twoCellAnchor>
  <xdr:twoCellAnchor>
    <xdr:from>
      <xdr:col>9</xdr:col>
      <xdr:colOff>125437</xdr:colOff>
      <xdr:row>0</xdr:row>
      <xdr:rowOff>79934</xdr:rowOff>
    </xdr:from>
    <xdr:to>
      <xdr:col>10</xdr:col>
      <xdr:colOff>501315</xdr:colOff>
      <xdr:row>3</xdr:row>
      <xdr:rowOff>78513</xdr:rowOff>
    </xdr:to>
    <xdr:sp macro="" textlink="">
      <xdr:nvSpPr>
        <xdr:cNvPr id="46" name="TextBox 45">
          <a:extLst>
            <a:ext uri="{FF2B5EF4-FFF2-40B4-BE49-F238E27FC236}">
              <a16:creationId xmlns:a16="http://schemas.microsoft.com/office/drawing/2014/main" id="{D25911B0-7C0F-4276-AFD8-9423EE489CC0}"/>
            </a:ext>
          </a:extLst>
        </xdr:cNvPr>
        <xdr:cNvSpPr txBox="1"/>
      </xdr:nvSpPr>
      <xdr:spPr>
        <a:xfrm>
          <a:off x="5629884" y="79934"/>
          <a:ext cx="987484" cy="540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dk1"/>
              </a:solidFill>
              <a:effectLst/>
              <a:latin typeface="+mn-lt"/>
              <a:ea typeface="+mn-ea"/>
              <a:cs typeface="+mn-cs"/>
            </a:rPr>
            <a:t>Attrition Rate Percentage</a:t>
          </a:r>
          <a:endParaRPr lang="en-IN" sz="1100"/>
        </a:p>
      </xdr:txBody>
    </xdr:sp>
    <xdr:clientData/>
  </xdr:twoCellAnchor>
  <xdr:twoCellAnchor>
    <xdr:from>
      <xdr:col>9</xdr:col>
      <xdr:colOff>396128</xdr:colOff>
      <xdr:row>2</xdr:row>
      <xdr:rowOff>106129</xdr:rowOff>
    </xdr:from>
    <xdr:to>
      <xdr:col>10</xdr:col>
      <xdr:colOff>214792</xdr:colOff>
      <xdr:row>4</xdr:row>
      <xdr:rowOff>33181</xdr:rowOff>
    </xdr:to>
    <xdr:sp macro="" textlink="'KPI''s'!D6">
      <xdr:nvSpPr>
        <xdr:cNvPr id="47" name="TextBox 46">
          <a:extLst>
            <a:ext uri="{FF2B5EF4-FFF2-40B4-BE49-F238E27FC236}">
              <a16:creationId xmlns:a16="http://schemas.microsoft.com/office/drawing/2014/main" id="{A9B8D9D7-FAD1-464F-A679-749DFBF36DE5}"/>
            </a:ext>
          </a:extLst>
        </xdr:cNvPr>
        <xdr:cNvSpPr txBox="1"/>
      </xdr:nvSpPr>
      <xdr:spPr>
        <a:xfrm>
          <a:off x="5900575" y="467076"/>
          <a:ext cx="430270" cy="288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68D62B-EDEE-4738-9161-E04A4B662B41}" type="TxLink">
            <a:rPr lang="en-US" sz="1100" b="0" i="0" u="none" strike="noStrike">
              <a:solidFill>
                <a:sysClr val="windowText" lastClr="000000"/>
              </a:solidFill>
              <a:latin typeface="Calibri"/>
              <a:ea typeface="Calibri"/>
              <a:cs typeface="Calibri"/>
            </a:rPr>
            <a:pPr/>
            <a:t>42%</a:t>
          </a:fld>
          <a:endParaRPr lang="en-IN" sz="1100">
            <a:solidFill>
              <a:sysClr val="windowText" lastClr="000000"/>
            </a:solidFill>
          </a:endParaRPr>
        </a:p>
      </xdr:txBody>
    </xdr:sp>
    <xdr:clientData/>
  </xdr:twoCellAnchor>
  <xdr:twoCellAnchor>
    <xdr:from>
      <xdr:col>11</xdr:col>
      <xdr:colOff>162780</xdr:colOff>
      <xdr:row>0</xdr:row>
      <xdr:rowOff>79934</xdr:rowOff>
    </xdr:from>
    <xdr:to>
      <xdr:col>13</xdr:col>
      <xdr:colOff>340895</xdr:colOff>
      <xdr:row>3</xdr:row>
      <xdr:rowOff>78513</xdr:rowOff>
    </xdr:to>
    <xdr:sp macro="" textlink="">
      <xdr:nvSpPr>
        <xdr:cNvPr id="48" name="TextBox 47">
          <a:extLst>
            <a:ext uri="{FF2B5EF4-FFF2-40B4-BE49-F238E27FC236}">
              <a16:creationId xmlns:a16="http://schemas.microsoft.com/office/drawing/2014/main" id="{86EC2B82-B957-44E0-8636-F521C12D5DD4}"/>
            </a:ext>
          </a:extLst>
        </xdr:cNvPr>
        <xdr:cNvSpPr txBox="1"/>
      </xdr:nvSpPr>
      <xdr:spPr>
        <a:xfrm>
          <a:off x="6890438" y="79934"/>
          <a:ext cx="1401325" cy="540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dk1"/>
              </a:solidFill>
              <a:effectLst/>
              <a:latin typeface="+mn-lt"/>
              <a:ea typeface="+mn-ea"/>
              <a:cs typeface="+mn-cs"/>
            </a:rPr>
            <a:t>Average Performance Score</a:t>
          </a:r>
          <a:endParaRPr lang="en-IN" sz="1100"/>
        </a:p>
      </xdr:txBody>
    </xdr:sp>
    <xdr:clientData/>
  </xdr:twoCellAnchor>
  <xdr:twoCellAnchor>
    <xdr:from>
      <xdr:col>12</xdr:col>
      <xdr:colOff>46409</xdr:colOff>
      <xdr:row>2</xdr:row>
      <xdr:rowOff>106129</xdr:rowOff>
    </xdr:from>
    <xdr:to>
      <xdr:col>12</xdr:col>
      <xdr:colOff>497304</xdr:colOff>
      <xdr:row>4</xdr:row>
      <xdr:rowOff>33181</xdr:rowOff>
    </xdr:to>
    <xdr:sp macro="" textlink="'KPI''s'!D8">
      <xdr:nvSpPr>
        <xdr:cNvPr id="49" name="TextBox 48">
          <a:extLst>
            <a:ext uri="{FF2B5EF4-FFF2-40B4-BE49-F238E27FC236}">
              <a16:creationId xmlns:a16="http://schemas.microsoft.com/office/drawing/2014/main" id="{3151F524-D5BE-4906-90DD-4C3BDE50DB3C}"/>
            </a:ext>
          </a:extLst>
        </xdr:cNvPr>
        <xdr:cNvSpPr txBox="1"/>
      </xdr:nvSpPr>
      <xdr:spPr>
        <a:xfrm>
          <a:off x="7385672" y="467076"/>
          <a:ext cx="450895" cy="288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7FA8AD-3055-44E2-B2CA-C1A6C10D6F67}" type="TxLink">
            <a:rPr lang="en-US" sz="1100" b="0" i="0" u="none" strike="noStrike">
              <a:solidFill>
                <a:sysClr val="windowText" lastClr="000000"/>
              </a:solidFill>
              <a:latin typeface="Calibri"/>
              <a:ea typeface="Calibri"/>
              <a:cs typeface="Calibri"/>
            </a:rPr>
            <a:pPr/>
            <a:t>2.678704857</a:t>
          </a:fld>
          <a:endParaRPr lang="en-IN" sz="1100">
            <a:solidFill>
              <a:sysClr val="windowText" lastClr="000000"/>
            </a:solidFill>
          </a:endParaRPr>
        </a:p>
      </xdr:txBody>
    </xdr:sp>
    <xdr:clientData/>
  </xdr:twoCellAnchor>
  <xdr:twoCellAnchor>
    <xdr:from>
      <xdr:col>13</xdr:col>
      <xdr:colOff>316769</xdr:colOff>
      <xdr:row>0</xdr:row>
      <xdr:rowOff>79934</xdr:rowOff>
    </xdr:from>
    <xdr:to>
      <xdr:col>15</xdr:col>
      <xdr:colOff>370974</xdr:colOff>
      <xdr:row>3</xdr:row>
      <xdr:rowOff>78513</xdr:rowOff>
    </xdr:to>
    <xdr:sp macro="" textlink="">
      <xdr:nvSpPr>
        <xdr:cNvPr id="50" name="TextBox 49">
          <a:extLst>
            <a:ext uri="{FF2B5EF4-FFF2-40B4-BE49-F238E27FC236}">
              <a16:creationId xmlns:a16="http://schemas.microsoft.com/office/drawing/2014/main" id="{8A6E1453-C137-4E5D-B968-D41184BED9B0}"/>
            </a:ext>
          </a:extLst>
        </xdr:cNvPr>
        <xdr:cNvSpPr txBox="1"/>
      </xdr:nvSpPr>
      <xdr:spPr>
        <a:xfrm>
          <a:off x="8267637" y="79934"/>
          <a:ext cx="1277416" cy="540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dk1"/>
              </a:solidFill>
              <a:effectLst/>
              <a:latin typeface="+mn-lt"/>
              <a:ea typeface="+mn-ea"/>
              <a:cs typeface="+mn-cs"/>
            </a:rPr>
            <a:t>Avg. Engagement</a:t>
          </a:r>
          <a:br>
            <a:rPr lang="en-IN" sz="1100" b="0" i="0" u="none" strike="noStrike">
              <a:solidFill>
                <a:schemeClr val="dk1"/>
              </a:solidFill>
              <a:effectLst/>
              <a:latin typeface="+mn-lt"/>
              <a:ea typeface="+mn-ea"/>
              <a:cs typeface="+mn-cs"/>
            </a:rPr>
          </a:br>
          <a:r>
            <a:rPr lang="en-IN" sz="1100" b="0" i="0" u="none" strike="noStrike">
              <a:solidFill>
                <a:schemeClr val="dk1"/>
              </a:solidFill>
              <a:effectLst/>
              <a:latin typeface="+mn-lt"/>
              <a:ea typeface="+mn-ea"/>
              <a:cs typeface="+mn-cs"/>
            </a:rPr>
            <a:t>Survey</a:t>
          </a:r>
          <a:endParaRPr lang="en-IN" sz="1100"/>
        </a:p>
      </xdr:txBody>
    </xdr:sp>
    <xdr:clientData/>
  </xdr:twoCellAnchor>
  <xdr:twoCellAnchor>
    <xdr:from>
      <xdr:col>14</xdr:col>
      <xdr:colOff>149964</xdr:colOff>
      <xdr:row>2</xdr:row>
      <xdr:rowOff>106129</xdr:rowOff>
    </xdr:from>
    <xdr:to>
      <xdr:col>14</xdr:col>
      <xdr:colOff>529389</xdr:colOff>
      <xdr:row>4</xdr:row>
      <xdr:rowOff>33181</xdr:rowOff>
    </xdr:to>
    <xdr:sp macro="" textlink="'KPI''s'!D10">
      <xdr:nvSpPr>
        <xdr:cNvPr id="51" name="TextBox 50">
          <a:extLst>
            <a:ext uri="{FF2B5EF4-FFF2-40B4-BE49-F238E27FC236}">
              <a16:creationId xmlns:a16="http://schemas.microsoft.com/office/drawing/2014/main" id="{F283A487-C898-48FD-8F5A-C74070FABC07}"/>
            </a:ext>
          </a:extLst>
        </xdr:cNvPr>
        <xdr:cNvSpPr txBox="1"/>
      </xdr:nvSpPr>
      <xdr:spPr>
        <a:xfrm>
          <a:off x="8712438" y="467076"/>
          <a:ext cx="379425" cy="288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23CD2D-56DE-4D5B-8C13-DBDF6E210EB1}" type="TxLink">
            <a:rPr lang="en-US" sz="1100" b="0" i="0" u="none" strike="noStrike">
              <a:solidFill>
                <a:sysClr val="windowText" lastClr="000000"/>
              </a:solidFill>
              <a:latin typeface="Arial Unicode MS"/>
              <a:ea typeface="Calibri"/>
              <a:cs typeface="Calibri"/>
            </a:rPr>
            <a:pPr/>
            <a:t>3.882889166</a:t>
          </a:fld>
          <a:endParaRPr lang="en-IN" sz="1100">
            <a:solidFill>
              <a:sysClr val="windowText" lastClr="000000"/>
            </a:solidFill>
          </a:endParaRPr>
        </a:p>
      </xdr:txBody>
    </xdr:sp>
    <xdr:clientData/>
  </xdr:twoCellAnchor>
  <xdr:twoCellAnchor>
    <xdr:from>
      <xdr:col>16</xdr:col>
      <xdr:colOff>189104</xdr:colOff>
      <xdr:row>0</xdr:row>
      <xdr:rowOff>79934</xdr:rowOff>
    </xdr:from>
    <xdr:to>
      <xdr:col>17</xdr:col>
      <xdr:colOff>350922</xdr:colOff>
      <xdr:row>3</xdr:row>
      <xdr:rowOff>78513</xdr:rowOff>
    </xdr:to>
    <xdr:sp macro="" textlink="">
      <xdr:nvSpPr>
        <xdr:cNvPr id="52" name="TextBox 51">
          <a:extLst>
            <a:ext uri="{FF2B5EF4-FFF2-40B4-BE49-F238E27FC236}">
              <a16:creationId xmlns:a16="http://schemas.microsoft.com/office/drawing/2014/main" id="{A9CA659D-E1D8-41E1-8A3E-CD924A580068}"/>
            </a:ext>
          </a:extLst>
        </xdr:cNvPr>
        <xdr:cNvSpPr txBox="1"/>
      </xdr:nvSpPr>
      <xdr:spPr>
        <a:xfrm>
          <a:off x="9974788" y="79934"/>
          <a:ext cx="773423" cy="540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dk1"/>
              </a:solidFill>
              <a:effectLst/>
              <a:latin typeface="+mn-lt"/>
              <a:ea typeface="+mn-ea"/>
              <a:cs typeface="+mn-cs"/>
            </a:rPr>
            <a:t>Average</a:t>
          </a:r>
          <a:br>
            <a:rPr lang="en-IN" sz="1100" b="0" i="0" u="none" strike="noStrike">
              <a:solidFill>
                <a:schemeClr val="dk1"/>
              </a:solidFill>
              <a:effectLst/>
              <a:latin typeface="+mn-lt"/>
              <a:ea typeface="+mn-ea"/>
              <a:cs typeface="+mn-cs"/>
            </a:rPr>
          </a:br>
          <a:r>
            <a:rPr lang="en-IN" sz="1100" b="0" i="0" u="none" strike="noStrike">
              <a:solidFill>
                <a:schemeClr val="dk1"/>
              </a:solidFill>
              <a:effectLst/>
              <a:latin typeface="+mn-lt"/>
              <a:ea typeface="+mn-ea"/>
              <a:cs typeface="+mn-cs"/>
            </a:rPr>
            <a:t>Leaves</a:t>
          </a:r>
          <a:endParaRPr lang="en-IN" sz="1100"/>
        </a:p>
      </xdr:txBody>
    </xdr:sp>
    <xdr:clientData/>
  </xdr:twoCellAnchor>
  <xdr:twoCellAnchor>
    <xdr:from>
      <xdr:col>16</xdr:col>
      <xdr:colOff>338257</xdr:colOff>
      <xdr:row>2</xdr:row>
      <xdr:rowOff>106129</xdr:rowOff>
    </xdr:from>
    <xdr:to>
      <xdr:col>17</xdr:col>
      <xdr:colOff>224589</xdr:colOff>
      <xdr:row>4</xdr:row>
      <xdr:rowOff>33181</xdr:rowOff>
    </xdr:to>
    <xdr:sp macro="" textlink="'KPI''s'!D12">
      <xdr:nvSpPr>
        <xdr:cNvPr id="53" name="TextBox 52">
          <a:extLst>
            <a:ext uri="{FF2B5EF4-FFF2-40B4-BE49-F238E27FC236}">
              <a16:creationId xmlns:a16="http://schemas.microsoft.com/office/drawing/2014/main" id="{E77CEE09-06AA-4668-BBD2-A09B02AFEEFA}"/>
            </a:ext>
          </a:extLst>
        </xdr:cNvPr>
        <xdr:cNvSpPr txBox="1"/>
      </xdr:nvSpPr>
      <xdr:spPr>
        <a:xfrm>
          <a:off x="10123941" y="467076"/>
          <a:ext cx="497937" cy="288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D521C2-AF4E-45D4-AF7D-F43F1EE2F01C}" type="TxLink">
            <a:rPr lang="en-US" sz="1100" b="0" i="0" u="none" strike="noStrike">
              <a:solidFill>
                <a:sysClr val="windowText" lastClr="000000"/>
              </a:solidFill>
              <a:latin typeface="Arial Unicode MS"/>
              <a:ea typeface="Calibri"/>
              <a:cs typeface="Calibri"/>
            </a:rPr>
            <a:pPr/>
            <a:t>7.063511831</a:t>
          </a:fld>
          <a:endParaRPr lang="en-IN" sz="1100">
            <a:solidFill>
              <a:sysClr val="windowText" lastClr="000000"/>
            </a:solidFill>
          </a:endParaRPr>
        </a:p>
      </xdr:txBody>
    </xdr:sp>
    <xdr:clientData/>
  </xdr:twoCellAnchor>
  <xdr:twoCellAnchor>
    <xdr:from>
      <xdr:col>18</xdr:col>
      <xdr:colOff>229874</xdr:colOff>
      <xdr:row>0</xdr:row>
      <xdr:rowOff>79934</xdr:rowOff>
    </xdr:from>
    <xdr:to>
      <xdr:col>19</xdr:col>
      <xdr:colOff>353962</xdr:colOff>
      <xdr:row>3</xdr:row>
      <xdr:rowOff>78513</xdr:rowOff>
    </xdr:to>
    <xdr:sp macro="" textlink="">
      <xdr:nvSpPr>
        <xdr:cNvPr id="54" name="TextBox 53">
          <a:extLst>
            <a:ext uri="{FF2B5EF4-FFF2-40B4-BE49-F238E27FC236}">
              <a16:creationId xmlns:a16="http://schemas.microsoft.com/office/drawing/2014/main" id="{2C00A663-8E8D-46A0-BF4E-48C43D05FF17}"/>
            </a:ext>
          </a:extLst>
        </xdr:cNvPr>
        <xdr:cNvSpPr txBox="1"/>
      </xdr:nvSpPr>
      <xdr:spPr>
        <a:xfrm>
          <a:off x="11238769" y="79934"/>
          <a:ext cx="735693" cy="540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dk1"/>
              </a:solidFill>
              <a:effectLst/>
              <a:latin typeface="+mn-lt"/>
              <a:ea typeface="+mn-ea"/>
              <a:cs typeface="+mn-cs"/>
            </a:rPr>
            <a:t>Average</a:t>
          </a:r>
          <a:br>
            <a:rPr lang="en-IN" sz="1100" b="0" i="0" u="none" strike="noStrike">
              <a:solidFill>
                <a:schemeClr val="dk1"/>
              </a:solidFill>
              <a:effectLst/>
              <a:latin typeface="+mn-lt"/>
              <a:ea typeface="+mn-ea"/>
              <a:cs typeface="+mn-cs"/>
            </a:rPr>
          </a:br>
          <a:r>
            <a:rPr lang="en-IN" sz="1100" b="0" i="0" u="none" strike="noStrike">
              <a:solidFill>
                <a:schemeClr val="dk1"/>
              </a:solidFill>
              <a:effectLst/>
              <a:latin typeface="+mn-lt"/>
              <a:ea typeface="+mn-ea"/>
              <a:cs typeface="+mn-cs"/>
            </a:rPr>
            <a:t>Salary</a:t>
          </a:r>
          <a:endParaRPr lang="en-IN" sz="1100"/>
        </a:p>
      </xdr:txBody>
    </xdr:sp>
    <xdr:clientData/>
  </xdr:twoCellAnchor>
  <xdr:twoCellAnchor>
    <xdr:from>
      <xdr:col>18</xdr:col>
      <xdr:colOff>196369</xdr:colOff>
      <xdr:row>2</xdr:row>
      <xdr:rowOff>106129</xdr:rowOff>
    </xdr:from>
    <xdr:to>
      <xdr:col>19</xdr:col>
      <xdr:colOff>561472</xdr:colOff>
      <xdr:row>4</xdr:row>
      <xdr:rowOff>33181</xdr:rowOff>
    </xdr:to>
    <xdr:sp macro="" textlink="'KPI''s'!D14">
      <xdr:nvSpPr>
        <xdr:cNvPr id="55" name="TextBox 54">
          <a:extLst>
            <a:ext uri="{FF2B5EF4-FFF2-40B4-BE49-F238E27FC236}">
              <a16:creationId xmlns:a16="http://schemas.microsoft.com/office/drawing/2014/main" id="{C8BC7AED-FF98-4534-AA33-CDDC25194131}"/>
            </a:ext>
          </a:extLst>
        </xdr:cNvPr>
        <xdr:cNvSpPr txBox="1"/>
      </xdr:nvSpPr>
      <xdr:spPr>
        <a:xfrm>
          <a:off x="11205264" y="467076"/>
          <a:ext cx="976708" cy="288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E70388-D2F0-4E95-91D8-7F02CBF12874}" type="TxLink">
            <a:rPr lang="en-US" sz="1100" b="0" i="0" u="none" strike="noStrike">
              <a:solidFill>
                <a:sysClr val="windowText" lastClr="000000"/>
              </a:solidFill>
              <a:latin typeface="Arial Unicode MS"/>
              <a:ea typeface="Calibri"/>
              <a:cs typeface="Calibri"/>
            </a:rPr>
            <a:pPr/>
            <a:t>72513.53425</a:t>
          </a:fld>
          <a:endParaRPr lang="en-IN" sz="1100">
            <a:solidFill>
              <a:sysClr val="windowText" lastClr="000000"/>
            </a:solidFill>
          </a:endParaRPr>
        </a:p>
      </xdr:txBody>
    </xdr:sp>
    <xdr:clientData/>
  </xdr:twoCellAnchor>
  <xdr:twoCellAnchor>
    <xdr:from>
      <xdr:col>4</xdr:col>
      <xdr:colOff>351148</xdr:colOff>
      <xdr:row>4</xdr:row>
      <xdr:rowOff>117836</xdr:rowOff>
    </xdr:from>
    <xdr:to>
      <xdr:col>6</xdr:col>
      <xdr:colOff>578962</xdr:colOff>
      <xdr:row>12</xdr:row>
      <xdr:rowOff>125691</xdr:rowOff>
    </xdr:to>
    <xdr:sp macro="" textlink="">
      <xdr:nvSpPr>
        <xdr:cNvPr id="22" name="Oval 21">
          <a:extLst>
            <a:ext uri="{FF2B5EF4-FFF2-40B4-BE49-F238E27FC236}">
              <a16:creationId xmlns:a16="http://schemas.microsoft.com/office/drawing/2014/main" id="{D76468B0-B39E-EB05-0966-5C2781D071FB}"/>
            </a:ext>
          </a:extLst>
        </xdr:cNvPr>
        <xdr:cNvSpPr/>
      </xdr:nvSpPr>
      <xdr:spPr>
        <a:xfrm>
          <a:off x="2797074" y="832799"/>
          <a:ext cx="1450777" cy="1437781"/>
        </a:xfrm>
        <a:prstGeom prst="ellipse">
          <a:avLst/>
        </a:prstGeom>
        <a:solidFill>
          <a:srgbClr val="00CC99"/>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effectLst>
              <a:innerShdw blurRad="63500" dist="50800" dir="13500000">
                <a:prstClr val="black">
                  <a:alpha val="50000"/>
                </a:prstClr>
              </a:innerShdw>
            </a:effectLst>
            <a:latin typeface="+mn-lt"/>
            <a:ea typeface="+mn-ea"/>
            <a:cs typeface="+mn-cs"/>
          </a:endParaRPr>
        </a:p>
      </xdr:txBody>
    </xdr:sp>
    <xdr:clientData/>
  </xdr:twoCellAnchor>
  <xdr:twoCellAnchor>
    <xdr:from>
      <xdr:col>4</xdr:col>
      <xdr:colOff>331182</xdr:colOff>
      <xdr:row>4</xdr:row>
      <xdr:rowOff>131702</xdr:rowOff>
    </xdr:from>
    <xdr:to>
      <xdr:col>6</xdr:col>
      <xdr:colOff>552657</xdr:colOff>
      <xdr:row>12</xdr:row>
      <xdr:rowOff>37739</xdr:rowOff>
    </xdr:to>
    <xdr:graphicFrame macro="">
      <xdr:nvGraphicFramePr>
        <xdr:cNvPr id="13" name="Chart 12">
          <a:extLst>
            <a:ext uri="{FF2B5EF4-FFF2-40B4-BE49-F238E27FC236}">
              <a16:creationId xmlns:a16="http://schemas.microsoft.com/office/drawing/2014/main" id="{289A7AE3-C426-4564-9F0C-524628D9C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186869</xdr:colOff>
      <xdr:row>4</xdr:row>
      <xdr:rowOff>140245</xdr:rowOff>
    </xdr:from>
    <xdr:to>
      <xdr:col>11</xdr:col>
      <xdr:colOff>186869</xdr:colOff>
      <xdr:row>29</xdr:row>
      <xdr:rowOff>140245</xdr:rowOff>
    </xdr:to>
    <xdr:cxnSp macro="">
      <xdr:nvCxnSpPr>
        <xdr:cNvPr id="71" name="Straight Connector 70">
          <a:extLst>
            <a:ext uri="{FF2B5EF4-FFF2-40B4-BE49-F238E27FC236}">
              <a16:creationId xmlns:a16="http://schemas.microsoft.com/office/drawing/2014/main" id="{830BBB94-9DC9-F779-548B-02232B2D94AF}"/>
            </a:ext>
          </a:extLst>
        </xdr:cNvPr>
        <xdr:cNvCxnSpPr/>
      </xdr:nvCxnSpPr>
      <xdr:spPr>
        <a:xfrm>
          <a:off x="6886668" y="867968"/>
          <a:ext cx="0" cy="45482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462987</xdr:colOff>
      <xdr:row>4</xdr:row>
      <xdr:rowOff>135038</xdr:rowOff>
    </xdr:from>
    <xdr:to>
      <xdr:col>15</xdr:col>
      <xdr:colOff>462987</xdr:colOff>
      <xdr:row>29</xdr:row>
      <xdr:rowOff>135038</xdr:rowOff>
    </xdr:to>
    <xdr:cxnSp macro="">
      <xdr:nvCxnSpPr>
        <xdr:cNvPr id="72" name="Straight Connector 71">
          <a:extLst>
            <a:ext uri="{FF2B5EF4-FFF2-40B4-BE49-F238E27FC236}">
              <a16:creationId xmlns:a16="http://schemas.microsoft.com/office/drawing/2014/main" id="{812E7689-B6A3-4F6C-A40F-DB77367478B8}"/>
            </a:ext>
          </a:extLst>
        </xdr:cNvPr>
        <xdr:cNvCxnSpPr/>
      </xdr:nvCxnSpPr>
      <xdr:spPr>
        <a:xfrm>
          <a:off x="9578050" y="868101"/>
          <a:ext cx="0" cy="458164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273538</xdr:colOff>
      <xdr:row>0</xdr:row>
      <xdr:rowOff>102400</xdr:rowOff>
    </xdr:from>
    <xdr:to>
      <xdr:col>21</xdr:col>
      <xdr:colOff>100738</xdr:colOff>
      <xdr:row>0</xdr:row>
      <xdr:rowOff>102400</xdr:rowOff>
    </xdr:to>
    <xdr:cxnSp macro="">
      <xdr:nvCxnSpPr>
        <xdr:cNvPr id="74" name="Straight Connector 73">
          <a:extLst>
            <a:ext uri="{FF2B5EF4-FFF2-40B4-BE49-F238E27FC236}">
              <a16:creationId xmlns:a16="http://schemas.microsoft.com/office/drawing/2014/main" id="{9A3C1397-DCD7-9BA6-D4EF-AB635346822C}"/>
            </a:ext>
          </a:extLst>
        </xdr:cNvPr>
        <xdr:cNvCxnSpPr/>
      </xdr:nvCxnSpPr>
      <xdr:spPr>
        <a:xfrm>
          <a:off x="2102338" y="102400"/>
          <a:ext cx="10800000" cy="0"/>
        </a:xfrm>
        <a:prstGeom prst="line">
          <a:avLst/>
        </a:prstGeom>
        <a:ln w="15875">
          <a:solidFill>
            <a:srgbClr val="00CC9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301323</xdr:colOff>
      <xdr:row>4</xdr:row>
      <xdr:rowOff>55050</xdr:rowOff>
    </xdr:from>
    <xdr:to>
      <xdr:col>19</xdr:col>
      <xdr:colOff>600543</xdr:colOff>
      <xdr:row>4</xdr:row>
      <xdr:rowOff>55132</xdr:rowOff>
    </xdr:to>
    <xdr:cxnSp macro="">
      <xdr:nvCxnSpPr>
        <xdr:cNvPr id="75" name="Straight Connector 74">
          <a:extLst>
            <a:ext uri="{FF2B5EF4-FFF2-40B4-BE49-F238E27FC236}">
              <a16:creationId xmlns:a16="http://schemas.microsoft.com/office/drawing/2014/main" id="{F79160C3-0E8F-425E-9C69-8731846DB7DF}"/>
            </a:ext>
          </a:extLst>
        </xdr:cNvPr>
        <xdr:cNvCxnSpPr/>
      </xdr:nvCxnSpPr>
      <xdr:spPr>
        <a:xfrm>
          <a:off x="2742873" y="787515"/>
          <a:ext cx="9455034" cy="82"/>
        </a:xfrm>
        <a:prstGeom prst="line">
          <a:avLst/>
        </a:prstGeom>
        <a:ln w="15875">
          <a:solidFill>
            <a:srgbClr val="00CC9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0</xdr:row>
      <xdr:rowOff>101018</xdr:rowOff>
    </xdr:from>
    <xdr:to>
      <xdr:col>18</xdr:col>
      <xdr:colOff>0</xdr:colOff>
      <xdr:row>4</xdr:row>
      <xdr:rowOff>50039</xdr:rowOff>
    </xdr:to>
    <xdr:cxnSp macro="">
      <xdr:nvCxnSpPr>
        <xdr:cNvPr id="80" name="Straight Connector 79">
          <a:extLst>
            <a:ext uri="{FF2B5EF4-FFF2-40B4-BE49-F238E27FC236}">
              <a16:creationId xmlns:a16="http://schemas.microsoft.com/office/drawing/2014/main" id="{B394A67E-AA8D-44BB-B9D9-53B2B3AB7FA5}"/>
            </a:ext>
          </a:extLst>
        </xdr:cNvPr>
        <xdr:cNvCxnSpPr/>
      </xdr:nvCxnSpPr>
      <xdr:spPr>
        <a:xfrm>
          <a:off x="10992255" y="101018"/>
          <a:ext cx="0" cy="684000"/>
        </a:xfrm>
        <a:prstGeom prst="line">
          <a:avLst/>
        </a:prstGeom>
        <a:ln w="15875">
          <a:solidFill>
            <a:srgbClr val="00CC9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475574</xdr:colOff>
      <xdr:row>0</xdr:row>
      <xdr:rowOff>113488</xdr:rowOff>
    </xdr:from>
    <xdr:to>
      <xdr:col>15</xdr:col>
      <xdr:colOff>475574</xdr:colOff>
      <xdr:row>4</xdr:row>
      <xdr:rowOff>62509</xdr:rowOff>
    </xdr:to>
    <xdr:cxnSp macro="">
      <xdr:nvCxnSpPr>
        <xdr:cNvPr id="81" name="Straight Connector 80">
          <a:extLst>
            <a:ext uri="{FF2B5EF4-FFF2-40B4-BE49-F238E27FC236}">
              <a16:creationId xmlns:a16="http://schemas.microsoft.com/office/drawing/2014/main" id="{F6A83FAE-789B-4614-9B53-2F42B0A9E888}"/>
            </a:ext>
          </a:extLst>
        </xdr:cNvPr>
        <xdr:cNvCxnSpPr/>
      </xdr:nvCxnSpPr>
      <xdr:spPr>
        <a:xfrm>
          <a:off x="9635787" y="113488"/>
          <a:ext cx="0" cy="684000"/>
        </a:xfrm>
        <a:prstGeom prst="line">
          <a:avLst/>
        </a:prstGeom>
        <a:ln w="15875">
          <a:solidFill>
            <a:srgbClr val="00CC9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275618</xdr:colOff>
      <xdr:row>0</xdr:row>
      <xdr:rowOff>97276</xdr:rowOff>
    </xdr:from>
    <xdr:to>
      <xdr:col>13</xdr:col>
      <xdr:colOff>275618</xdr:colOff>
      <xdr:row>4</xdr:row>
      <xdr:rowOff>46297</xdr:rowOff>
    </xdr:to>
    <xdr:cxnSp macro="">
      <xdr:nvCxnSpPr>
        <xdr:cNvPr id="82" name="Straight Connector 81">
          <a:extLst>
            <a:ext uri="{FF2B5EF4-FFF2-40B4-BE49-F238E27FC236}">
              <a16:creationId xmlns:a16="http://schemas.microsoft.com/office/drawing/2014/main" id="{6D568BDB-E12D-4E80-8568-21F28A199781}"/>
            </a:ext>
          </a:extLst>
        </xdr:cNvPr>
        <xdr:cNvCxnSpPr/>
      </xdr:nvCxnSpPr>
      <xdr:spPr>
        <a:xfrm>
          <a:off x="8214469" y="97276"/>
          <a:ext cx="0" cy="684000"/>
        </a:xfrm>
        <a:prstGeom prst="line">
          <a:avLst/>
        </a:prstGeom>
        <a:ln w="15875">
          <a:solidFill>
            <a:srgbClr val="00CC9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201039</xdr:colOff>
      <xdr:row>0</xdr:row>
      <xdr:rowOff>109165</xdr:rowOff>
    </xdr:from>
    <xdr:to>
      <xdr:col>11</xdr:col>
      <xdr:colOff>201039</xdr:colOff>
      <xdr:row>4</xdr:row>
      <xdr:rowOff>58186</xdr:rowOff>
    </xdr:to>
    <xdr:cxnSp macro="">
      <xdr:nvCxnSpPr>
        <xdr:cNvPr id="83" name="Straight Connector 82">
          <a:extLst>
            <a:ext uri="{FF2B5EF4-FFF2-40B4-BE49-F238E27FC236}">
              <a16:creationId xmlns:a16="http://schemas.microsoft.com/office/drawing/2014/main" id="{ABA902FC-C575-4CF0-B2EE-63CDAA605E53}"/>
            </a:ext>
          </a:extLst>
        </xdr:cNvPr>
        <xdr:cNvCxnSpPr/>
      </xdr:nvCxnSpPr>
      <xdr:spPr>
        <a:xfrm>
          <a:off x="6918528" y="109165"/>
          <a:ext cx="0" cy="684000"/>
        </a:xfrm>
        <a:prstGeom prst="line">
          <a:avLst/>
        </a:prstGeom>
        <a:ln w="15875">
          <a:solidFill>
            <a:srgbClr val="00CC9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492269</xdr:colOff>
      <xdr:row>0</xdr:row>
      <xdr:rowOff>105167</xdr:rowOff>
    </xdr:from>
    <xdr:to>
      <xdr:col>8</xdr:col>
      <xdr:colOff>492269</xdr:colOff>
      <xdr:row>4</xdr:row>
      <xdr:rowOff>54188</xdr:rowOff>
    </xdr:to>
    <xdr:cxnSp macro="">
      <xdr:nvCxnSpPr>
        <xdr:cNvPr id="84" name="Straight Connector 83">
          <a:extLst>
            <a:ext uri="{FF2B5EF4-FFF2-40B4-BE49-F238E27FC236}">
              <a16:creationId xmlns:a16="http://schemas.microsoft.com/office/drawing/2014/main" id="{BC28C525-E9DD-4221-8A7D-A822302DCA89}"/>
            </a:ext>
          </a:extLst>
        </xdr:cNvPr>
        <xdr:cNvCxnSpPr/>
      </xdr:nvCxnSpPr>
      <xdr:spPr>
        <a:xfrm>
          <a:off x="5350735" y="105167"/>
          <a:ext cx="0" cy="682374"/>
        </a:xfrm>
        <a:prstGeom prst="line">
          <a:avLst/>
        </a:prstGeom>
        <a:ln w="15875">
          <a:solidFill>
            <a:srgbClr val="00CC99"/>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452026</xdr:colOff>
      <xdr:row>0</xdr:row>
      <xdr:rowOff>108503</xdr:rowOff>
    </xdr:from>
    <xdr:to>
      <xdr:col>6</xdr:col>
      <xdr:colOff>452026</xdr:colOff>
      <xdr:row>4</xdr:row>
      <xdr:rowOff>57524</xdr:rowOff>
    </xdr:to>
    <xdr:cxnSp macro="">
      <xdr:nvCxnSpPr>
        <xdr:cNvPr id="85" name="Straight Connector 84">
          <a:extLst>
            <a:ext uri="{FF2B5EF4-FFF2-40B4-BE49-F238E27FC236}">
              <a16:creationId xmlns:a16="http://schemas.microsoft.com/office/drawing/2014/main" id="{1FA305E6-B9A3-4ADF-9293-7625F9D83CF7}"/>
            </a:ext>
          </a:extLst>
        </xdr:cNvPr>
        <xdr:cNvCxnSpPr/>
      </xdr:nvCxnSpPr>
      <xdr:spPr>
        <a:xfrm>
          <a:off x="4095876" y="108503"/>
          <a:ext cx="0" cy="682374"/>
        </a:xfrm>
        <a:prstGeom prst="line">
          <a:avLst/>
        </a:prstGeom>
        <a:ln w="15875">
          <a:solidFill>
            <a:srgbClr val="00CC99"/>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pare" refreshedDate="45965.905137499998" createdVersion="8" refreshedVersion="8" minRefreshableVersion="3" recordCount="803" xr:uid="{92F181A3-6851-430B-B714-D29E2B2662DC}">
  <cacheSource type="worksheet">
    <worksheetSource name="humanresource"/>
  </cacheSource>
  <cacheFields count="36">
    <cacheField name="EmpID" numFmtId="0">
      <sharedItems containsSemiMixedTypes="0" containsString="0" containsNumber="1" containsInteger="1" minValue="10001" maxValue="11004"/>
    </cacheField>
    <cacheField name="EmployeeName" numFmtId="0">
      <sharedItems/>
    </cacheField>
    <cacheField name="MarriedID" numFmtId="0">
      <sharedItems count="2">
        <s v="Single"/>
        <s v="Married"/>
      </sharedItems>
    </cacheField>
    <cacheField name="MaritialStatus" numFmtId="0">
      <sharedItems count="5">
        <s v="Single"/>
        <s v="Married"/>
        <s v="Divorced"/>
        <s v="Widowed"/>
        <s v="Seperated"/>
      </sharedItems>
    </cacheField>
    <cacheField name="GenderID" numFmtId="0">
      <sharedItems count="2">
        <s v="Male"/>
        <s v="Female"/>
      </sharedItems>
    </cacheField>
    <cacheField name="Department" numFmtId="0">
      <sharedItems count="11">
        <s v="Production       "/>
        <s v="IT/IS"/>
        <s v="Software Engineering"/>
        <s v="Admin Offices"/>
        <s v="Sales"/>
        <s v="Executive Office"/>
        <s v="IT"/>
        <s v="HR"/>
        <s v="R&amp;D"/>
        <s v="Finance"/>
        <s v="Production"/>
      </sharedItems>
    </cacheField>
    <cacheField name="Position" numFmtId="0">
      <sharedItems count="35">
        <s v="Production Technician I"/>
        <s v="Sr. DBA"/>
        <s v="Production Technician II"/>
        <s v="Software Engineer"/>
        <s v="IT Support"/>
        <s v="Data Analyst"/>
        <s v="Database Administrator"/>
        <s v="Enterprise Architect"/>
        <s v="Sr. Accountant"/>
        <s v="Production Manager"/>
        <s v="Accountant I"/>
        <s v="Area Sales Manager"/>
        <s v="Software Engineering Manager"/>
        <s v="BI Director"/>
        <s v="Director of Operations"/>
        <s v="Sr. Network Engineer"/>
        <s v="Sales Manager"/>
        <s v="BI Developer"/>
        <s v="IT Manager - Support"/>
        <s v="Network Engineer"/>
        <s v="IT Director"/>
        <s v="Director of Sales"/>
        <s v="Administrative Assistant"/>
        <s v="President &amp; CEO"/>
        <s v="Senior BI Developer"/>
        <s v="Shared Services Manager"/>
        <s v="IT Manager - Infra"/>
        <s v="Principal Data Architect"/>
        <s v="Data Architect"/>
        <s v="IT Manager - DB"/>
        <s v="Data Analyst "/>
        <s v="CIO"/>
        <s v="Sales Executive"/>
        <s v="Manager"/>
        <s v="HR Specialist"/>
      </sharedItems>
    </cacheField>
    <cacheField name="ManagerName" numFmtId="0">
      <sharedItems count="520">
        <s v="Michael Albert"/>
        <s v="Simon Roup"/>
        <s v="Kissy Sullivan"/>
        <s v="Elijiah Gray"/>
        <s v="Webster Butler"/>
        <s v="Amy Dunn"/>
        <s v="Alex Sweetwater"/>
        <s v="Ketsia Liebig"/>
        <s v="Brannon Miller"/>
        <s v="Peter Monroe"/>
        <s v="David Stanley"/>
        <s v="Kelley Spirea"/>
        <s v="Brandon R. LeBlanc"/>
        <s v="Janet King"/>
        <s v="John Smith"/>
        <s v="Jennifer Zamora"/>
        <s v="Lynn Daneault"/>
        <s v="Eric Dougall"/>
        <s v="Debra Houlihan"/>
        <s v="Brian Champaigne"/>
        <s v="Board of Directors"/>
        <s v="Curtis Callahan"/>
        <s v="Jeremy Roberts"/>
        <s v="Heather Sanchez"/>
        <s v="Amy Christian"/>
        <s v="Virginia Hanson"/>
        <s v="Mr. Jason Roth"/>
        <s v="Rachel Davis"/>
        <s v="Christie Savage"/>
        <s v="Heather Mcpherson"/>
        <s v="Jessica Shelton"/>
        <s v="Monica Smith"/>
        <s v="Alice Grant"/>
        <s v="Daniel Swanson"/>
        <s v="Patricia Harris"/>
        <s v="Christian Valdez"/>
        <s v="Jennifer Reilly"/>
        <s v="David Chase"/>
        <s v="Jeff Sanchez"/>
        <s v="Julia Williams"/>
        <s v="Ashley West"/>
        <s v="Joseph Nichols"/>
        <s v="Curtis Clark"/>
        <s v="Richard Lane"/>
        <s v="Elizabeth Dillon"/>
        <s v="Sean Mcdonald"/>
        <s v="Phillip Craig"/>
        <s v="Charles Fowler"/>
        <s v="John Lopez"/>
        <s v="Elizabeth Mendez"/>
        <s v="Kayla Herring"/>
        <s v="Nathan Salas"/>
        <s v="Courtney Smith DVM"/>
        <s v="Sherry Ritter"/>
        <s v="Susan Nelson"/>
        <s v="Kyle Bradshaw"/>
        <s v="Clayton Smith"/>
        <s v="Mr. Michael Kirk DDS"/>
        <s v="Cindy Hart"/>
        <s v="Lisa Morgan"/>
        <s v="Adrienne Hicks"/>
        <s v="Stephanie Leonard"/>
        <s v="Robert Roach"/>
        <s v="Thomas Cummings"/>
        <s v="Christopher Perry"/>
        <s v="Shannon Hatfield"/>
        <s v="Cindy Flores"/>
        <s v="Hayley Wall"/>
        <s v="Danny Lopez"/>
        <s v="Michael Garrison"/>
        <s v="Michael Phillips"/>
        <s v="Elizabeth Mayer"/>
        <s v="Michael Gonzalez"/>
        <s v="Courtney Wilcox"/>
        <s v="Madison Griffin"/>
        <s v="Miss Michele Valdez"/>
        <s v="Michael Sawyer"/>
        <s v="Edward Mueller"/>
        <s v="Rose Romero"/>
        <s v="Mark Lopez"/>
        <s v="Ronald Silva"/>
        <s v="Elizabeth Webb"/>
        <s v="Jackson Parker"/>
        <s v="Jeffrey Morgan"/>
        <s v="Michael Kane"/>
        <s v="Julie Nguyen"/>
        <s v="Caitlin Simmons"/>
        <s v="William Mcmillan"/>
        <s v="Brian Moore"/>
        <s v="Kevin Mckenzie"/>
        <s v="Melissa Beck"/>
        <s v="Stephanie Armstrong"/>
        <s v="Nicole Foley"/>
        <s v="Kristen Cisneros"/>
        <s v="Christopher Harrington"/>
        <s v="Crystal Schneider"/>
        <s v="Stephanie Price"/>
        <s v="Christopher Griffin"/>
        <s v="Joshua Harris"/>
        <s v="Jose Moran"/>
        <s v="Christina Rhodes"/>
        <s v="Ashley Harmon"/>
        <s v="Mr. Timothy Green PhD"/>
        <s v="Hayden Ferrell"/>
        <s v="Mary Davis"/>
        <s v="Glenn Carter"/>
        <s v="Caitlin Lowe"/>
        <s v="Angela Lynn"/>
        <s v="Nathan Banks"/>
        <s v="Emily Frederick"/>
        <s v="Sandra Martin"/>
        <s v="Ricky Jackson"/>
        <s v="Brittany Cook"/>
        <s v="Corey Adams"/>
        <s v="Destiny Newman"/>
        <s v="John Johnson"/>
        <s v="Rachel Welch"/>
        <s v="Suzanne Beard"/>
        <s v="Marcus Serrano"/>
        <s v="Jean Berg"/>
        <s v="Tiffany Wilkerson MD"/>
        <s v="James Yates"/>
        <s v="Tyler Washington"/>
        <s v="Joshua Williams"/>
        <s v="Christina Baxter"/>
        <s v="Debra Hoffman"/>
        <s v="Ryan Carter"/>
        <s v="William Vaughan"/>
        <s v="Eric Holmes"/>
        <s v="Gregory Landry"/>
        <s v="Jason Smith"/>
        <s v="Michael Wyatt"/>
        <s v="Seth Rodriguez"/>
        <s v="Linda Davis"/>
        <s v="Angela Mcgrath"/>
        <s v="Jenna Gutierrez"/>
        <s v="Judy Farmer"/>
        <s v="Shane Lester MD"/>
        <s v="Thomas Cobb"/>
        <s v="Anthony Coleman"/>
        <s v="Elizabeth Santos"/>
        <s v="Briana Hill"/>
        <s v="Carlos King"/>
        <s v="Anthony White"/>
        <s v="Xavier Walker"/>
        <s v="Andrea Morris"/>
        <s v="Carrie Kramer"/>
        <s v="David Horton"/>
        <s v="Bridget Pierce"/>
        <s v="David Brown"/>
        <s v="Evan Ali"/>
        <s v="Jill Bush"/>
        <s v="Steven Simpson"/>
        <s v="Timothy Nelson"/>
        <s v="Edward Harris"/>
        <s v="Keith Walton"/>
        <s v="Tammy Taylor"/>
        <s v="Patrick Juarez"/>
        <s v="Pamela Woods"/>
        <s v="Tina Mcdonald"/>
        <s v="Lisa Malone"/>
        <s v="Robert Robinson"/>
        <s v="Robert Hernandez"/>
        <s v="Linda Mcdonald"/>
        <s v="Johnny Hardin"/>
        <s v="Nicole Adkins"/>
        <s v="April Byrd"/>
        <s v="Mario Hawkins"/>
        <s v="Danielle Osborn"/>
        <s v="John Hines"/>
        <s v="Lee Martin"/>
        <s v="Madison Payne"/>
        <s v="Lindsey Kelly"/>
        <s v="Paul Williams"/>
        <s v="Vincent Sharp"/>
        <s v="Chad Campos"/>
        <s v="Kerry Robertson"/>
        <s v="Adrian Cox"/>
        <s v="Mr. Joshua Mccarthy"/>
        <s v="Megan Chandler"/>
        <s v="Chad Norman"/>
        <s v="David Williams"/>
        <s v="Christopher Harrison"/>
        <s v="Laura Coleman"/>
        <s v="Thomas Smith"/>
        <s v="Christopher Macias"/>
        <s v="Seth Robles"/>
        <s v="Daniel Moore"/>
        <s v="Angela Vasquez"/>
        <s v="Adrienne Small"/>
        <s v="Gina Joseph"/>
        <s v="Vanessa Eaton"/>
        <s v="Jessica Hunt"/>
        <s v="Jacob Mendez"/>
        <s v="Randy Ferguson"/>
        <s v="Daniel Johnson"/>
        <s v="Michael Wallace"/>
        <s v="Robert Hayes"/>
        <s v="Holly Hayes"/>
        <s v="Debra Gray"/>
        <s v="Melissa Lutz"/>
        <s v="Jennifer Jones"/>
        <s v="Derek Moore"/>
        <s v="Jacob Camacho"/>
        <s v="Deanna Shaw"/>
        <s v="Jesse Lucas"/>
        <s v="Stephanie Molina"/>
        <s v="Sylvia Rojas"/>
        <s v="Justin Robles"/>
        <s v="Samantha Leach"/>
        <s v="Rebecca Butler"/>
        <s v="Gerald Smith"/>
        <s v="Brian Duncan"/>
        <s v="Peter Richardson"/>
        <s v="Luis Ruiz"/>
        <s v="David Ross"/>
        <s v="Caroline Santos"/>
        <s v="Sherri Evans"/>
        <s v="Amanda Butler"/>
        <s v="Cassandra White"/>
        <s v="Dana Eaton"/>
        <s v="Joanne Wright"/>
        <s v="John Spence"/>
        <s v="Jason Beasley"/>
        <s v="Nathaniel Burns"/>
        <s v="Stacey Richards"/>
        <s v="Darryl Hamilton"/>
        <s v="Carrie Miller"/>
        <s v="Ian Hunter"/>
        <s v="Eduardo Smith"/>
        <s v="Katherine Thomas"/>
        <s v="Sara Howard"/>
        <s v="Margaret Mueller"/>
        <s v="Casey Tucker"/>
        <s v="Jill Giles"/>
        <s v="Mark Wells"/>
        <s v="Jessica Sanchez"/>
        <s v="Jordan Rivera"/>
        <s v="Gregory Anderson"/>
        <s v="James Vaughn"/>
        <s v="Margaret Phillips"/>
        <s v="Michael Massey"/>
        <s v="Melinda Perry"/>
        <s v="Derek Mendoza"/>
        <s v="Eric Mercer"/>
        <s v="Leah Watson"/>
        <s v="Robert Phelps"/>
        <s v="Samantha Wilson"/>
        <s v="Brenda Ross"/>
        <s v="Stephanie Murray"/>
        <s v="Joshua Wiggins DDS"/>
        <s v="Larry Mclaughlin"/>
        <s v="Jose Clark"/>
        <s v="Laura Riley"/>
        <s v="Jessica Thomas"/>
        <s v="James Taylor"/>
        <s v="Jane Brooks"/>
        <s v="Casey Hall"/>
        <s v="Richard Guzman"/>
        <s v="Johnathan Vance"/>
        <s v="Michael Kelley"/>
        <s v="Mary Simmons"/>
        <s v="Joshua Hernandez"/>
        <s v="Tara Ryan"/>
        <s v="Chad Osborne"/>
        <s v="Christopher Hoover"/>
        <s v="Justin Steele"/>
        <s v="Shawn Jones"/>
        <s v="Ronald Pierce"/>
        <s v="Ruth Price"/>
        <s v="Shelley Parrish"/>
        <s v="Kristy Hill"/>
        <s v="Janice Beard"/>
        <s v="Thomas Hill"/>
        <s v="Carla Burton"/>
        <s v="Tammy Singh"/>
        <s v="Brad Hudson"/>
        <s v="Ricky Ellis"/>
        <s v="Jade Phillips"/>
        <s v="James Webb"/>
        <s v="Crystal Fisher"/>
        <s v="Sylvia Edwards"/>
        <s v="Crystal Bailey"/>
        <s v="Ashley Lozano"/>
        <s v="Eileen Miller"/>
        <s v="Leslie Patrick"/>
        <s v="Shawn Lawson"/>
        <s v="Mikayla Collins"/>
        <s v="Joseph Rodriguez"/>
        <s v="Christopher Rush"/>
        <s v="Kelly Carey"/>
        <s v="Carolyn Cook"/>
        <s v="Kirk Morris"/>
        <s v="Blake Howard"/>
        <s v="Benjamin Butler"/>
        <s v="Rebecca Mendez"/>
        <s v="Diane Nunez"/>
        <s v="William Roy"/>
        <s v="Brian Burch"/>
        <s v="Patricia Drake"/>
        <s v="Jacqueline Walsh"/>
        <s v="Kathryn Shepherd"/>
        <s v="Miss Lisa Pena"/>
        <s v="Laura Garcia"/>
        <s v="Thomas Lester"/>
        <s v="Jason Castillo"/>
        <s v="Ms. Lauren Woods"/>
        <s v="Terry Morgan"/>
        <s v="Jennifer Stone"/>
        <s v="Michelle Schroeder"/>
        <s v="Aaron Sanchez"/>
        <s v="Kendra Blair"/>
        <s v="Patrick Roberts"/>
        <s v="Amanda Sanders"/>
        <s v="Daniel Williams"/>
        <s v="Daniel Smith"/>
        <s v="Joseph James"/>
        <s v="Ryan Harris"/>
        <s v="Vicki Smith"/>
        <s v="Renee Mason"/>
        <s v="Randy Brown PhD"/>
        <s v="Steven Baker"/>
        <s v="Elizabeth Walker"/>
        <s v="Christopher Johnson"/>
        <s v="Cynthia Jordan"/>
        <s v="David Miller"/>
        <s v="Aaron Choi"/>
        <s v="Kim Flowers"/>
        <s v="James Green"/>
        <s v="Andrew Joseph"/>
        <s v="Andrew Thompson"/>
        <s v="Timothy Andrews"/>
        <s v="Mario Olson"/>
        <s v="Shawn Weber"/>
        <s v="Marisa Gutierrez"/>
        <s v="James James"/>
        <s v="Richard Holmes"/>
        <s v="Stephanie Snyder"/>
        <s v="Wesley Parker"/>
        <s v="Mr. Daryl Williams MD"/>
        <s v="Emily Frank"/>
        <s v="Michael Cabrera"/>
        <s v="James Collins"/>
        <s v="Alan Woods"/>
        <s v="Terry Reyes"/>
        <s v="James Hardy"/>
        <s v="Lindsay Brown"/>
        <s v="Jessica Oliver"/>
        <s v="John Fitzpatrick"/>
        <s v="Mary Barnes"/>
        <s v="Kristina Roman"/>
        <s v="Mary Sexton"/>
        <s v="Vicki Walker"/>
        <s v="Michelle Lewis"/>
        <s v="Rachel Nguyen"/>
        <s v="Christian Hinton DDS"/>
        <s v="Jennifer Reynolds"/>
        <s v="Mrs. Kimberly Guerrero"/>
        <s v="Christine Garcia"/>
        <s v="Mallory Tran"/>
        <s v="Melissa Martin"/>
        <s v="Danielle Oconnor"/>
        <s v="Jon Garcia"/>
        <s v="Courtney Adams"/>
        <s v="Jasmine Guerrero"/>
        <s v="Jessica Barber"/>
        <s v="Amanda Edwards"/>
        <s v="Jennifer Hansen"/>
        <s v="Sylvia Avila"/>
        <s v="Amanda Turner"/>
        <s v="Mary Brown"/>
        <s v="Lindsey Lee"/>
        <s v="Sarah Taylor"/>
        <s v="Andrew Howard"/>
        <s v="Timothy Jenkins"/>
        <s v="Kristina Lane"/>
        <s v="Kathleen Kennedy"/>
        <s v="Eric Stein"/>
        <s v="Erin Reyes"/>
        <s v="Michael Davis"/>
        <s v="Gregory Williams"/>
        <s v="Donna Davila"/>
        <s v="Shawn Carter"/>
        <s v="Todd Gonzalez"/>
        <s v="Cody Mitchell"/>
        <s v="Renee Kaufman"/>
        <s v="Jason Mccoy"/>
        <s v="Sandra Adams"/>
        <s v="John Park"/>
        <s v="Carly Sharp"/>
        <s v="Kevin Duncan"/>
        <s v="Meagan Reed"/>
        <s v="Lindsey Williams"/>
        <s v="William Lopez"/>
        <s v="Melissa Mcdonald"/>
        <s v="Sara Brown MD"/>
        <s v="William Gibson"/>
        <s v="Dominique Elliott"/>
        <s v="Kimberly Martin"/>
        <s v="Alexander Payne"/>
        <s v="James Martin"/>
        <s v="Jose Roberts"/>
        <s v="Edward Spencer"/>
        <s v="Mary Richmond"/>
        <s v="Christopher Mason"/>
        <s v="Peter Morales"/>
        <s v="Kayla Peck"/>
        <s v="Carl Gallagher"/>
        <s v="Jason Adkins"/>
        <s v="Dana Shields"/>
        <s v="Jennifer Fleming"/>
        <s v="Dawn Hernandez"/>
        <s v="Megan Brown"/>
        <s v="Karen Strickland"/>
        <s v="Ashley Gaines"/>
        <s v="Gina Farmer"/>
        <s v="Kylie Mckinney"/>
        <s v="Jonathan Blair"/>
        <s v="Heather Blair"/>
        <s v="Lisa Thomas"/>
        <s v="Bryan Schroeder"/>
        <s v="April Snyder"/>
        <s v="Sarah Kennedy"/>
        <s v="Timothy Mitchell"/>
        <s v="Christopher Taylor"/>
        <s v="Michael Malone"/>
        <s v="Paul Ayala"/>
        <s v="Kenneth Smith"/>
        <s v="Connie Walker"/>
        <s v="Jamie Shah"/>
        <s v="Matthew Bell"/>
        <s v="Cheryl Luna"/>
        <s v="Steven Cook"/>
        <s v="John Nunez"/>
        <s v="James Harris"/>
        <s v="Jennifer Barker"/>
        <s v="Jennifer Riggs"/>
        <s v="Matthew Gordon"/>
        <s v="Richard Flowers"/>
        <s v="Ashley Smith"/>
        <s v="Jeremiah Rodriguez"/>
        <s v="Daniel Hampton"/>
        <s v="Adam Weaver"/>
        <s v="Cody Jackson"/>
        <s v="Courtney Mccann"/>
        <s v="Gabriel House"/>
        <s v="Anne Wright"/>
        <s v="Melanie Martinez"/>
        <s v="Tyler Mathis"/>
        <s v="Laura Griffin"/>
        <s v="Ricky Martinez"/>
        <s v="Jennifer Spence"/>
        <s v="Adrian Reyes"/>
        <s v="Shawna Zamora DDS"/>
        <s v="Andrew Jackson"/>
        <s v="Miss Amber Gray MD"/>
        <s v="Sarah Sanchez"/>
        <s v="Jose Hunt"/>
        <s v="Michelle Brown"/>
        <s v="Anne Hernandez"/>
        <s v="Kevin Ortiz"/>
        <s v="Kimberly Hernandez"/>
        <s v="Kristy Lewis"/>
        <s v="Amanda Cole"/>
        <s v="Renee Murphy"/>
        <s v="Kevin Austin"/>
        <s v="Mary Norton"/>
        <s v="Scott Davis"/>
        <s v="Lisa Woods"/>
        <s v="Ashley Moreno"/>
        <s v="Jennifer White"/>
        <s v="Tanner Hoover"/>
        <s v="Jimmy Booker"/>
        <s v="Dr. Angela Mcguire MD"/>
        <s v="Michael Lopez"/>
        <s v="Noah Adams"/>
        <s v="John Gallagher"/>
        <s v="Mary Fisher"/>
        <s v="William Lucas"/>
        <s v="Joshua Golden"/>
        <s v="Andre Hernandez"/>
        <s v="Danielle Green"/>
        <s v="Paige Odom"/>
        <s v="Kimberly Parsons"/>
        <s v="Christina Ramos"/>
        <s v="Penny Church"/>
        <s v="Vanessa Cole"/>
        <s v="Margaret Barnes"/>
        <s v="Blake Aguilar"/>
        <s v="Lisa Andrews"/>
        <s v="Mark Garcia"/>
        <s v="Erin Butler"/>
        <s v="Betty Nicholson"/>
        <s v="Lindsay Vasquez"/>
        <s v="Brandon Williams"/>
        <s v="Daniel Frederick"/>
        <s v="Molly Sutton"/>
        <s v="Ariel Little"/>
        <s v="Juan Bradshaw"/>
        <s v="Catherine Williams"/>
        <s v="Thomas Adams"/>
        <s v="Jacob Smith"/>
        <s v="Shannon Santana"/>
        <s v="Nicholas Johnson"/>
        <s v="Melissa Salazar"/>
        <s v="Lawrence Williams"/>
        <s v="William Cole"/>
        <s v="Christina Turner"/>
        <s v="Jose Miles"/>
        <s v="Michael Buckley"/>
        <s v="Kathleen Bennett"/>
        <s v="Diana Lozano"/>
        <s v="Parker Saunders"/>
        <s v="Jeremy Gonzalez"/>
        <s v="James Stafford"/>
        <s v="Marilyn French"/>
        <s v="Melissa Thompson"/>
        <s v="John Floyd"/>
        <s v="Jessica Burton"/>
        <s v="Jesse Davis"/>
      </sharedItems>
    </cacheField>
    <cacheField name="Salary" numFmtId="0">
      <sharedItems containsSemiMixedTypes="0" containsString="0" containsNumber="1" containsInteger="1" minValue="30008" maxValue="250000"/>
    </cacheField>
    <cacheField name="AnnualSalary" numFmtId="165">
      <sharedItems containsSemiMixedTypes="0" containsString="0" containsNumber="1" containsInteger="1" minValue="360096" maxValue="3000000" count="799">
        <n v="750072"/>
        <n v="1253244"/>
        <n v="779460"/>
        <n v="779892"/>
        <n v="609900"/>
        <n v="690816"/>
        <n v="1147920"/>
        <n v="712380"/>
        <n v="574044"/>
        <n v="602136"/>
        <n v="656040"/>
        <n v="566532"/>
        <n v="1107936"/>
        <n v="704508"/>
        <n v="630060"/>
        <n v="694008"/>
        <n v="841572"/>
        <n v="708312"/>
        <n v="1320000"/>
        <n v="612528"/>
        <n v="779028"/>
        <n v="754920"/>
        <n v="797292"/>
        <n v="693780"/>
        <n v="1243356"/>
        <n v="1276404"/>
        <n v="891744"/>
        <n v="641904"/>
        <n v="756000"/>
        <n v="772500"/>
        <n v="891912"/>
        <n v="765156"/>
        <n v="745944"/>
        <n v="932304"/>
        <n v="871680"/>
        <n v="1120752"/>
        <n v="634152"/>
        <n v="1200372"/>
        <n v="862320"/>
        <n v="739872"/>
        <n v="1331148"/>
        <n v="650844"/>
        <n v="801696"/>
        <n v="777432"/>
        <n v="777792"/>
        <n v="824136"/>
        <n v="768792"/>
        <n v="712428"/>
        <n v="604476"/>
        <n v="757296"/>
        <n v="709728"/>
        <n v="816612"/>
        <n v="2046000"/>
        <n v="760572"/>
        <n v="1002624"/>
        <n v="673788"/>
        <n v="1107948"/>
        <n v="788748"/>
        <n v="1020336"/>
        <n v="690996"/>
        <n v="675528"/>
        <n v="683892"/>
        <n v="668664"/>
        <n v="1214388"/>
        <n v="738816"/>
        <n v="699300"/>
        <n v="638268"/>
        <n v="1161840"/>
        <n v="615108"/>
        <n v="710772"/>
        <n v="739008"/>
        <n v="556020"/>
        <n v="847452"/>
        <n v="1666656"/>
        <n v="890892"/>
        <n v="902256"/>
        <n v="750168"/>
        <n v="720840"/>
        <n v="586656"/>
        <n v="651420"/>
        <n v="682164"/>
        <n v="724080"/>
        <n v="709488"/>
        <n v="1191360"/>
        <n v="861312"/>
        <n v="692976"/>
        <n v="768684"/>
        <n v="640392"/>
        <n v="702360"/>
        <n v="871308"/>
        <n v="671580"/>
        <n v="842244"/>
        <n v="2136000"/>
        <n v="1192212"/>
        <n v="807012"/>
        <n v="788484"/>
        <n v="626988"/>
        <n v="638052"/>
        <n v="616044"/>
        <n v="618060"/>
        <n v="712440"/>
        <n v="659196"/>
        <n v="738660"/>
        <n v="1377600"/>
        <n v="896148"/>
        <n v="636216"/>
        <n v="718704"/>
        <n v="826776"/>
        <n v="734904"/>
        <n v="801900"/>
        <n v="579420"/>
        <n v="793788"/>
        <n v="591072"/>
        <n v="755484"/>
        <n v="765756"/>
        <n v="1188240"/>
        <n v="860484"/>
        <n v="657936"/>
        <n v="770952"/>
        <n v="626124"/>
        <n v="744780"/>
        <n v="563976"/>
        <n v="817188"/>
        <n v="846540"/>
        <n v="761736"/>
        <n v="1175988"/>
        <n v="2160000"/>
        <n v="599040"/>
        <n v="665100"/>
        <n v="832080"/>
        <n v="818184"/>
        <n v="996984"/>
        <n v="622896"/>
        <n v="540828"/>
        <n v="728688"/>
        <n v="725232"/>
        <n v="562044"/>
        <n v="1268400"/>
        <n v="759864"/>
        <n v="733848"/>
        <n v="827988"/>
        <n v="605784"/>
        <n v="783720"/>
        <n v="3000000"/>
        <n v="648060"/>
        <n v="545196"/>
        <n v="559848"/>
        <n v="767676"/>
        <n v="856068"/>
        <n v="1118472"/>
        <n v="993096"/>
        <n v="792888"/>
        <n v="553440"/>
        <n v="774240"/>
        <n v="743544"/>
        <n v="979008"/>
        <n v="764112"/>
        <n v="1116552"/>
        <n v="776856"/>
        <n v="845616"/>
        <n v="934980"/>
        <n v="631488"/>
        <n v="761400"/>
        <n v="621324"/>
        <n v="806844"/>
        <n v="879960"/>
        <n v="624684"/>
        <n v="569208"/>
        <n v="633456"/>
        <n v="544740"/>
        <n v="820884"/>
        <n v="736188"/>
        <n v="1268256"/>
        <n v="649584"/>
        <n v="663780"/>
        <n v="753720"/>
        <n v="759492"/>
        <n v="751908"/>
        <n v="668256"/>
        <n v="1004004"/>
        <n v="669600"/>
        <n v="698484"/>
        <n v="1884000"/>
        <n v="869520"/>
        <n v="865272"/>
        <n v="631188"/>
        <n v="761160"/>
        <n v="893004"/>
        <n v="690900"/>
        <n v="1055052"/>
        <n v="605640"/>
        <n v="559968"/>
        <n v="581940"/>
        <n v="635808"/>
        <n v="764340"/>
        <n v="744732"/>
        <n v="800856"/>
        <n v="632088"/>
        <n v="863592"/>
        <n v="756612"/>
        <n v="568968"/>
        <n v="636720"/>
        <n v="825948"/>
        <n v="762180"/>
        <n v="1307844"/>
        <n v="1117116"/>
        <n v="642768"/>
        <n v="723240"/>
        <n v="551976"/>
        <n v="695448"/>
        <n v="896028"/>
        <n v="890712"/>
        <n v="1122648"/>
        <n v="776688"/>
        <n v="564012"/>
        <n v="742128"/>
        <n v="561588"/>
        <n v="713664"/>
        <n v="557160"/>
        <n v="1000356"/>
        <n v="1151040"/>
        <n v="740748"/>
        <n v="741708"/>
        <n v="541380"/>
        <n v="779652"/>
        <n v="666936"/>
        <n v="605136"/>
        <n v="737064"/>
        <n v="760236"/>
        <n v="1078596"/>
        <n v="1440000"/>
        <n v="1803480"/>
        <n v="727524"/>
        <n v="638160"/>
        <n v="1691040"/>
        <n v="1787988"/>
        <n v="1034568"/>
        <n v="573000"/>
        <n v="557136"/>
        <n v="695700"/>
        <n v="1062324"/>
        <n v="673764"/>
        <n v="609000"/>
        <n v="625044"/>
        <n v="1053912"/>
        <n v="623040"/>
        <n v="766536"/>
        <n v="727872"/>
        <n v="875904"/>
        <n v="660000"/>
        <n v="707268"/>
        <n v="799116"/>
        <n v="1050780"/>
        <n v="768252"/>
        <n v="788568"/>
        <n v="749100"/>
        <n v="575532"/>
        <n v="699276"/>
        <n v="756036"/>
        <n v="736260"/>
        <n v="721440"/>
        <n v="764184"/>
        <n v="756300"/>
        <n v="710856"/>
        <n v="1115868"/>
        <n v="1081200"/>
        <n v="729048"/>
        <n v="866424"/>
        <n v="700440"/>
        <n v="580956"/>
        <n v="806112"/>
        <n v="676068"/>
        <n v="772764"/>
        <n v="903372"/>
        <n v="1204992"/>
        <n v="897756"/>
        <n v="912348"/>
        <n v="694308"/>
        <n v="702276"/>
        <n v="1067712"/>
        <n v="670500"/>
        <n v="1367988"/>
        <n v="597276"/>
        <n v="744816"/>
        <n v="798492"/>
        <n v="966144"/>
        <n v="603288"/>
        <n v="1018836"/>
        <n v="1286712"/>
        <n v="700452"/>
        <n v="661680"/>
        <n v="696744"/>
        <n v="716736"/>
        <n v="846084"/>
        <n v="725352"/>
        <n v="790716"/>
        <n v="582156"/>
        <n v="2645400"/>
        <n v="1071504"/>
        <n v="540552"/>
        <n v="1168116"/>
        <n v="1205304"/>
        <n v="1270356"/>
        <n v="689520"/>
        <n v="847032"/>
        <n v="786540"/>
        <n v="1198476"/>
        <n v="1048044"/>
        <n v="490140"/>
        <n v="897588"/>
        <n v="595896"/>
        <n v="1117236"/>
        <n v="868800"/>
        <n v="656160"/>
        <n v="922992"/>
        <n v="833760"/>
        <n v="889200"/>
        <n v="1127988"/>
        <n v="414612"/>
        <n v="766092"/>
        <n v="1240116"/>
        <n v="1089060"/>
        <n v="1190304"/>
        <n v="648504"/>
        <n v="1010784"/>
        <n v="732492"/>
        <n v="407820"/>
        <n v="518280"/>
        <n v="798432"/>
        <n v="827100"/>
        <n v="596700"/>
        <n v="382260"/>
        <n v="469932"/>
        <n v="1337004"/>
        <n v="720636"/>
        <n v="920196"/>
        <n v="702252"/>
        <n v="1043820"/>
        <n v="572088"/>
        <n v="829272"/>
        <n v="653088"/>
        <n v="362916"/>
        <n v="1127868"/>
        <n v="810888"/>
        <n v="548976"/>
        <n v="578244"/>
        <n v="1215456"/>
        <n v="398160"/>
        <n v="1055064"/>
        <n v="1029924"/>
        <n v="629424"/>
        <n v="1340640"/>
        <n v="802992"/>
        <n v="409140"/>
        <n v="1245852"/>
        <n v="1117104"/>
        <n v="370344"/>
        <n v="778476"/>
        <n v="527748"/>
        <n v="882468"/>
        <n v="1354800"/>
        <n v="1434144"/>
        <n v="378732"/>
        <n v="1129872"/>
        <n v="970188"/>
        <n v="1334028"/>
        <n v="1017504"/>
        <n v="938112"/>
        <n v="1340220"/>
        <n v="1136148"/>
        <n v="749004"/>
        <n v="573816"/>
        <n v="1098804"/>
        <n v="438708"/>
        <n v="911916"/>
        <n v="826908"/>
        <n v="763320"/>
        <n v="904812"/>
        <n v="614724"/>
        <n v="656784"/>
        <n v="842976"/>
        <n v="1102200"/>
        <n v="871200"/>
        <n v="977268"/>
        <n v="620472"/>
        <n v="1397844"/>
        <n v="1350636"/>
        <n v="756816"/>
        <n v="569520"/>
        <n v="1299372"/>
        <n v="1354728"/>
        <n v="990804"/>
        <n v="1151664"/>
        <n v="1376676"/>
        <n v="441216"/>
        <n v="732072"/>
        <n v="1381128"/>
        <n v="1080996"/>
        <n v="1267032"/>
        <n v="903660"/>
        <n v="1006920"/>
        <n v="820164"/>
        <n v="1405260"/>
        <n v="519972"/>
        <n v="491904"/>
        <n v="1336140"/>
        <n v="767976"/>
        <n v="1134516"/>
        <n v="576516"/>
        <n v="938940"/>
        <n v="938628"/>
        <n v="1185540"/>
        <n v="992064"/>
        <n v="1127856"/>
        <n v="423444"/>
        <n v="1285212"/>
        <n v="1175712"/>
        <n v="1109292"/>
        <n v="385224"/>
        <n v="1023864"/>
        <n v="1040748"/>
        <n v="1309152"/>
        <n v="948276"/>
        <n v="1170600"/>
        <n v="1383084"/>
        <n v="900516"/>
        <n v="369024"/>
        <n v="1334292"/>
        <n v="1013904"/>
        <n v="1401852"/>
        <n v="535872"/>
        <n v="1067268"/>
        <n v="1229172"/>
        <n v="719976"/>
        <n v="889188"/>
        <n v="917760"/>
        <n v="396984"/>
        <n v="822132"/>
        <n v="1396968"/>
        <n v="838740"/>
        <n v="1080456"/>
        <n v="892944"/>
        <n v="782340"/>
        <n v="530172"/>
        <n v="656124"/>
        <n v="1228056"/>
        <n v="406368"/>
        <n v="1315632"/>
        <n v="697548"/>
        <n v="547896"/>
        <n v="832368"/>
        <n v="546108"/>
        <n v="1434108"/>
        <n v="1392300"/>
        <n v="756084"/>
        <n v="843000"/>
        <n v="821208"/>
        <n v="1214316"/>
        <n v="1357464"/>
        <n v="1427100"/>
        <n v="1109148"/>
        <n v="1024656"/>
        <n v="362952"/>
        <n v="1216128"/>
        <n v="760296"/>
        <n v="360096"/>
        <n v="754848"/>
        <n v="955548"/>
        <n v="1340952"/>
        <n v="1194828"/>
        <n v="517488"/>
        <n v="528888"/>
        <n v="530832"/>
        <n v="390900"/>
        <n v="410208"/>
        <n v="1147956"/>
        <n v="900252"/>
        <n v="1219896"/>
        <n v="1268196"/>
        <n v="1430376"/>
        <n v="456432"/>
        <n v="1309884"/>
        <n v="1398096"/>
        <n v="755460"/>
        <n v="1177824"/>
        <n v="465120"/>
        <n v="1239528"/>
        <n v="1231176"/>
        <n v="1069872"/>
        <n v="702960"/>
        <n v="1065084"/>
        <n v="1311516"/>
        <n v="1229736"/>
        <n v="450384"/>
        <n v="1062384"/>
        <n v="547560"/>
        <n v="1000320"/>
        <n v="787980"/>
        <n v="456360"/>
        <n v="942468"/>
        <n v="1236972"/>
        <n v="609600"/>
        <n v="488124"/>
        <n v="1343820"/>
        <n v="1188552"/>
        <n v="863280"/>
        <n v="1082976"/>
        <n v="616824"/>
        <n v="462336"/>
        <n v="738768"/>
        <n v="655992"/>
        <n v="1166880"/>
        <n v="492144"/>
        <n v="591000"/>
        <n v="537288"/>
        <n v="959340"/>
        <n v="1097928"/>
        <n v="964068"/>
        <n v="1365948"/>
        <n v="778536"/>
        <n v="893616"/>
        <n v="369168"/>
        <n v="386676"/>
        <n v="1320960"/>
        <n v="458220"/>
        <n v="1350816"/>
        <n v="705336"/>
        <n v="1315380"/>
        <n v="444228"/>
        <n v="773964"/>
        <n v="1270008"/>
        <n v="448428"/>
        <n v="405168"/>
        <n v="473628"/>
        <n v="1386600"/>
        <n v="379980"/>
        <n v="1262736"/>
        <n v="771540"/>
        <n v="540132"/>
        <n v="1287684"/>
        <n v="859272"/>
        <n v="648516"/>
        <n v="1314072"/>
        <n v="1054584"/>
        <n v="375756"/>
        <n v="1310172"/>
        <n v="1380516"/>
        <n v="589560"/>
        <n v="1189188"/>
        <n v="1321860"/>
        <n v="757956"/>
        <n v="1225896"/>
        <n v="1019244"/>
        <n v="1255284"/>
        <n v="565704"/>
        <n v="695976"/>
        <n v="1230048"/>
        <n v="664152"/>
        <n v="954648"/>
        <n v="679968"/>
        <n v="1147404"/>
        <n v="742956"/>
        <n v="1368480"/>
        <n v="555648"/>
        <n v="1034352"/>
        <n v="528372"/>
        <n v="374088"/>
        <n v="1354296"/>
        <n v="1012236"/>
        <n v="447240"/>
        <n v="1422192"/>
        <n v="379908"/>
        <n v="1321752"/>
        <n v="988152"/>
        <n v="1230396"/>
        <n v="950508"/>
        <n v="514008"/>
        <n v="1038336"/>
        <n v="744252"/>
        <n v="1436304"/>
        <n v="1142688"/>
        <n v="830208"/>
        <n v="1026780"/>
        <n v="656604"/>
        <n v="633924"/>
        <n v="1273044"/>
        <n v="989076"/>
        <n v="403164"/>
        <n v="381672"/>
        <n v="602784"/>
        <n v="741084"/>
        <n v="724704"/>
        <n v="527328"/>
        <n v="1232844"/>
        <n v="1010856"/>
        <n v="746784"/>
        <n v="1301232"/>
        <n v="375840"/>
        <n v="657972"/>
        <n v="390180"/>
        <n v="1051920"/>
        <n v="515928"/>
        <n v="744372"/>
        <n v="677460"/>
        <n v="1360668"/>
        <n v="1078860"/>
        <n v="488520"/>
        <n v="1433004"/>
        <n v="513552"/>
        <n v="1039560"/>
        <n v="464580"/>
        <n v="683964"/>
        <n v="498936"/>
        <n v="483384"/>
        <n v="507804"/>
        <n v="1097988"/>
        <n v="906996"/>
        <n v="617964"/>
        <n v="506868"/>
        <n v="1013244"/>
        <n v="1371228"/>
        <n v="1229280"/>
        <n v="645684"/>
        <n v="470880"/>
        <n v="363540"/>
        <n v="1377192"/>
        <n v="893040"/>
        <n v="1217220"/>
        <n v="1293444"/>
        <n v="566940"/>
        <n v="1247688"/>
        <n v="1084308"/>
        <n v="1393560"/>
        <n v="439932"/>
        <n v="997728"/>
        <n v="1314852"/>
        <n v="1207716"/>
        <n v="848604"/>
        <n v="1221804"/>
        <n v="1277964"/>
        <n v="1083156"/>
        <n v="791364"/>
        <n v="587484"/>
        <n v="752484"/>
        <n v="838824"/>
        <n v="560856"/>
        <n v="499032"/>
        <n v="1212192"/>
        <n v="666132"/>
        <n v="375396"/>
        <n v="675540"/>
        <n v="1375992"/>
        <n v="1248948"/>
        <n v="374772"/>
        <n v="491064"/>
        <n v="436404"/>
        <n v="608508"/>
        <n v="1001472"/>
        <n v="1079244"/>
        <n v="907968"/>
        <n v="1418040"/>
        <n v="854916"/>
        <n v="837588"/>
        <n v="576600"/>
        <n v="719988"/>
        <n v="1227924"/>
        <n v="730380"/>
        <n v="810768"/>
        <n v="948588"/>
        <n v="653304"/>
        <n v="694548"/>
        <n v="1399428"/>
        <n v="498492"/>
        <n v="781440"/>
        <n v="942192"/>
        <n v="1252788"/>
        <n v="782880"/>
        <n v="594240"/>
        <n v="671112"/>
        <n v="1232148"/>
        <n v="386940"/>
        <n v="1018056"/>
        <n v="1016436"/>
        <n v="833040"/>
        <n v="1353804"/>
        <n v="545844"/>
        <n v="570840"/>
        <n v="1034448"/>
        <n v="405348"/>
        <n v="737760"/>
        <n v="1199808"/>
        <n v="439080"/>
        <n v="369888"/>
        <n v="652488"/>
        <n v="866916"/>
        <n v="1082388"/>
        <n v="849912"/>
        <n v="793164"/>
        <n v="1408020"/>
        <n v="946956"/>
        <n v="507204"/>
        <n v="884724"/>
        <n v="1382004"/>
        <n v="1126140"/>
        <n v="1096920"/>
        <n v="894804"/>
        <n v="809124"/>
        <n v="600204"/>
        <n v="732828"/>
        <n v="900408"/>
        <n v="1156788"/>
        <n v="875760"/>
        <n v="417696"/>
        <n v="1309812"/>
        <n v="477564"/>
        <n v="1051308"/>
        <n v="925140"/>
        <n v="870456"/>
        <n v="964752"/>
        <n v="881784"/>
        <n v="739596"/>
        <n v="606024"/>
        <n v="960924"/>
        <n v="1285692"/>
        <n v="509136"/>
        <n v="890508"/>
        <n v="1203288"/>
        <n v="1287924"/>
        <n v="1071024"/>
        <n v="1256472"/>
        <n v="1387740"/>
        <n v="1318632"/>
        <n v="1404192"/>
        <n v="928464"/>
        <n v="442536"/>
        <n v="1439892"/>
        <n v="755148"/>
        <n v="914376"/>
        <n v="675204"/>
        <n v="489924"/>
        <n v="1193892"/>
        <n v="933300"/>
        <n v="470076"/>
        <n v="1161924"/>
        <n v="1262976"/>
        <n v="756096"/>
        <n v="702780"/>
        <n v="1312092"/>
        <n v="693288"/>
        <n v="1423032"/>
        <n v="930396"/>
        <n v="942792"/>
        <n v="705936"/>
        <n v="662376"/>
        <n v="726948"/>
        <n v="1219296"/>
        <n v="1237896"/>
        <n v="392232"/>
        <n v="363120"/>
        <n v="779388"/>
        <n v="752496"/>
        <n v="1328412"/>
        <n v="615984"/>
        <n v="421296"/>
        <n v="1068696"/>
        <n v="961548"/>
        <n v="531528"/>
        <n v="431928"/>
        <n v="1407336"/>
        <n v="1359084"/>
        <n v="1290096"/>
        <n v="915696"/>
        <n v="897312"/>
        <n v="1397580"/>
        <n v="785040"/>
        <n v="1032240"/>
        <n v="1054044"/>
        <n v="615804"/>
        <n v="1247232"/>
        <n v="1077852"/>
        <n v="1044672"/>
        <n v="586788"/>
        <n v="1229196"/>
        <n v="391596"/>
        <n v="1232724"/>
        <n v="1336332"/>
        <n v="1401264"/>
        <n v="554460"/>
        <n v="1051872"/>
        <n v="746460"/>
        <n v="746352"/>
        <n v="890280"/>
        <n v="780972"/>
        <n v="935064"/>
        <n v="717048"/>
        <n v="580788"/>
        <n v="757248"/>
        <n v="1062456"/>
        <n v="1020132"/>
      </sharedItems>
    </cacheField>
    <cacheField name="DOB" numFmtId="14">
      <sharedItems containsSemiMixedTypes="0" containsNonDate="0" containsDate="1" containsString="0" minDate="1951-01-02T00:00:00" maxDate="2003-10-22T00:00:00"/>
    </cacheField>
    <cacheField name="Sex" numFmtId="0">
      <sharedItems count="3">
        <s v="M "/>
        <s v="F"/>
        <s v="M"/>
      </sharedItems>
    </cacheField>
    <cacheField name="State" numFmtId="0">
      <sharedItems count="28">
        <s v="MA"/>
        <s v="TX"/>
        <s v="CT"/>
        <s v="VA"/>
        <s v="VT"/>
        <s v="AL"/>
        <s v="WA"/>
        <s v="CA"/>
        <s v="OH"/>
        <s v="IN"/>
        <s v="TN"/>
        <s v="NH"/>
        <s v="RI"/>
        <s v="PA"/>
        <s v="CO"/>
        <s v="NY"/>
        <s v="UT"/>
        <s v="GA"/>
        <s v="FL"/>
        <s v="NC"/>
        <s v="KY"/>
        <s v="ID"/>
        <s v="NV"/>
        <s v="MT"/>
        <s v="OR"/>
        <s v="ND"/>
        <s v="AZ"/>
        <s v="ME"/>
      </sharedItems>
    </cacheField>
    <cacheField name="Zip" numFmtId="0">
      <sharedItems containsSemiMixedTypes="0" containsString="0" containsNumber="1" containsInteger="1" minValue="581" maxValue="99949"/>
    </cacheField>
    <cacheField name="HispanicLatino" numFmtId="0">
      <sharedItems count="2">
        <s v="No"/>
        <s v="Yes"/>
      </sharedItems>
    </cacheField>
    <cacheField name="CitizenDesc" numFmtId="0">
      <sharedItems/>
    </cacheField>
    <cacheField name="RaceDescription" numFmtId="0">
      <sharedItems/>
    </cacheField>
    <cacheField name="DateofHire" numFmtId="14">
      <sharedItems containsSemiMixedTypes="0" containsNonDate="0" containsDate="1" containsString="0" minDate="2006-01-09T00:00:00" maxDate="2025-12-09T00:00:00" count="564">
        <d v="2011-07-05T00:00:00"/>
        <d v="2015-03-30T00:00:00"/>
        <d v="2008-01-07T00:00:00"/>
        <d v="2011-07-11T00:00:00"/>
        <d v="2012-01-09T00:00:00"/>
        <d v="2014-11-10T00:00:00"/>
        <d v="2013-09-30T00:00:00"/>
        <d v="2009-07-06T00:00:00"/>
        <d v="2015-01-05T00:00:00"/>
        <d v="2011-01-10T00:00:00"/>
        <d v="2012-04-02T00:00:00"/>
        <d v="2012-02-20T00:00:00"/>
        <d v="2012-09-24T00:00:00"/>
        <d v="2011-02-21T00:00:00"/>
        <d v="2016-07-21T00:00:00"/>
        <d v="2011-04-04T00:00:00"/>
        <d v="2014-07-07T00:00:00"/>
        <d v="2013-08-19T00:00:00"/>
        <d v="2014-02-17T00:00:00"/>
        <d v="2015-02-16T00:00:00"/>
        <d v="2008-10-27T00:00:00"/>
        <d v="2013-11-11T00:00:00"/>
        <d v="2011-08-15T00:00:00"/>
        <d v="2012-03-05T00:00:00"/>
        <d v="2016-01-28T00:00:00"/>
        <d v="2014-03-31T00:00:00"/>
        <d v="2016-06-30T00:00:00"/>
        <d v="2014-08-18T00:00:00"/>
        <d v="2014-09-29T00:00:00"/>
        <d v="2016-09-06T00:00:00"/>
        <d v="2014-05-12T00:00:00"/>
        <d v="2012-05-14T00:00:00"/>
        <d v="2011-06-27T00:00:00"/>
        <d v="2011-10-03T00:00:00"/>
        <d v="2012-09-05T00:00:00"/>
        <d v="2011-05-16T00:00:00"/>
        <d v="2010-08-30T00:00:00"/>
        <d v="2016-07-06T00:00:00"/>
        <d v="2013-07-08T00:00:00"/>
        <d v="2010-07-20T00:00:00"/>
        <d v="2009-01-05T00:00:00"/>
        <d v="2014-05-05T00:00:00"/>
        <d v="2012-07-02T00:00:00"/>
        <d v="2011-11-07T00:00:00"/>
        <d v="2018-07-09T00:00:00"/>
        <d v="2017-02-15T00:00:00"/>
        <d v="2013-01-07T00:00:00"/>
        <d v="2014-01-05T00:00:00"/>
        <d v="2014-09-18T00:00:00"/>
        <d v="2010-04-26T00:00:00"/>
        <d v="2011-05-02T00:00:00"/>
        <d v="2015-05-11T00:00:00"/>
        <d v="2011-04-15T00:00:00"/>
        <d v="2011-09-06T00:00:00"/>
        <d v="2010-05-01T00:00:00"/>
        <d v="2015-06-02T00:00:00"/>
        <d v="2017-04-20T00:00:00"/>
        <d v="2012-03-07T00:00:00"/>
        <d v="2011-11-28T00:00:00"/>
        <d v="2012-08-13T00:00:00"/>
        <d v="2016-06-06T00:00:00"/>
        <d v="2012-11-05T00:00:00"/>
        <d v="2014-01-06T00:00:00"/>
        <d v="2011-09-26T00:00:00"/>
        <d v="2011-03-07T00:00:00"/>
        <d v="2012-07-09T00:00:00"/>
        <d v="2016-10-02T00:00:00"/>
        <d v="2016-01-05T00:00:00"/>
        <d v="2012-04-30T00:00:00"/>
        <d v="2011-01-21T00:00:00"/>
        <d v="2011-05-31T00:00:00"/>
        <d v="2012-08-16T00:00:00"/>
        <d v="2012-02-15T00:00:00"/>
        <d v="2013-05-13T00:00:00"/>
        <d v="2013-04-01T00:00:00"/>
        <d v="2017-02-10T00:00:00"/>
        <d v="2011-02-07T00:00:00"/>
        <d v="2014-12-01T00:00:00"/>
        <d v="2010-10-25T00:00:00"/>
        <d v="2007-11-05T00:00:00"/>
        <d v="2017-01-07T00:00:00"/>
        <d v="2013-01-20T00:00:00"/>
        <d v="2016-07-04T00:00:00"/>
        <d v="2014-09-30T00:00:00"/>
        <d v="2015-05-01T00:00:00"/>
        <d v="2009-10-26T00:00:00"/>
        <d v="2014-05-18T00:00:00"/>
        <d v="2011-06-10T00:00:00"/>
        <d v="2012-10-02T00:00:00"/>
        <d v="2010-09-27T00:00:00"/>
        <d v="2009-01-08T00:00:00"/>
        <d v="2009-04-27T00:00:00"/>
        <d v="2007-06-25T00:00:00"/>
        <d v="2013-02-18T00:00:00"/>
        <d v="2006-01-09T00:00:00"/>
        <d v="2011-08-01T00:00:00"/>
        <d v="2015-07-05T00:00:00"/>
        <d v="2008-09-02T00:00:00"/>
        <d v="2010-04-10T00:00:00"/>
        <d v="2021-02-10T00:00:00"/>
        <d v="2020-09-02T00:00:00"/>
        <d v="2021-04-20T00:00:00"/>
        <d v="2020-11-14T00:00:00"/>
        <d v="2019-04-08T00:00:00"/>
        <d v="2025-10-14T00:00:00"/>
        <d v="2017-10-28T00:00:00"/>
        <d v="2021-04-08T00:00:00"/>
        <d v="2024-02-07T00:00:00"/>
        <d v="2016-02-03T00:00:00"/>
        <d v="2020-08-15T00:00:00"/>
        <d v="2024-10-05T00:00:00"/>
        <d v="2021-02-07T00:00:00"/>
        <d v="2018-11-23T00:00:00"/>
        <d v="2015-12-17T00:00:00"/>
        <d v="2025-02-19T00:00:00"/>
        <d v="2017-04-04T00:00:00"/>
        <d v="2025-10-05T00:00:00"/>
        <d v="2020-05-02T00:00:00"/>
        <d v="2020-12-21T00:00:00"/>
        <d v="2025-01-05T00:00:00"/>
        <d v="2021-10-18T00:00:00"/>
        <d v="2019-07-23T00:00:00"/>
        <d v="2022-02-03T00:00:00"/>
        <d v="2017-10-26T00:00:00"/>
        <d v="2019-10-06T00:00:00"/>
        <d v="2020-10-09T00:00:00"/>
        <d v="2022-06-14T00:00:00"/>
        <d v="2019-10-11T00:00:00"/>
        <d v="2024-11-09T00:00:00"/>
        <d v="2020-09-23T00:00:00"/>
        <d v="2024-05-09T00:00:00"/>
        <d v="2020-03-29T00:00:00"/>
        <d v="2018-09-15T00:00:00"/>
        <d v="2021-03-23T00:00:00"/>
        <d v="2016-07-02T00:00:00"/>
        <d v="2020-04-13T00:00:00"/>
        <d v="2018-11-24T00:00:00"/>
        <d v="2021-09-29T00:00:00"/>
        <d v="2016-11-03T00:00:00"/>
        <d v="2023-11-04T00:00:00"/>
        <d v="2024-09-22T00:00:00"/>
        <d v="2021-10-11T00:00:00"/>
        <d v="2019-10-03T00:00:00"/>
        <d v="2018-01-23T00:00:00"/>
        <d v="2021-09-13T00:00:00"/>
        <d v="2018-10-19T00:00:00"/>
        <d v="2018-02-15T00:00:00"/>
        <d v="2021-09-26T00:00:00"/>
        <d v="2024-02-22T00:00:00"/>
        <d v="2020-06-09T00:00:00"/>
        <d v="2022-03-08T00:00:00"/>
        <d v="2018-08-10T00:00:00"/>
        <d v="2022-11-07T00:00:00"/>
        <d v="2021-02-03T00:00:00"/>
        <d v="2024-08-13T00:00:00"/>
        <d v="2019-03-29T00:00:00"/>
        <d v="2022-07-05T00:00:00"/>
        <d v="2016-09-04T00:00:00"/>
        <d v="2018-01-04T00:00:00"/>
        <d v="2025-03-10T00:00:00"/>
        <d v="2019-07-08T00:00:00"/>
        <d v="2022-07-08T00:00:00"/>
        <d v="2023-06-02T00:00:00"/>
        <d v="2024-08-30T00:00:00"/>
        <d v="2022-09-12T00:00:00"/>
        <d v="2023-04-13T00:00:00"/>
        <d v="2019-10-19T00:00:00"/>
        <d v="2023-07-29T00:00:00"/>
        <d v="2025-10-28T00:00:00"/>
        <d v="2022-07-28T00:00:00"/>
        <d v="2016-01-26T00:00:00"/>
        <d v="2020-10-23T00:00:00"/>
        <d v="2018-04-23T00:00:00"/>
        <d v="2016-02-19T00:00:00"/>
        <d v="2016-12-01T00:00:00"/>
        <d v="2018-06-04T00:00:00"/>
        <d v="2019-07-26T00:00:00"/>
        <d v="2019-06-29T00:00:00"/>
        <d v="2019-10-22T00:00:00"/>
        <d v="2016-12-26T00:00:00"/>
        <d v="2016-01-10T00:00:00"/>
        <d v="2023-04-22T00:00:00"/>
        <d v="2020-09-05T00:00:00"/>
        <d v="2017-05-11T00:00:00"/>
        <d v="2024-09-19T00:00:00"/>
        <d v="2021-03-03T00:00:00"/>
        <d v="2019-08-13T00:00:00"/>
        <d v="2025-09-29T00:00:00"/>
        <d v="2022-04-14T00:00:00"/>
        <d v="2025-02-26T00:00:00"/>
        <d v="2025-05-23T00:00:00"/>
        <d v="2020-12-14T00:00:00"/>
        <d v="2018-04-06T00:00:00"/>
        <d v="2018-03-01T00:00:00"/>
        <d v="2016-08-10T00:00:00"/>
        <d v="2016-10-23T00:00:00"/>
        <d v="2024-03-03T00:00:00"/>
        <d v="2022-03-11T00:00:00"/>
        <d v="2018-10-01T00:00:00"/>
        <d v="2025-10-21T00:00:00"/>
        <d v="2024-03-18T00:00:00"/>
        <d v="2024-05-12T00:00:00"/>
        <d v="2019-08-08T00:00:00"/>
        <d v="2018-04-17T00:00:00"/>
        <d v="2022-12-29T00:00:00"/>
        <d v="2025-11-01T00:00:00"/>
        <d v="2018-10-10T00:00:00"/>
        <d v="2022-07-03T00:00:00"/>
        <d v="2021-08-31T00:00:00"/>
        <d v="2022-07-13T00:00:00"/>
        <d v="2016-01-25T00:00:00"/>
        <d v="2020-11-11T00:00:00"/>
        <d v="2019-05-10T00:00:00"/>
        <d v="2018-10-15T00:00:00"/>
        <d v="2021-03-29T00:00:00"/>
        <d v="2023-10-26T00:00:00"/>
        <d v="2022-07-26T00:00:00"/>
        <d v="2020-12-03T00:00:00"/>
        <d v="2019-09-09T00:00:00"/>
        <d v="2022-05-02T00:00:00"/>
        <d v="2023-08-10T00:00:00"/>
        <d v="2017-03-24T00:00:00"/>
        <d v="2018-01-16T00:00:00"/>
        <d v="2024-03-11T00:00:00"/>
        <d v="2024-01-24T00:00:00"/>
        <d v="2019-12-08T00:00:00"/>
        <d v="2023-09-19T00:00:00"/>
        <d v="2025-07-29T00:00:00"/>
        <d v="2017-07-22T00:00:00"/>
        <d v="2017-09-07T00:00:00"/>
        <d v="2023-07-03T00:00:00"/>
        <d v="2016-01-15T00:00:00"/>
        <d v="2023-04-29T00:00:00"/>
        <d v="2023-07-27T00:00:00"/>
        <d v="2024-10-02T00:00:00"/>
        <d v="2015-11-12T00:00:00"/>
        <d v="2017-11-18T00:00:00"/>
        <d v="2019-02-10T00:00:00"/>
        <d v="2022-12-09T00:00:00"/>
        <d v="2017-01-17T00:00:00"/>
        <d v="2023-02-09T00:00:00"/>
        <d v="2018-12-20T00:00:00"/>
        <d v="2019-02-02T00:00:00"/>
        <d v="2021-04-27T00:00:00"/>
        <d v="2017-06-20T00:00:00"/>
        <d v="2018-03-31T00:00:00"/>
        <d v="2020-03-02T00:00:00"/>
        <d v="2022-08-06T00:00:00"/>
        <d v="2023-10-30T00:00:00"/>
        <d v="2023-04-19T00:00:00"/>
        <d v="2019-01-21T00:00:00"/>
        <d v="2016-05-14T00:00:00"/>
        <d v="2023-03-08T00:00:00"/>
        <d v="2017-06-03T00:00:00"/>
        <d v="2017-02-13T00:00:00"/>
        <d v="2022-01-26T00:00:00"/>
        <d v="2015-12-13T00:00:00"/>
        <d v="2018-10-25T00:00:00"/>
        <d v="2024-08-07T00:00:00"/>
        <d v="2024-11-08T00:00:00"/>
        <d v="2022-11-30T00:00:00"/>
        <d v="2016-07-13T00:00:00"/>
        <d v="2018-03-06T00:00:00"/>
        <d v="2025-03-28T00:00:00"/>
        <d v="2019-07-02T00:00:00"/>
        <d v="2019-08-15T00:00:00"/>
        <d v="2016-08-07T00:00:00"/>
        <d v="2022-09-02T00:00:00"/>
        <d v="2021-12-23T00:00:00"/>
        <d v="2018-06-19T00:00:00"/>
        <d v="2024-02-10T00:00:00"/>
        <d v="2024-01-03T00:00:00"/>
        <d v="2021-07-16T00:00:00"/>
        <d v="2021-05-31T00:00:00"/>
        <d v="2016-06-28T00:00:00"/>
        <d v="2022-03-22T00:00:00"/>
        <d v="2019-02-03T00:00:00"/>
        <d v="2023-04-09T00:00:00"/>
        <d v="2021-11-05T00:00:00"/>
        <d v="2019-05-17T00:00:00"/>
        <d v="2023-12-19T00:00:00"/>
        <d v="2016-01-20T00:00:00"/>
        <d v="2020-08-26T00:00:00"/>
        <d v="2023-01-06T00:00:00"/>
        <d v="2022-08-09T00:00:00"/>
        <d v="2016-05-15T00:00:00"/>
        <d v="2025-01-19T00:00:00"/>
        <d v="2019-08-26T00:00:00"/>
        <d v="2020-07-01T00:00:00"/>
        <d v="2022-01-04T00:00:00"/>
        <d v="2023-10-23T00:00:00"/>
        <d v="2021-05-18T00:00:00"/>
        <d v="2020-07-02T00:00:00"/>
        <d v="2017-12-11T00:00:00"/>
        <d v="2020-12-28T00:00:00"/>
        <d v="2025-04-06T00:00:00"/>
        <d v="2022-06-26T00:00:00"/>
        <d v="2021-06-15T00:00:00"/>
        <d v="2025-10-07T00:00:00"/>
        <d v="2021-12-16T00:00:00"/>
        <d v="2019-10-15T00:00:00"/>
        <d v="2024-01-26T00:00:00"/>
        <d v="2020-05-14T00:00:00"/>
        <d v="2016-01-18T00:00:00"/>
        <d v="2024-02-29T00:00:00"/>
        <d v="2023-05-12T00:00:00"/>
        <d v="2019-12-19T00:00:00"/>
        <d v="2022-02-11T00:00:00"/>
        <d v="2018-08-31T00:00:00"/>
        <d v="2017-07-11T00:00:00"/>
        <d v="2025-05-14T00:00:00"/>
        <d v="2019-01-01T00:00:00"/>
        <d v="2022-05-14T00:00:00"/>
        <d v="2016-11-13T00:00:00"/>
        <d v="2016-08-14T00:00:00"/>
        <d v="2020-07-08T00:00:00"/>
        <d v="2016-08-08T00:00:00"/>
        <d v="2021-11-26T00:00:00"/>
        <d v="2016-09-08T00:00:00"/>
        <d v="2017-09-16T00:00:00"/>
        <d v="2023-06-26T00:00:00"/>
        <d v="2016-06-07T00:00:00"/>
        <d v="2015-11-13T00:00:00"/>
        <d v="2018-04-12T00:00:00"/>
        <d v="2022-02-09T00:00:00"/>
        <d v="2020-03-23T00:00:00"/>
        <d v="2018-08-18T00:00:00"/>
        <d v="2019-09-28T00:00:00"/>
        <d v="2025-06-04T00:00:00"/>
        <d v="2019-12-04T00:00:00"/>
        <d v="2018-03-03T00:00:00"/>
        <d v="2021-01-29T00:00:00"/>
        <d v="2019-11-10T00:00:00"/>
        <d v="2016-04-05T00:00:00"/>
        <d v="2016-06-08T00:00:00"/>
        <d v="2016-04-03T00:00:00"/>
        <d v="2024-05-23T00:00:00"/>
        <d v="2022-08-11T00:00:00"/>
        <d v="2022-01-16T00:00:00"/>
        <d v="2025-12-08T00:00:00"/>
        <d v="2018-04-08T00:00:00"/>
        <d v="2024-02-02T00:00:00"/>
        <d v="2017-08-27T00:00:00"/>
        <d v="2021-06-13T00:00:00"/>
        <d v="2024-08-18T00:00:00"/>
        <d v="2025-03-14T00:00:00"/>
        <d v="2019-03-13T00:00:00"/>
        <d v="2019-02-26T00:00:00"/>
        <d v="2017-03-21T00:00:00"/>
        <d v="2022-07-27T00:00:00"/>
        <d v="2021-01-17T00:00:00"/>
        <d v="2023-04-04T00:00:00"/>
        <d v="2020-04-28T00:00:00"/>
        <d v="2016-07-24T00:00:00"/>
        <d v="2024-10-11T00:00:00"/>
        <d v="2020-01-20T00:00:00"/>
        <d v="2018-04-10T00:00:00"/>
        <d v="2019-12-07T00:00:00"/>
        <d v="2024-11-26T00:00:00"/>
        <d v="2022-05-27T00:00:00"/>
        <d v="2020-01-21T00:00:00"/>
        <d v="2022-12-16T00:00:00"/>
        <d v="2016-11-17T00:00:00"/>
        <d v="2017-11-06T00:00:00"/>
        <d v="2019-03-27T00:00:00"/>
        <d v="2017-03-06T00:00:00"/>
        <d v="2017-08-22T00:00:00"/>
        <d v="2023-05-16T00:00:00"/>
        <d v="2023-06-16T00:00:00"/>
        <d v="2019-06-19T00:00:00"/>
        <d v="2020-12-08T00:00:00"/>
        <d v="2021-12-29T00:00:00"/>
        <d v="2015-11-26T00:00:00"/>
        <d v="2024-06-30T00:00:00"/>
        <d v="2017-03-14T00:00:00"/>
        <d v="2016-09-14T00:00:00"/>
        <d v="2020-06-19T00:00:00"/>
        <d v="2019-12-12T00:00:00"/>
        <d v="2022-06-11T00:00:00"/>
        <d v="2025-01-11T00:00:00"/>
        <d v="2022-05-03T00:00:00"/>
        <d v="2024-04-11T00:00:00"/>
        <d v="2023-08-27T00:00:00"/>
        <d v="2020-08-24T00:00:00"/>
        <d v="2018-01-21T00:00:00"/>
        <d v="2024-04-15T00:00:00"/>
        <d v="2021-10-15T00:00:00"/>
        <d v="2021-06-29T00:00:00"/>
        <d v="2021-04-09T00:00:00"/>
        <d v="2025-02-05T00:00:00"/>
        <d v="2017-03-10T00:00:00"/>
        <d v="2017-01-02T00:00:00"/>
        <d v="2020-03-19T00:00:00"/>
        <d v="2025-03-29T00:00:00"/>
        <d v="2025-09-08T00:00:00"/>
        <d v="2024-12-26T00:00:00"/>
        <d v="2017-12-15T00:00:00"/>
        <d v="2017-12-09T00:00:00"/>
        <d v="2024-05-07T00:00:00"/>
        <d v="2021-09-20T00:00:00"/>
        <d v="2022-10-27T00:00:00"/>
        <d v="2019-11-25T00:00:00"/>
        <d v="2017-05-30T00:00:00"/>
        <d v="2016-02-01T00:00:00"/>
        <d v="2018-01-15T00:00:00"/>
        <d v="2022-05-28T00:00:00"/>
        <d v="2015-06-12T00:00:00"/>
        <d v="2017-05-15T00:00:00"/>
        <d v="2019-03-10T00:00:00"/>
        <d v="2016-06-26T00:00:00"/>
        <d v="2017-11-02T00:00:00"/>
        <d v="2018-04-02T00:00:00"/>
        <d v="2018-10-31T00:00:00"/>
        <d v="2015-12-14T00:00:00"/>
        <d v="2020-12-31T00:00:00"/>
        <d v="2021-03-27T00:00:00"/>
        <d v="2024-10-13T00:00:00"/>
        <d v="2024-12-13T00:00:00"/>
        <d v="2022-12-23T00:00:00"/>
        <d v="2018-05-02T00:00:00"/>
        <d v="2022-07-02T00:00:00"/>
        <d v="2016-08-03T00:00:00"/>
        <d v="2021-08-23T00:00:00"/>
        <d v="2018-03-19T00:00:00"/>
        <d v="2021-10-07T00:00:00"/>
        <d v="2016-03-13T00:00:00"/>
        <d v="2022-02-20T00:00:00"/>
        <d v="2019-07-01T00:00:00"/>
        <d v="2018-08-20T00:00:00"/>
        <d v="2021-04-17T00:00:00"/>
        <d v="2024-02-16T00:00:00"/>
        <d v="2022-10-09T00:00:00"/>
        <d v="2025-06-22T00:00:00"/>
        <d v="2023-10-19T00:00:00"/>
        <d v="2017-08-31T00:00:00"/>
        <d v="2016-05-16T00:00:00"/>
        <d v="2022-04-11T00:00:00"/>
        <d v="2022-05-20T00:00:00"/>
        <d v="2023-10-15T00:00:00"/>
        <d v="2018-01-11T00:00:00"/>
        <d v="2020-07-31T00:00:00"/>
        <d v="2018-04-18T00:00:00"/>
        <d v="2015-11-29T00:00:00"/>
        <d v="2020-12-15T00:00:00"/>
        <d v="2020-03-13T00:00:00"/>
        <d v="2025-01-20T00:00:00"/>
        <d v="2016-04-14T00:00:00"/>
        <d v="2016-11-27T00:00:00"/>
        <d v="2020-11-26T00:00:00"/>
        <d v="2023-12-01T00:00:00"/>
        <d v="2018-09-11T00:00:00"/>
        <d v="2022-08-31T00:00:00"/>
        <d v="2016-06-18T00:00:00"/>
        <d v="2020-09-17T00:00:00"/>
        <d v="2022-10-06T00:00:00"/>
        <d v="2019-03-14T00:00:00"/>
        <d v="2021-07-25T00:00:00"/>
        <d v="2019-06-04T00:00:00"/>
        <d v="2025-02-03T00:00:00"/>
        <d v="2016-09-15T00:00:00"/>
        <d v="2016-12-11T00:00:00"/>
        <d v="2025-10-18T00:00:00"/>
        <d v="2023-11-12T00:00:00"/>
        <d v="2018-01-12T00:00:00"/>
        <d v="2023-06-27T00:00:00"/>
        <d v="2016-10-07T00:00:00"/>
        <d v="2024-04-09T00:00:00"/>
        <d v="2020-01-31T00:00:00"/>
        <d v="2021-04-12T00:00:00"/>
        <d v="2023-01-17T00:00:00"/>
        <d v="2025-03-22T00:00:00"/>
        <d v="2018-09-13T00:00:00"/>
        <d v="2024-06-29T00:00:00"/>
        <d v="2016-04-01T00:00:00"/>
        <d v="2023-09-18T00:00:00"/>
        <d v="2025-07-09T00:00:00"/>
        <d v="2024-04-20T00:00:00"/>
        <d v="2018-06-28T00:00:00"/>
        <d v="2024-11-17T00:00:00"/>
        <d v="2022-10-07T00:00:00"/>
        <d v="2022-07-21T00:00:00"/>
        <d v="2025-04-08T00:00:00"/>
        <d v="2021-10-01T00:00:00"/>
        <d v="2025-10-31T00:00:00"/>
        <d v="2019-07-03T00:00:00"/>
        <d v="2023-11-18T00:00:00"/>
        <d v="2016-08-20T00:00:00"/>
        <d v="2016-10-20T00:00:00"/>
        <d v="2024-11-28T00:00:00"/>
        <d v="2019-03-16T00:00:00"/>
        <d v="2019-01-28T00:00:00"/>
        <d v="2022-05-17T00:00:00"/>
        <d v="2018-08-16T00:00:00"/>
        <d v="2019-08-06T00:00:00"/>
        <d v="2025-05-19T00:00:00"/>
        <d v="2023-03-06T00:00:00"/>
        <d v="2016-05-26T00:00:00"/>
        <d v="2024-04-21T00:00:00"/>
        <d v="2022-10-25T00:00:00"/>
        <d v="2019-01-14T00:00:00"/>
        <d v="2017-10-31T00:00:00"/>
        <d v="2018-11-16T00:00:00"/>
        <d v="2023-06-15T00:00:00"/>
        <d v="2025-08-23T00:00:00"/>
        <d v="2021-08-07T00:00:00"/>
        <d v="2017-01-18T00:00:00"/>
        <d v="2016-06-25T00:00:00"/>
        <d v="2024-05-25T00:00:00"/>
        <d v="2018-05-15T00:00:00"/>
        <d v="2019-03-24T00:00:00"/>
        <d v="2021-11-21T00:00:00"/>
        <d v="2018-07-21T00:00:00"/>
        <d v="2017-07-29T00:00:00"/>
        <d v="2025-05-10T00:00:00"/>
        <d v="2022-06-03T00:00:00"/>
        <d v="2024-04-04T00:00:00"/>
        <d v="2023-03-02T00:00:00"/>
        <d v="2016-07-23T00:00:00"/>
        <d v="2023-10-01T00:00:00"/>
        <d v="2024-04-10T00:00:00"/>
        <d v="2017-06-24T00:00:00"/>
        <d v="2022-06-29T00:00:00"/>
        <d v="2016-03-28T00:00:00"/>
        <d v="2019-01-24T00:00:00"/>
        <d v="2022-12-17T00:00:00"/>
        <d v="2020-09-07T00:00:00"/>
        <d v="2021-03-07T00:00:00"/>
        <d v="2018-12-18T00:00:00"/>
        <d v="2019-11-18T00:00:00"/>
        <d v="2021-01-28T00:00:00"/>
        <d v="2018-06-01T00:00:00"/>
        <d v="2016-01-30T00:00:00"/>
        <d v="2016-04-19T00:00:00"/>
        <d v="2018-10-28T00:00:00"/>
        <d v="2023-10-12T00:00:00"/>
        <d v="2019-06-05T00:00:00"/>
        <d v="2023-07-25T00:00:00"/>
        <d v="2024-06-14T00:00:00"/>
        <d v="2017-09-18T00:00:00"/>
        <d v="2025-01-04T00:00:00"/>
        <d v="2018-07-02T00:00:00"/>
        <d v="2016-08-21T00:00:00"/>
        <d v="2022-01-30T00:00:00"/>
        <d v="2016-09-19T00:00:00"/>
        <d v="2025-09-18T00:00:00"/>
        <d v="2018-11-14T00:00:00"/>
        <d v="2023-04-07T00:00:00"/>
        <d v="2022-03-18T00:00:00"/>
        <d v="2016-02-25T00:00:00"/>
        <d v="2023-03-28T00:00:00"/>
        <d v="2024-12-16T00:00:00"/>
        <d v="2024-04-25T00:00:00"/>
        <d v="2016-10-12T00:00:00"/>
        <d v="2019-04-17T00:00:00"/>
        <d v="2020-12-04T00:00:00"/>
        <d v="2017-01-23T00:00:00"/>
        <d v="2018-05-31T00:00:00"/>
        <d v="2017-11-23T00:00:00"/>
        <d v="2018-02-11T00:00:00"/>
        <d v="2018-03-02T00:00:00"/>
        <d v="2025-02-24T00:00:00"/>
        <d v="2023-12-22T00:00:00"/>
        <d v="2021-12-11T00:00:00"/>
        <d v="2022-05-06T00:00:00"/>
      </sharedItems>
      <fieldGroup par="35"/>
    </cacheField>
    <cacheField name="DateofTermination" numFmtId="164">
      <sharedItems/>
    </cacheField>
    <cacheField name="Termd" numFmtId="0">
      <sharedItems containsSemiMixedTypes="0" containsString="0" containsNumber="1" containsInteger="1" minValue="0" maxValue="1" count="2">
        <n v="0"/>
        <n v="1"/>
      </sharedItems>
    </cacheField>
    <cacheField name="TermReason" numFmtId="0">
      <sharedItems count="23">
        <s v="N/A-Stillemployed"/>
        <s v="Career Change"/>
        <s v="Hours"/>
        <s v="Return To School"/>
        <s v="Another Position"/>
        <s v="Unhappy"/>
        <s v="Attendance"/>
        <s v="Performance"/>
        <s v="Learned That He Is A Gangster"/>
        <s v="Retiring"/>
        <s v="Relocation Out Of Area"/>
        <s v="More Money"/>
        <s v="Military"/>
        <s v="No-Call, No-Show"/>
        <s v="Fatal Attraction"/>
        <s v="Maternity Leave - Did Not Return"/>
        <s v="Medical Issues"/>
        <s v="Gross Misconduct"/>
        <s v="Layoff"/>
        <s v="Active"/>
        <s v="Terminated"/>
        <s v="Retired"/>
        <s v="Resigned"/>
      </sharedItems>
    </cacheField>
    <cacheField name="EmpStatusID" numFmtId="0">
      <sharedItems containsSemiMixedTypes="0" containsString="0" containsNumber="1" containsInteger="1" minValue="1" maxValue="5"/>
    </cacheField>
    <cacheField name="EmploymentStatus" numFmtId="0">
      <sharedItems count="3">
        <s v="Active"/>
        <s v="Voluntarily Terminated"/>
        <s v="Terminated for Cause"/>
      </sharedItems>
    </cacheField>
    <cacheField name="FromDiversityJobFairID" numFmtId="0">
      <sharedItems containsSemiMixedTypes="0" containsString="0" containsNumber="1" containsInteger="1" minValue="0" maxValue="1"/>
    </cacheField>
    <cacheField name="RecruitmentSource" numFmtId="0">
      <sharedItems count="11">
        <s v="LinkedIn"/>
        <s v="Indeed"/>
        <s v="Google Search"/>
        <s v="Employee Referral"/>
        <s v="Diversity Job Fair"/>
        <s v="On-line Web application"/>
        <s v="CareerBuilder"/>
        <s v="Website"/>
        <s v="Other"/>
        <s v="Agency"/>
        <s v="Referral"/>
      </sharedItems>
    </cacheField>
    <cacheField name="PerfScoreID" numFmtId="0">
      <sharedItems containsSemiMixedTypes="0" containsString="0" containsNumber="1" containsInteger="1" minValue="1" maxValue="4"/>
    </cacheField>
    <cacheField name="PerformanceScore" numFmtId="0">
      <sharedItems/>
    </cacheField>
    <cacheField name="EngagementSurvey" numFmtId="0">
      <sharedItems containsSemiMixedTypes="0" containsString="0" containsNumber="1" minValue="1.1200000000000001" maxValue="5"/>
    </cacheField>
    <cacheField name="EmployeSatisfaction" numFmtId="0">
      <sharedItems/>
    </cacheField>
    <cacheField name="SpecialProjects" numFmtId="0">
      <sharedItems containsSemiMixedTypes="0" containsString="0" containsNumber="1" containsInteger="1" minValue="0" maxValue="8"/>
    </cacheField>
    <cacheField name="LastPerformanceReview" numFmtId="14">
      <sharedItems containsSemiMixedTypes="0" containsNonDate="0" containsDate="1" containsString="0" minDate="2010-07-14T00:00:00" maxDate="2025-12-11T00:00:00"/>
    </cacheField>
    <cacheField name="LateDaysLast30" numFmtId="0">
      <sharedItems containsSemiMixedTypes="0" containsString="0" containsNumber="1" containsInteger="1" minValue="0" maxValue="6"/>
    </cacheField>
    <cacheField name="Leaves" numFmtId="0">
      <sharedItems containsSemiMixedTypes="0" containsString="0" containsNumber="1" containsInteger="1" minValue="0" maxValue="20"/>
    </cacheField>
    <cacheField name="Months (DateofHire)" numFmtId="0" databaseField="0">
      <fieldGroup base="17">
        <rangePr groupBy="months" startDate="2006-01-09T00:00:00" endDate="2025-12-09T00:00:00"/>
        <groupItems count="14">
          <s v="&lt;09-01-2006"/>
          <s v="Jan"/>
          <s v="Feb"/>
          <s v="Mar"/>
          <s v="Apr"/>
          <s v="May"/>
          <s v="Jun"/>
          <s v="Jul"/>
          <s v="Aug"/>
          <s v="Sep"/>
          <s v="Oct"/>
          <s v="Nov"/>
          <s v="Dec"/>
          <s v="&gt;09-12-2025"/>
        </groupItems>
      </fieldGroup>
    </cacheField>
    <cacheField name="Quarters (DateofHire)" numFmtId="0" databaseField="0">
      <fieldGroup base="17">
        <rangePr groupBy="quarters" startDate="2006-01-09T00:00:00" endDate="2025-12-09T00:00:00"/>
        <groupItems count="6">
          <s v="&lt;09-01-2006"/>
          <s v="Qtr1"/>
          <s v="Qtr2"/>
          <s v="Qtr3"/>
          <s v="Qtr4"/>
          <s v="&gt;09-12-2025"/>
        </groupItems>
      </fieldGroup>
    </cacheField>
    <cacheField name="Years (DateofHire)" numFmtId="0" databaseField="0">
      <fieldGroup base="17">
        <rangePr groupBy="years" startDate="2006-01-09T00:00:00" endDate="2025-12-09T00:00:00"/>
        <groupItems count="22">
          <s v="&lt;09-01-2006"/>
          <s v="2006"/>
          <s v="2007"/>
          <s v="2008"/>
          <s v="2009"/>
          <s v="2010"/>
          <s v="2011"/>
          <s v="2012"/>
          <s v="2013"/>
          <s v="2014"/>
          <s v="2015"/>
          <s v="2016"/>
          <s v="2017"/>
          <s v="2018"/>
          <s v="2019"/>
          <s v="2020"/>
          <s v="2021"/>
          <s v="2022"/>
          <s v="2023"/>
          <s v="2024"/>
          <s v="2025"/>
          <s v="&gt;09-12-2025"/>
        </groupItems>
      </fieldGroup>
    </cacheField>
  </cacheFields>
  <extLst>
    <ext xmlns:x14="http://schemas.microsoft.com/office/spreadsheetml/2009/9/main" uri="{725AE2AE-9491-48be-B2B4-4EB974FC3084}">
      <x14:pivotCacheDefinition pivotCacheId="1718533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3">
  <r>
    <n v="10026"/>
    <s v="Wilson Adinolfi"/>
    <x v="0"/>
    <x v="0"/>
    <x v="0"/>
    <x v="0"/>
    <x v="0"/>
    <x v="0"/>
    <n v="62506"/>
    <x v="0"/>
    <d v="1983-07-10T00:00:00"/>
    <x v="0"/>
    <x v="0"/>
    <n v="1960"/>
    <x v="0"/>
    <s v="US Citizen"/>
    <s v="White"/>
    <x v="0"/>
    <s v="Not Terminated"/>
    <x v="0"/>
    <x v="0"/>
    <n v="1"/>
    <x v="0"/>
    <n v="0"/>
    <x v="0"/>
    <n v="4"/>
    <s v="Exceeds"/>
    <n v="4.5999999999999996"/>
    <s v="Very Satisfied"/>
    <n v="0"/>
    <d v="2019-01-17T00:00:00"/>
    <n v="0"/>
    <n v="1"/>
  </r>
  <r>
    <n v="10084"/>
    <s v="Karthikeyan Ait Sidi"/>
    <x v="1"/>
    <x v="1"/>
    <x v="0"/>
    <x v="1"/>
    <x v="1"/>
    <x v="1"/>
    <n v="104437"/>
    <x v="1"/>
    <d v="1975-05-05T00:00:00"/>
    <x v="0"/>
    <x v="0"/>
    <n v="2148"/>
    <x v="0"/>
    <s v="US Citizen"/>
    <s v="White"/>
    <x v="1"/>
    <s v="2016-06-16"/>
    <x v="1"/>
    <x v="1"/>
    <n v="5"/>
    <x v="1"/>
    <n v="0"/>
    <x v="1"/>
    <n v="3"/>
    <s v="Fully Meets"/>
    <n v="4.96"/>
    <s v="Neutral"/>
    <n v="6"/>
    <d v="2016-02-24T00:00:00"/>
    <n v="0"/>
    <n v="17"/>
  </r>
  <r>
    <n v="10196"/>
    <s v="Sarah Akinkuolie"/>
    <x v="1"/>
    <x v="1"/>
    <x v="1"/>
    <x v="0"/>
    <x v="2"/>
    <x v="2"/>
    <n v="64955"/>
    <x v="2"/>
    <d v="1988-09-19T00:00:00"/>
    <x v="1"/>
    <x v="0"/>
    <n v="1810"/>
    <x v="0"/>
    <s v="US Citizen"/>
    <s v="White"/>
    <x v="0"/>
    <s v="2012-09-24"/>
    <x v="1"/>
    <x v="2"/>
    <n v="5"/>
    <x v="1"/>
    <n v="0"/>
    <x v="0"/>
    <n v="3"/>
    <s v="Fully Meets"/>
    <n v="3.02"/>
    <s v="Neutral"/>
    <n v="0"/>
    <d v="2012-05-15T00:00:00"/>
    <n v="0"/>
    <n v="3"/>
  </r>
  <r>
    <n v="10088"/>
    <s v="Trina Alagbe"/>
    <x v="1"/>
    <x v="1"/>
    <x v="1"/>
    <x v="0"/>
    <x v="0"/>
    <x v="3"/>
    <n v="64991"/>
    <x v="3"/>
    <d v="1988-09-27T00:00:00"/>
    <x v="1"/>
    <x v="0"/>
    <n v="1886"/>
    <x v="0"/>
    <s v="US Citizen"/>
    <s v="White"/>
    <x v="2"/>
    <s v="Not Terminated"/>
    <x v="0"/>
    <x v="0"/>
    <n v="1"/>
    <x v="0"/>
    <n v="0"/>
    <x v="1"/>
    <n v="3"/>
    <s v="Fully Meets"/>
    <n v="4.84"/>
    <s v="Very Satisfied"/>
    <n v="0"/>
    <d v="2019-01-03T00:00:00"/>
    <n v="0"/>
    <n v="15"/>
  </r>
  <r>
    <n v="10069"/>
    <s v="Carol Anderson"/>
    <x v="0"/>
    <x v="2"/>
    <x v="1"/>
    <x v="0"/>
    <x v="0"/>
    <x v="4"/>
    <n v="50825"/>
    <x v="4"/>
    <d v="1989-09-08T00:00:00"/>
    <x v="1"/>
    <x v="0"/>
    <n v="2169"/>
    <x v="0"/>
    <s v="US Citizen"/>
    <s v="White"/>
    <x v="3"/>
    <s v="2016-09-06"/>
    <x v="1"/>
    <x v="3"/>
    <n v="5"/>
    <x v="1"/>
    <n v="0"/>
    <x v="2"/>
    <n v="3"/>
    <s v="Fully Meets"/>
    <n v="5"/>
    <s v="Satisfied"/>
    <n v="0"/>
    <d v="2016-02-01T00:00:00"/>
    <n v="0"/>
    <n v="2"/>
  </r>
  <r>
    <n v="10002"/>
    <s v="Linda Anderson"/>
    <x v="0"/>
    <x v="0"/>
    <x v="1"/>
    <x v="0"/>
    <x v="0"/>
    <x v="5"/>
    <n v="57568"/>
    <x v="5"/>
    <d v="1977-05-22T00:00:00"/>
    <x v="1"/>
    <x v="0"/>
    <n v="1844"/>
    <x v="0"/>
    <s v="US Citizen"/>
    <s v="White"/>
    <x v="4"/>
    <s v="Not Terminated"/>
    <x v="0"/>
    <x v="0"/>
    <n v="1"/>
    <x v="0"/>
    <n v="0"/>
    <x v="0"/>
    <n v="4"/>
    <s v="Exceeds"/>
    <n v="5"/>
    <s v="Very Satisfied"/>
    <n v="0"/>
    <d v="2019-01-07T00:00:00"/>
    <n v="0"/>
    <n v="15"/>
  </r>
  <r>
    <n v="10194"/>
    <s v="Colby Andreola"/>
    <x v="0"/>
    <x v="0"/>
    <x v="1"/>
    <x v="2"/>
    <x v="3"/>
    <x v="6"/>
    <n v="95660"/>
    <x v="6"/>
    <d v="1979-05-24T00:00:00"/>
    <x v="1"/>
    <x v="0"/>
    <n v="2110"/>
    <x v="0"/>
    <s v="US Citizen"/>
    <s v="White"/>
    <x v="5"/>
    <s v="Not Terminated"/>
    <x v="0"/>
    <x v="0"/>
    <n v="1"/>
    <x v="0"/>
    <n v="0"/>
    <x v="0"/>
    <n v="3"/>
    <s v="Fully Meets"/>
    <n v="3.04"/>
    <s v="Neutral"/>
    <n v="4"/>
    <d v="2019-01-02T00:00:00"/>
    <n v="0"/>
    <n v="19"/>
  </r>
  <r>
    <n v="10062"/>
    <s v="Sam Athwal"/>
    <x v="0"/>
    <x v="3"/>
    <x v="0"/>
    <x v="0"/>
    <x v="0"/>
    <x v="7"/>
    <n v="59365"/>
    <x v="7"/>
    <d v="1983-02-18T00:00:00"/>
    <x v="0"/>
    <x v="0"/>
    <n v="2199"/>
    <x v="0"/>
    <s v="US Citizen"/>
    <s v="White"/>
    <x v="6"/>
    <s v="Not Terminated"/>
    <x v="0"/>
    <x v="0"/>
    <n v="1"/>
    <x v="0"/>
    <n v="0"/>
    <x v="3"/>
    <n v="3"/>
    <s v="Fully Meets"/>
    <n v="5"/>
    <s v="Satisfied"/>
    <n v="0"/>
    <d v="2019-02-25T00:00:00"/>
    <n v="0"/>
    <n v="19"/>
  </r>
  <r>
    <n v="10114"/>
    <s v="Linda Bachiochi"/>
    <x v="0"/>
    <x v="0"/>
    <x v="1"/>
    <x v="0"/>
    <x v="0"/>
    <x v="8"/>
    <n v="47837"/>
    <x v="8"/>
    <d v="1970-02-11T00:00:00"/>
    <x v="1"/>
    <x v="0"/>
    <n v="1902"/>
    <x v="0"/>
    <s v="US Citizen"/>
    <s v="Black or African American"/>
    <x v="7"/>
    <s v="Not Terminated"/>
    <x v="0"/>
    <x v="0"/>
    <n v="3"/>
    <x v="0"/>
    <n v="1"/>
    <x v="4"/>
    <n v="3"/>
    <s v="Fully Meets"/>
    <n v="4.46"/>
    <s v="Neutral"/>
    <n v="0"/>
    <d v="2019-01-25T00:00:00"/>
    <n v="0"/>
    <n v="4"/>
  </r>
  <r>
    <n v="10250"/>
    <s v="Alejandro Bacong"/>
    <x v="0"/>
    <x v="2"/>
    <x v="0"/>
    <x v="1"/>
    <x v="4"/>
    <x v="9"/>
    <n v="50178"/>
    <x v="9"/>
    <d v="1988-01-07T00:00:00"/>
    <x v="0"/>
    <x v="0"/>
    <n v="1886"/>
    <x v="0"/>
    <s v="US Citizen"/>
    <s v="White"/>
    <x v="8"/>
    <s v="Not Terminated"/>
    <x v="0"/>
    <x v="0"/>
    <n v="1"/>
    <x v="0"/>
    <n v="0"/>
    <x v="1"/>
    <n v="3"/>
    <s v="Fully Meets"/>
    <n v="5"/>
    <s v="Very Satisfied"/>
    <n v="6"/>
    <d v="2019-02-18T00:00:00"/>
    <n v="0"/>
    <n v="16"/>
  </r>
  <r>
    <n v="10252"/>
    <s v="Rachael Baczenski"/>
    <x v="1"/>
    <x v="1"/>
    <x v="1"/>
    <x v="0"/>
    <x v="0"/>
    <x v="10"/>
    <n v="54670"/>
    <x v="10"/>
    <d v="1974-01-12T00:00:00"/>
    <x v="1"/>
    <x v="0"/>
    <n v="1902"/>
    <x v="1"/>
    <s v="US Citizen"/>
    <s v="Black or African American"/>
    <x v="9"/>
    <s v="2017-01-12"/>
    <x v="1"/>
    <x v="4"/>
    <n v="5"/>
    <x v="1"/>
    <n v="1"/>
    <x v="4"/>
    <n v="3"/>
    <s v="Fully Meets"/>
    <n v="4.2"/>
    <s v="Satisfied"/>
    <n v="0"/>
    <d v="2016-01-30T00:00:00"/>
    <n v="0"/>
    <n v="12"/>
  </r>
  <r>
    <n v="10242"/>
    <s v="Thomas Barbara"/>
    <x v="1"/>
    <x v="1"/>
    <x v="0"/>
    <x v="0"/>
    <x v="0"/>
    <x v="2"/>
    <n v="47211"/>
    <x v="11"/>
    <d v="1974-02-21T00:00:00"/>
    <x v="0"/>
    <x v="0"/>
    <n v="2062"/>
    <x v="1"/>
    <s v="US Citizen"/>
    <s v="Black or African American"/>
    <x v="10"/>
    <s v="2016-09-19"/>
    <x v="1"/>
    <x v="5"/>
    <n v="5"/>
    <x v="1"/>
    <n v="1"/>
    <x v="4"/>
    <n v="3"/>
    <s v="Fully Meets"/>
    <n v="4.2"/>
    <s v="Neutral"/>
    <n v="0"/>
    <d v="2016-05-06T00:00:00"/>
    <n v="0"/>
    <n v="15"/>
  </r>
  <r>
    <n v="10012"/>
    <s v="Hector Barbossa"/>
    <x v="0"/>
    <x v="2"/>
    <x v="0"/>
    <x v="1"/>
    <x v="5"/>
    <x v="1"/>
    <n v="92328"/>
    <x v="12"/>
    <d v="1988-07-04T00:00:00"/>
    <x v="0"/>
    <x v="1"/>
    <n v="78230"/>
    <x v="0"/>
    <s v="US Citizen"/>
    <s v="Black or African American"/>
    <x v="5"/>
    <s v="Not Terminated"/>
    <x v="0"/>
    <x v="0"/>
    <n v="1"/>
    <x v="0"/>
    <n v="1"/>
    <x v="4"/>
    <n v="4"/>
    <s v="Exceeds"/>
    <n v="4.28"/>
    <s v="Satisfied"/>
    <n v="5"/>
    <d v="2019-02-25T00:00:00"/>
    <n v="0"/>
    <n v="9"/>
  </r>
  <r>
    <n v="10265"/>
    <s v="Francesco Barone"/>
    <x v="0"/>
    <x v="0"/>
    <x v="0"/>
    <x v="0"/>
    <x v="0"/>
    <x v="11"/>
    <n v="58709"/>
    <x v="13"/>
    <d v="1983-07-20T00:00:00"/>
    <x v="0"/>
    <x v="0"/>
    <n v="1810"/>
    <x v="0"/>
    <s v="US Citizen"/>
    <s v="Two or more races"/>
    <x v="11"/>
    <s v="Not Terminated"/>
    <x v="0"/>
    <x v="0"/>
    <n v="1"/>
    <x v="0"/>
    <n v="0"/>
    <x v="2"/>
    <n v="3"/>
    <s v="Fully Meets"/>
    <n v="4.5999999999999996"/>
    <s v="Satisfied"/>
    <n v="0"/>
    <d v="2019-02-14T00:00:00"/>
    <n v="0"/>
    <n v="7"/>
  </r>
  <r>
    <n v="10066"/>
    <s v="Nader Barton"/>
    <x v="0"/>
    <x v="2"/>
    <x v="0"/>
    <x v="0"/>
    <x v="0"/>
    <x v="0"/>
    <n v="52505"/>
    <x v="14"/>
    <d v="1977-07-15T00:00:00"/>
    <x v="0"/>
    <x v="0"/>
    <n v="2747"/>
    <x v="0"/>
    <s v="US Citizen"/>
    <s v="White"/>
    <x v="12"/>
    <s v="2017-04-06"/>
    <x v="1"/>
    <x v="4"/>
    <n v="5"/>
    <x v="1"/>
    <n v="0"/>
    <x v="5"/>
    <n v="3"/>
    <s v="Fully Meets"/>
    <n v="5"/>
    <s v="Very Satisfied"/>
    <n v="0"/>
    <d v="2017-03-02T00:00:00"/>
    <n v="0"/>
    <n v="1"/>
  </r>
  <r>
    <n v="10061"/>
    <s v="Norman Bates"/>
    <x v="0"/>
    <x v="0"/>
    <x v="0"/>
    <x v="0"/>
    <x v="0"/>
    <x v="11"/>
    <n v="57834"/>
    <x v="15"/>
    <d v="1981-10-18T00:00:00"/>
    <x v="0"/>
    <x v="0"/>
    <n v="2050"/>
    <x v="0"/>
    <s v="US Citizen"/>
    <s v="White"/>
    <x v="13"/>
    <s v="2017-08-04"/>
    <x v="1"/>
    <x v="6"/>
    <n v="4"/>
    <x v="2"/>
    <n v="0"/>
    <x v="2"/>
    <n v="3"/>
    <s v="Fully Meets"/>
    <n v="5"/>
    <s v="Satisfied"/>
    <n v="0"/>
    <d v="2017-04-05T00:00:00"/>
    <n v="0"/>
    <n v="20"/>
  </r>
  <r>
    <n v="10023"/>
    <s v="Kimberly Beak"/>
    <x v="1"/>
    <x v="1"/>
    <x v="1"/>
    <x v="0"/>
    <x v="2"/>
    <x v="11"/>
    <n v="70131"/>
    <x v="16"/>
    <d v="1966-04-17T00:00:00"/>
    <x v="1"/>
    <x v="0"/>
    <n v="2145"/>
    <x v="0"/>
    <s v="US Citizen"/>
    <s v="White"/>
    <x v="14"/>
    <s v="Not Terminated"/>
    <x v="0"/>
    <x v="0"/>
    <n v="2"/>
    <x v="0"/>
    <n v="0"/>
    <x v="3"/>
    <n v="4"/>
    <s v="Exceeds"/>
    <n v="4.4000000000000004"/>
    <s v="Neutral"/>
    <n v="0"/>
    <d v="2019-01-14T00:00:00"/>
    <n v="0"/>
    <n v="16"/>
  </r>
  <r>
    <n v="10055"/>
    <s v="Courtney Beatrice"/>
    <x v="0"/>
    <x v="0"/>
    <x v="1"/>
    <x v="0"/>
    <x v="0"/>
    <x v="3"/>
    <n v="59026"/>
    <x v="17"/>
    <d v="1970-10-27T00:00:00"/>
    <x v="1"/>
    <x v="0"/>
    <n v="1915"/>
    <x v="0"/>
    <s v="Eligible NonCitizen"/>
    <s v="White"/>
    <x v="15"/>
    <s v="Not Terminated"/>
    <x v="0"/>
    <x v="0"/>
    <n v="1"/>
    <x v="0"/>
    <n v="0"/>
    <x v="2"/>
    <n v="3"/>
    <s v="Fully Meets"/>
    <n v="5"/>
    <s v="Very Satisfied"/>
    <n v="0"/>
    <d v="2019-01-14T00:00:00"/>
    <n v="0"/>
    <n v="12"/>
  </r>
  <r>
    <n v="10245"/>
    <s v="Renee Becker"/>
    <x v="0"/>
    <x v="0"/>
    <x v="1"/>
    <x v="1"/>
    <x v="6"/>
    <x v="1"/>
    <n v="110000"/>
    <x v="18"/>
    <d v="1986-04-04T00:00:00"/>
    <x v="1"/>
    <x v="0"/>
    <n v="2026"/>
    <x v="1"/>
    <s v="US Citizen"/>
    <s v="White"/>
    <x v="16"/>
    <s v="2015-09-12"/>
    <x v="1"/>
    <x v="7"/>
    <n v="4"/>
    <x v="2"/>
    <n v="0"/>
    <x v="2"/>
    <n v="3"/>
    <s v="Fully Meets"/>
    <n v="4.5"/>
    <s v="Satisfied"/>
    <n v="5"/>
    <d v="2015-01-15T00:00:00"/>
    <n v="0"/>
    <n v="8"/>
  </r>
  <r>
    <n v="10046"/>
    <s v="Sean Bernstein"/>
    <x v="0"/>
    <x v="0"/>
    <x v="0"/>
    <x v="0"/>
    <x v="0"/>
    <x v="5"/>
    <n v="51044"/>
    <x v="19"/>
    <d v="1970-12-22T00:00:00"/>
    <x v="0"/>
    <x v="0"/>
    <n v="2072"/>
    <x v="1"/>
    <s v="US Citizen"/>
    <s v="White"/>
    <x v="10"/>
    <s v="Not Terminated"/>
    <x v="0"/>
    <x v="0"/>
    <n v="1"/>
    <x v="0"/>
    <n v="0"/>
    <x v="2"/>
    <n v="3"/>
    <s v="Fully Meets"/>
    <n v="5"/>
    <s v="Neutral"/>
    <n v="0"/>
    <d v="2019-01-14T00:00:00"/>
    <n v="0"/>
    <n v="13"/>
  </r>
  <r>
    <n v="10226"/>
    <s v="Lowan Biden"/>
    <x v="0"/>
    <x v="2"/>
    <x v="1"/>
    <x v="0"/>
    <x v="0"/>
    <x v="7"/>
    <n v="64919"/>
    <x v="20"/>
    <d v="1958-12-27T00:00:00"/>
    <x v="1"/>
    <x v="0"/>
    <n v="2027"/>
    <x v="0"/>
    <s v="US Citizen"/>
    <s v="Asian"/>
    <x v="17"/>
    <s v="Not Terminated"/>
    <x v="0"/>
    <x v="0"/>
    <n v="1"/>
    <x v="0"/>
    <n v="0"/>
    <x v="1"/>
    <n v="3"/>
    <s v="Fully Meets"/>
    <n v="4.2"/>
    <s v="Neutral"/>
    <n v="0"/>
    <d v="2019-01-10T00:00:00"/>
    <n v="0"/>
    <n v="2"/>
  </r>
  <r>
    <n v="10003"/>
    <s v="Helen Billis"/>
    <x v="1"/>
    <x v="1"/>
    <x v="1"/>
    <x v="0"/>
    <x v="0"/>
    <x v="8"/>
    <n v="62910"/>
    <x v="21"/>
    <d v="1989-09-01T00:00:00"/>
    <x v="1"/>
    <x v="0"/>
    <n v="2031"/>
    <x v="0"/>
    <s v="US Citizen"/>
    <s v="White"/>
    <x v="16"/>
    <s v="Not Terminated"/>
    <x v="0"/>
    <x v="0"/>
    <n v="1"/>
    <x v="0"/>
    <n v="0"/>
    <x v="1"/>
    <n v="4"/>
    <s v="Exceeds"/>
    <n v="5"/>
    <s v="Neutral"/>
    <n v="0"/>
    <d v="2019-02-27T00:00:00"/>
    <n v="0"/>
    <n v="19"/>
  </r>
  <r>
    <n v="10294"/>
    <s v="Dianna Blount"/>
    <x v="0"/>
    <x v="0"/>
    <x v="1"/>
    <x v="0"/>
    <x v="2"/>
    <x v="0"/>
    <n v="66441"/>
    <x v="22"/>
    <d v="1990-09-21T00:00:00"/>
    <x v="1"/>
    <x v="0"/>
    <n v="2171"/>
    <x v="0"/>
    <s v="US Citizen"/>
    <s v="White"/>
    <x v="15"/>
    <s v="Not Terminated"/>
    <x v="0"/>
    <x v="0"/>
    <n v="1"/>
    <x v="0"/>
    <n v="0"/>
    <x v="6"/>
    <n v="2"/>
    <s v="Needs Improvement"/>
    <n v="2"/>
    <s v="Neutral"/>
    <n v="0"/>
    <d v="2019-02-27T00:00:00"/>
    <n v="2"/>
    <n v="3"/>
  </r>
  <r>
    <n v="10267"/>
    <s v="Betsy Bondwell"/>
    <x v="0"/>
    <x v="0"/>
    <x v="1"/>
    <x v="0"/>
    <x v="2"/>
    <x v="3"/>
    <n v="57815"/>
    <x v="23"/>
    <d v="1967-01-16T00:00:00"/>
    <x v="1"/>
    <x v="0"/>
    <n v="2210"/>
    <x v="0"/>
    <s v="US Citizen"/>
    <s v="White"/>
    <x v="9"/>
    <s v="2014-04-04"/>
    <x v="1"/>
    <x v="1"/>
    <n v="5"/>
    <x v="1"/>
    <n v="0"/>
    <x v="2"/>
    <n v="3"/>
    <s v="Fully Meets"/>
    <n v="4.8"/>
    <s v="Very Satisfied"/>
    <n v="0"/>
    <d v="2014-03-04T00:00:00"/>
    <n v="0"/>
    <n v="5"/>
  </r>
  <r>
    <n v="10199"/>
    <s v="Frank Booth"/>
    <x v="0"/>
    <x v="0"/>
    <x v="0"/>
    <x v="1"/>
    <x v="7"/>
    <x v="1"/>
    <n v="103613"/>
    <x v="24"/>
    <d v="1964-07-30T00:00:00"/>
    <x v="0"/>
    <x v="2"/>
    <n v="6033"/>
    <x v="0"/>
    <s v="US Citizen"/>
    <s v="Black or African American"/>
    <x v="18"/>
    <s v="2016-02-19"/>
    <x v="1"/>
    <x v="8"/>
    <n v="4"/>
    <x v="2"/>
    <n v="0"/>
    <x v="0"/>
    <n v="3"/>
    <s v="Fully Meets"/>
    <n v="3.5"/>
    <s v="Very Satisfied"/>
    <n v="7"/>
    <d v="2016-01-10T00:00:00"/>
    <n v="0"/>
    <n v="2"/>
  </r>
  <r>
    <n v="10081"/>
    <s v="Bonalyn Boutwell"/>
    <x v="1"/>
    <x v="1"/>
    <x v="1"/>
    <x v="3"/>
    <x v="8"/>
    <x v="12"/>
    <n v="106367"/>
    <x v="25"/>
    <d v="1987-04-04T00:00:00"/>
    <x v="1"/>
    <x v="0"/>
    <n v="2468"/>
    <x v="0"/>
    <s v="US Citizen"/>
    <s v="Black or African American"/>
    <x v="19"/>
    <s v="Not Terminated"/>
    <x v="0"/>
    <x v="0"/>
    <n v="1"/>
    <x v="0"/>
    <n v="1"/>
    <x v="4"/>
    <n v="3"/>
    <s v="Fully Meets"/>
    <n v="5"/>
    <s v="Satisfied"/>
    <n v="3"/>
    <d v="2019-02-18T00:00:00"/>
    <n v="0"/>
    <n v="4"/>
  </r>
  <r>
    <n v="10175"/>
    <s v="Charles Bozzi"/>
    <x v="0"/>
    <x v="0"/>
    <x v="0"/>
    <x v="0"/>
    <x v="9"/>
    <x v="13"/>
    <n v="74312"/>
    <x v="26"/>
    <d v="1970-03-10T00:00:00"/>
    <x v="0"/>
    <x v="0"/>
    <n v="1901"/>
    <x v="0"/>
    <s v="US Citizen"/>
    <s v="Asian"/>
    <x v="6"/>
    <s v="2014-08-07"/>
    <x v="1"/>
    <x v="9"/>
    <n v="5"/>
    <x v="1"/>
    <n v="0"/>
    <x v="1"/>
    <n v="3"/>
    <s v="Fully Meets"/>
    <n v="3.39"/>
    <s v="Neutral"/>
    <n v="0"/>
    <d v="2014-02-20T00:00:00"/>
    <n v="0"/>
    <n v="14"/>
  </r>
  <r>
    <n v="10177"/>
    <s v="Donna Brill"/>
    <x v="1"/>
    <x v="1"/>
    <x v="1"/>
    <x v="0"/>
    <x v="0"/>
    <x v="10"/>
    <n v="53492"/>
    <x v="27"/>
    <d v="1990-08-24T00:00:00"/>
    <x v="1"/>
    <x v="0"/>
    <n v="1701"/>
    <x v="0"/>
    <s v="US Citizen"/>
    <s v="White"/>
    <x v="10"/>
    <s v="2013-06-15"/>
    <x v="1"/>
    <x v="4"/>
    <n v="5"/>
    <x v="1"/>
    <n v="0"/>
    <x v="2"/>
    <n v="3"/>
    <s v="Fully Meets"/>
    <n v="3.35"/>
    <s v="Satisfied"/>
    <n v="0"/>
    <d v="2013-03-04T00:00:00"/>
    <n v="0"/>
    <n v="6"/>
  </r>
  <r>
    <n v="10238"/>
    <s v="Mia Brown"/>
    <x v="1"/>
    <x v="1"/>
    <x v="1"/>
    <x v="3"/>
    <x v="10"/>
    <x v="12"/>
    <n v="63000"/>
    <x v="28"/>
    <d v="1987-11-24T00:00:00"/>
    <x v="1"/>
    <x v="0"/>
    <n v="1450"/>
    <x v="0"/>
    <s v="US Citizen"/>
    <s v="Black or African American"/>
    <x v="20"/>
    <s v="Not Terminated"/>
    <x v="0"/>
    <x v="0"/>
    <n v="1"/>
    <x v="0"/>
    <n v="1"/>
    <x v="4"/>
    <n v="3"/>
    <s v="Fully Meets"/>
    <n v="4.5"/>
    <s v="Dissatisfied"/>
    <n v="6"/>
    <d v="2019-01-15T00:00:00"/>
    <n v="0"/>
    <n v="14"/>
  </r>
  <r>
    <n v="10203"/>
    <s v="Josephine Bugali"/>
    <x v="0"/>
    <x v="4"/>
    <x v="1"/>
    <x v="0"/>
    <x v="0"/>
    <x v="2"/>
    <n v="64375"/>
    <x v="29"/>
    <d v="1969-10-30T00:00:00"/>
    <x v="1"/>
    <x v="0"/>
    <n v="2043"/>
    <x v="0"/>
    <s v="US Citizen"/>
    <s v="Black or African American"/>
    <x v="21"/>
    <s v="Not Terminated"/>
    <x v="0"/>
    <x v="0"/>
    <n v="3"/>
    <x v="0"/>
    <n v="1"/>
    <x v="4"/>
    <n v="3"/>
    <s v="Fully Meets"/>
    <n v="3.5"/>
    <s v="Very Satisfied"/>
    <n v="0"/>
    <d v="2019-01-21T00:00:00"/>
    <n v="0"/>
    <n v="17"/>
  </r>
  <r>
    <n v="10188"/>
    <s v="Jessica Bunbury"/>
    <x v="1"/>
    <x v="1"/>
    <x v="1"/>
    <x v="4"/>
    <x v="11"/>
    <x v="14"/>
    <n v="74326"/>
    <x v="30"/>
    <d v="1964-06-01T00:00:00"/>
    <x v="1"/>
    <x v="3"/>
    <n v="21851"/>
    <x v="0"/>
    <s v="Eligible NonCitizen"/>
    <s v="Black or African American"/>
    <x v="22"/>
    <s v="2014-08-02"/>
    <x v="1"/>
    <x v="4"/>
    <n v="5"/>
    <x v="1"/>
    <n v="0"/>
    <x v="2"/>
    <n v="3"/>
    <s v="Fully Meets"/>
    <n v="3.14"/>
    <s v="Very Satisfied"/>
    <n v="0"/>
    <d v="2013-02-10T00:00:00"/>
    <n v="1"/>
    <n v="19"/>
  </r>
  <r>
    <n v="10107"/>
    <s v="Joelle Burke"/>
    <x v="0"/>
    <x v="0"/>
    <x v="1"/>
    <x v="0"/>
    <x v="2"/>
    <x v="5"/>
    <n v="63763"/>
    <x v="31"/>
    <d v="1980-03-02T00:00:00"/>
    <x v="1"/>
    <x v="0"/>
    <n v="2148"/>
    <x v="0"/>
    <s v="US Citizen"/>
    <s v="Black or African American"/>
    <x v="23"/>
    <s v="Not Terminated"/>
    <x v="0"/>
    <x v="0"/>
    <n v="1"/>
    <x v="0"/>
    <n v="0"/>
    <x v="3"/>
    <n v="3"/>
    <s v="Fully Meets"/>
    <n v="4.51"/>
    <s v="Satisfied"/>
    <n v="0"/>
    <d v="2019-02-21T00:00:00"/>
    <n v="0"/>
    <n v="3"/>
  </r>
  <r>
    <n v="10181"/>
    <s v="Benjamin Burkett"/>
    <x v="1"/>
    <x v="1"/>
    <x v="0"/>
    <x v="0"/>
    <x v="2"/>
    <x v="7"/>
    <n v="62162"/>
    <x v="32"/>
    <d v="1977-08-19T00:00:00"/>
    <x v="0"/>
    <x v="0"/>
    <n v="1890"/>
    <x v="0"/>
    <s v="US Citizen"/>
    <s v="White"/>
    <x v="15"/>
    <s v="Not Terminated"/>
    <x v="0"/>
    <x v="0"/>
    <n v="1"/>
    <x v="0"/>
    <n v="0"/>
    <x v="1"/>
    <n v="3"/>
    <s v="Fully Meets"/>
    <n v="3.25"/>
    <s v="Very Satisfied"/>
    <n v="0"/>
    <d v="2019-01-14T00:00:00"/>
    <n v="0"/>
    <n v="15"/>
  </r>
  <r>
    <n v="10150"/>
    <s v="Max Cady"/>
    <x v="0"/>
    <x v="0"/>
    <x v="0"/>
    <x v="2"/>
    <x v="12"/>
    <x v="15"/>
    <n v="77692"/>
    <x v="33"/>
    <d v="1966-11-22T00:00:00"/>
    <x v="0"/>
    <x v="0"/>
    <n v="2184"/>
    <x v="0"/>
    <s v="US Citizen"/>
    <s v="White"/>
    <x v="22"/>
    <s v="Not Terminated"/>
    <x v="0"/>
    <x v="0"/>
    <n v="1"/>
    <x v="0"/>
    <n v="0"/>
    <x v="2"/>
    <n v="3"/>
    <s v="Fully Meets"/>
    <n v="3.84"/>
    <s v="Neutral"/>
    <n v="5"/>
    <d v="2019-01-21T00:00:00"/>
    <n v="0"/>
    <n v="4"/>
  </r>
  <r>
    <n v="10001"/>
    <s v="Calvin Candie"/>
    <x v="0"/>
    <x v="0"/>
    <x v="0"/>
    <x v="0"/>
    <x v="9"/>
    <x v="13"/>
    <n v="72640"/>
    <x v="34"/>
    <d v="1983-08-09T00:00:00"/>
    <x v="0"/>
    <x v="0"/>
    <n v="2169"/>
    <x v="0"/>
    <s v="US Citizen"/>
    <s v="White"/>
    <x v="24"/>
    <s v="Not Terminated"/>
    <x v="0"/>
    <x v="0"/>
    <n v="1"/>
    <x v="0"/>
    <n v="0"/>
    <x v="1"/>
    <n v="4"/>
    <s v="Exceeds"/>
    <n v="5"/>
    <s v="Neutral"/>
    <n v="0"/>
    <d v="2019-02-22T00:00:00"/>
    <n v="0"/>
    <n v="14"/>
  </r>
  <r>
    <n v="10085"/>
    <s v="Judith Carabbio"/>
    <x v="0"/>
    <x v="0"/>
    <x v="1"/>
    <x v="2"/>
    <x v="3"/>
    <x v="6"/>
    <n v="93396"/>
    <x v="35"/>
    <d v="1987-04-05T00:00:00"/>
    <x v="1"/>
    <x v="0"/>
    <n v="2132"/>
    <x v="0"/>
    <s v="US Citizen"/>
    <s v="White"/>
    <x v="21"/>
    <s v="Not Terminated"/>
    <x v="0"/>
    <x v="0"/>
    <n v="1"/>
    <x v="0"/>
    <n v="0"/>
    <x v="1"/>
    <n v="3"/>
    <s v="Fully Meets"/>
    <n v="4.96"/>
    <s v="Satisfied"/>
    <n v="6"/>
    <d v="2019-01-30T00:00:00"/>
    <n v="0"/>
    <n v="3"/>
  </r>
  <r>
    <n v="10115"/>
    <s v="Michael Carey"/>
    <x v="0"/>
    <x v="0"/>
    <x v="0"/>
    <x v="0"/>
    <x v="0"/>
    <x v="11"/>
    <n v="52846"/>
    <x v="36"/>
    <d v="1983-02-02T00:00:00"/>
    <x v="0"/>
    <x v="0"/>
    <n v="1701"/>
    <x v="0"/>
    <s v="US Citizen"/>
    <s v="Black or African American"/>
    <x v="25"/>
    <s v="Not Terminated"/>
    <x v="0"/>
    <x v="0"/>
    <n v="1"/>
    <x v="0"/>
    <n v="0"/>
    <x v="0"/>
    <n v="3"/>
    <s v="Fully Meets"/>
    <n v="4.43"/>
    <s v="Neutral"/>
    <n v="0"/>
    <d v="2019-02-01T00:00:00"/>
    <n v="0"/>
    <n v="14"/>
  </r>
  <r>
    <n v="10082"/>
    <s v="Claudia Carr"/>
    <x v="0"/>
    <x v="0"/>
    <x v="1"/>
    <x v="1"/>
    <x v="1"/>
    <x v="1"/>
    <n v="100031"/>
    <x v="37"/>
    <d v="1986-06-06T00:00:00"/>
    <x v="1"/>
    <x v="0"/>
    <n v="1886"/>
    <x v="0"/>
    <s v="US Citizen"/>
    <s v="Black or African American"/>
    <x v="26"/>
    <s v="Not Terminated"/>
    <x v="0"/>
    <x v="0"/>
    <n v="2"/>
    <x v="0"/>
    <n v="0"/>
    <x v="0"/>
    <n v="3"/>
    <s v="Fully Meets"/>
    <n v="5"/>
    <s v="Very Satisfied"/>
    <n v="6"/>
    <d v="2019-02-18T00:00:00"/>
    <n v="0"/>
    <n v="7"/>
  </r>
  <r>
    <n v="10040"/>
    <s v="Michelle Carter"/>
    <x v="0"/>
    <x v="0"/>
    <x v="1"/>
    <x v="4"/>
    <x v="11"/>
    <x v="14"/>
    <n v="71860"/>
    <x v="38"/>
    <d v="1963-05-15T00:00:00"/>
    <x v="1"/>
    <x v="4"/>
    <n v="5664"/>
    <x v="0"/>
    <s v="US Citizen"/>
    <s v="White"/>
    <x v="27"/>
    <s v="Not Terminated"/>
    <x v="0"/>
    <x v="0"/>
    <n v="1"/>
    <x v="0"/>
    <n v="0"/>
    <x v="1"/>
    <n v="3"/>
    <s v="Fully Meets"/>
    <n v="5"/>
    <s v="Very Satisfied"/>
    <n v="0"/>
    <d v="2019-01-21T00:00:00"/>
    <n v="0"/>
    <n v="7"/>
  </r>
  <r>
    <n v="10067"/>
    <s v="Beatrice Chace"/>
    <x v="0"/>
    <x v="0"/>
    <x v="1"/>
    <x v="0"/>
    <x v="0"/>
    <x v="0"/>
    <n v="61656"/>
    <x v="39"/>
    <d v="1951-01-02T00:00:00"/>
    <x v="1"/>
    <x v="0"/>
    <n v="2763"/>
    <x v="0"/>
    <s v="US Citizen"/>
    <s v="White"/>
    <x v="28"/>
    <s v="Not Terminated"/>
    <x v="0"/>
    <x v="0"/>
    <n v="1"/>
    <x v="0"/>
    <n v="0"/>
    <x v="2"/>
    <n v="3"/>
    <s v="Fully Meets"/>
    <n v="5"/>
    <s v="Satisfied"/>
    <n v="0"/>
    <d v="2019-02-12T00:00:00"/>
    <n v="0"/>
    <n v="11"/>
  </r>
  <r>
    <n v="10108"/>
    <s v="Brian Champaigne"/>
    <x v="1"/>
    <x v="1"/>
    <x v="0"/>
    <x v="1"/>
    <x v="13"/>
    <x v="15"/>
    <n v="110929"/>
    <x v="40"/>
    <d v="1972-02-09T00:00:00"/>
    <x v="0"/>
    <x v="0"/>
    <n v="2045"/>
    <x v="0"/>
    <s v="US Citizen"/>
    <s v="White"/>
    <x v="29"/>
    <s v="Not Terminated"/>
    <x v="0"/>
    <x v="0"/>
    <n v="1"/>
    <x v="0"/>
    <n v="0"/>
    <x v="1"/>
    <n v="3"/>
    <s v="Fully Meets"/>
    <n v="4.5"/>
    <s v="Very Satisfied"/>
    <n v="7"/>
    <d v="2019-01-15T00:00:00"/>
    <n v="0"/>
    <n v="8"/>
  </r>
  <r>
    <n v="10210"/>
    <s v="Lin Chan"/>
    <x v="0"/>
    <x v="0"/>
    <x v="1"/>
    <x v="0"/>
    <x v="0"/>
    <x v="3"/>
    <n v="54237"/>
    <x v="41"/>
    <d v="1979-02-12T00:00:00"/>
    <x v="1"/>
    <x v="0"/>
    <n v="2170"/>
    <x v="0"/>
    <s v="US Citizen"/>
    <s v="White"/>
    <x v="30"/>
    <s v="Not Terminated"/>
    <x v="0"/>
    <x v="0"/>
    <n v="1"/>
    <x v="0"/>
    <n v="0"/>
    <x v="1"/>
    <n v="3"/>
    <s v="Fully Meets"/>
    <n v="3.3"/>
    <s v="Satisfied"/>
    <n v="0"/>
    <d v="2019-02-19T00:00:00"/>
    <n v="0"/>
    <n v="11"/>
  </r>
  <r>
    <n v="10200"/>
    <s v="Anton Chigurh"/>
    <x v="0"/>
    <x v="0"/>
    <x v="0"/>
    <x v="4"/>
    <x v="11"/>
    <x v="16"/>
    <n v="66808"/>
    <x v="42"/>
    <d v="1970-06-11T00:00:00"/>
    <x v="0"/>
    <x v="1"/>
    <n v="78207"/>
    <x v="0"/>
    <s v="Eligible NonCitizen"/>
    <s v="Black or African American"/>
    <x v="31"/>
    <s v="Not Terminated"/>
    <x v="0"/>
    <x v="0"/>
    <n v="1"/>
    <x v="0"/>
    <n v="0"/>
    <x v="3"/>
    <n v="3"/>
    <s v="Fully Meets"/>
    <n v="3"/>
    <s v="Very Satisfied"/>
    <n v="0"/>
    <d v="2019-01-19T00:00:00"/>
    <n v="0"/>
    <n v="17"/>
  </r>
  <r>
    <n v="10240"/>
    <s v="Enola Chivukula"/>
    <x v="0"/>
    <x v="0"/>
    <x v="1"/>
    <x v="0"/>
    <x v="0"/>
    <x v="5"/>
    <n v="64786"/>
    <x v="43"/>
    <d v="1983-08-27T00:00:00"/>
    <x v="1"/>
    <x v="0"/>
    <n v="1775"/>
    <x v="0"/>
    <s v="US Citizen"/>
    <s v="White"/>
    <x v="32"/>
    <s v="2015-11-15"/>
    <x v="1"/>
    <x v="10"/>
    <n v="5"/>
    <x v="1"/>
    <n v="0"/>
    <x v="1"/>
    <n v="3"/>
    <s v="Fully Meets"/>
    <n v="4.3"/>
    <s v="Satisfied"/>
    <n v="0"/>
    <d v="2015-03-10T00:00:00"/>
    <n v="0"/>
    <n v="3"/>
  </r>
  <r>
    <n v="10168"/>
    <s v="Caroline Cierpiszewski"/>
    <x v="0"/>
    <x v="0"/>
    <x v="1"/>
    <x v="0"/>
    <x v="0"/>
    <x v="7"/>
    <n v="64816"/>
    <x v="44"/>
    <d v="1988-05-31T00:00:00"/>
    <x v="1"/>
    <x v="0"/>
    <n v="2044"/>
    <x v="0"/>
    <s v="Non-Citizen"/>
    <s v="Black or African American"/>
    <x v="33"/>
    <s v="Not Terminated"/>
    <x v="0"/>
    <x v="0"/>
    <n v="1"/>
    <x v="0"/>
    <n v="0"/>
    <x v="1"/>
    <n v="3"/>
    <s v="Fully Meets"/>
    <n v="3.58"/>
    <s v="Very Satisfied"/>
    <n v="0"/>
    <d v="2019-01-30T00:00:00"/>
    <n v="0"/>
    <n v="3"/>
  </r>
  <r>
    <n v="10220"/>
    <s v="Rick Clayton"/>
    <x v="0"/>
    <x v="0"/>
    <x v="0"/>
    <x v="1"/>
    <x v="4"/>
    <x v="17"/>
    <n v="68678"/>
    <x v="45"/>
    <d v="1985-09-05T00:00:00"/>
    <x v="0"/>
    <x v="0"/>
    <n v="2170"/>
    <x v="0"/>
    <s v="US Citizen"/>
    <s v="White"/>
    <x v="34"/>
    <s v="Not Terminated"/>
    <x v="0"/>
    <x v="0"/>
    <n v="1"/>
    <x v="0"/>
    <n v="0"/>
    <x v="1"/>
    <n v="3"/>
    <s v="Fully Meets"/>
    <n v="4.7"/>
    <s v="Neutral"/>
    <n v="6"/>
    <d v="2019-02-27T00:00:00"/>
    <n v="0"/>
    <n v="2"/>
  </r>
  <r>
    <n v="10275"/>
    <s v="Jennifer Cloninger"/>
    <x v="1"/>
    <x v="1"/>
    <x v="1"/>
    <x v="0"/>
    <x v="2"/>
    <x v="8"/>
    <n v="64066"/>
    <x v="46"/>
    <d v="1981-08-31T00:00:00"/>
    <x v="1"/>
    <x v="0"/>
    <n v="1752"/>
    <x v="0"/>
    <s v="US Citizen"/>
    <s v="White"/>
    <x v="35"/>
    <s v="2013-01-07"/>
    <x v="1"/>
    <x v="5"/>
    <n v="5"/>
    <x v="1"/>
    <n v="0"/>
    <x v="2"/>
    <n v="3"/>
    <s v="Fully Meets"/>
    <n v="4.2"/>
    <s v="Very Satisfied"/>
    <n v="0"/>
    <d v="2012-05-03T00:00:00"/>
    <n v="0"/>
    <n v="9"/>
  </r>
  <r>
    <n v="10269"/>
    <s v="Phil Close"/>
    <x v="1"/>
    <x v="1"/>
    <x v="0"/>
    <x v="0"/>
    <x v="2"/>
    <x v="10"/>
    <n v="59369"/>
    <x v="47"/>
    <d v="1978-11-25T00:00:00"/>
    <x v="0"/>
    <x v="0"/>
    <n v="2169"/>
    <x v="0"/>
    <s v="US Citizen"/>
    <s v="White"/>
    <x v="36"/>
    <s v="2011-09-26"/>
    <x v="1"/>
    <x v="1"/>
    <n v="5"/>
    <x v="1"/>
    <n v="0"/>
    <x v="1"/>
    <n v="3"/>
    <s v="Fully Meets"/>
    <n v="4.2"/>
    <s v="Satisfied"/>
    <n v="0"/>
    <d v="2011-05-04T00:00:00"/>
    <n v="0"/>
    <n v="6"/>
  </r>
  <r>
    <n v="10029"/>
    <s v="Elijian Clukey"/>
    <x v="1"/>
    <x v="1"/>
    <x v="0"/>
    <x v="0"/>
    <x v="0"/>
    <x v="8"/>
    <n v="50373"/>
    <x v="48"/>
    <d v="1980-08-26T00:00:00"/>
    <x v="0"/>
    <x v="0"/>
    <n v="2134"/>
    <x v="0"/>
    <s v="US Citizen"/>
    <s v="White"/>
    <x v="37"/>
    <s v="Not Terminated"/>
    <x v="0"/>
    <x v="0"/>
    <n v="2"/>
    <x v="0"/>
    <n v="0"/>
    <x v="3"/>
    <n v="4"/>
    <s v="Exceeds"/>
    <n v="4.0999999999999996"/>
    <s v="Satisfied"/>
    <n v="0"/>
    <d v="2019-02-28T00:00:00"/>
    <n v="0"/>
    <n v="5"/>
  </r>
  <r>
    <n v="10261"/>
    <s v="James Cockel"/>
    <x v="0"/>
    <x v="0"/>
    <x v="0"/>
    <x v="0"/>
    <x v="0"/>
    <x v="10"/>
    <n v="63108"/>
    <x v="49"/>
    <d v="1977-09-08T00:00:00"/>
    <x v="0"/>
    <x v="0"/>
    <n v="2452"/>
    <x v="0"/>
    <s v="US Citizen"/>
    <s v="White"/>
    <x v="38"/>
    <s v="Not Terminated"/>
    <x v="0"/>
    <x v="0"/>
    <n v="1"/>
    <x v="0"/>
    <n v="0"/>
    <x v="3"/>
    <n v="3"/>
    <s v="Fully Meets"/>
    <n v="4.4000000000000004"/>
    <s v="Very Satisfied"/>
    <n v="0"/>
    <d v="2019-01-14T00:00:00"/>
    <n v="0"/>
    <n v="3"/>
  </r>
  <r>
    <n v="10292"/>
    <s v="Spencer Cole"/>
    <x v="0"/>
    <x v="0"/>
    <x v="0"/>
    <x v="0"/>
    <x v="0"/>
    <x v="2"/>
    <n v="59144"/>
    <x v="50"/>
    <d v="1979-08-12T00:00:00"/>
    <x v="0"/>
    <x v="0"/>
    <n v="1880"/>
    <x v="0"/>
    <s v="US Citizen"/>
    <s v="Black or African American"/>
    <x v="3"/>
    <s v="2016-09-23"/>
    <x v="1"/>
    <x v="7"/>
    <n v="4"/>
    <x v="2"/>
    <n v="0"/>
    <x v="0"/>
    <n v="2"/>
    <s v="Needs Improvement"/>
    <n v="2"/>
    <s v="Neutral"/>
    <n v="0"/>
    <d v="2016-05-01T00:00:00"/>
    <n v="5"/>
    <n v="16"/>
  </r>
  <r>
    <n v="10282"/>
    <s v="Michael Corleone"/>
    <x v="0"/>
    <x v="2"/>
    <x v="0"/>
    <x v="0"/>
    <x v="9"/>
    <x v="13"/>
    <n v="68051"/>
    <x v="51"/>
    <d v="1975-12-17T00:00:00"/>
    <x v="0"/>
    <x v="0"/>
    <n v="1803"/>
    <x v="0"/>
    <s v="US Citizen"/>
    <s v="White"/>
    <x v="39"/>
    <s v="Not Terminated"/>
    <x v="0"/>
    <x v="0"/>
    <n v="1"/>
    <x v="0"/>
    <n v="0"/>
    <x v="6"/>
    <n v="2"/>
    <s v="Needs Improvement"/>
    <n v="4.13"/>
    <s v="Dissatisfied"/>
    <n v="0"/>
    <d v="2019-01-14T00:00:00"/>
    <n v="3"/>
    <n v="3"/>
  </r>
  <r>
    <n v="10019"/>
    <s v="Vito Corleone"/>
    <x v="0"/>
    <x v="0"/>
    <x v="0"/>
    <x v="0"/>
    <x v="14"/>
    <x v="13"/>
    <n v="170500"/>
    <x v="52"/>
    <d v="1983-03-19T00:00:00"/>
    <x v="0"/>
    <x v="0"/>
    <n v="2030"/>
    <x v="0"/>
    <s v="US Citizen"/>
    <s v="Black or African American"/>
    <x v="40"/>
    <s v="Not Terminated"/>
    <x v="0"/>
    <x v="0"/>
    <n v="1"/>
    <x v="0"/>
    <n v="0"/>
    <x v="1"/>
    <n v="4"/>
    <s v="Exceeds"/>
    <n v="3.7"/>
    <s v="Very Satisfied"/>
    <n v="0"/>
    <d v="2019-02-04T00:00:00"/>
    <n v="0"/>
    <n v="15"/>
  </r>
  <r>
    <n v="10094"/>
    <s v="Lisa Cornett"/>
    <x v="1"/>
    <x v="1"/>
    <x v="1"/>
    <x v="0"/>
    <x v="0"/>
    <x v="11"/>
    <n v="63381"/>
    <x v="53"/>
    <d v="1977-03-31T00:00:00"/>
    <x v="1"/>
    <x v="0"/>
    <n v="2189"/>
    <x v="1"/>
    <s v="US Citizen"/>
    <s v="White"/>
    <x v="8"/>
    <s v="Not Terminated"/>
    <x v="0"/>
    <x v="0"/>
    <n v="1"/>
    <x v="0"/>
    <n v="0"/>
    <x v="1"/>
    <n v="3"/>
    <s v="Fully Meets"/>
    <n v="4.7300000000000004"/>
    <s v="Very Satisfied"/>
    <n v="0"/>
    <d v="2019-02-14T00:00:00"/>
    <n v="0"/>
    <n v="6"/>
  </r>
  <r>
    <n v="10193"/>
    <s v="Frank Costello"/>
    <x v="1"/>
    <x v="1"/>
    <x v="0"/>
    <x v="1"/>
    <x v="5"/>
    <x v="1"/>
    <n v="83552"/>
    <x v="54"/>
    <d v="1986-08-26T00:00:00"/>
    <x v="0"/>
    <x v="0"/>
    <n v="1810"/>
    <x v="0"/>
    <s v="US Citizen"/>
    <s v="White"/>
    <x v="1"/>
    <s v="Not Terminated"/>
    <x v="0"/>
    <x v="0"/>
    <n v="1"/>
    <x v="0"/>
    <n v="0"/>
    <x v="1"/>
    <n v="3"/>
    <s v="Fully Meets"/>
    <n v="3.04"/>
    <s v="Neutral"/>
    <n v="6"/>
    <d v="2019-01-22T00:00:00"/>
    <n v="0"/>
    <n v="2"/>
  </r>
  <r>
    <n v="10132"/>
    <s v="Jean Crimmings"/>
    <x v="0"/>
    <x v="0"/>
    <x v="1"/>
    <x v="0"/>
    <x v="0"/>
    <x v="0"/>
    <n v="56149"/>
    <x v="55"/>
    <d v="1987-04-10T00:00:00"/>
    <x v="1"/>
    <x v="0"/>
    <n v="1821"/>
    <x v="0"/>
    <s v="US Citizen"/>
    <s v="White"/>
    <x v="37"/>
    <s v="Not Terminated"/>
    <x v="0"/>
    <x v="0"/>
    <n v="2"/>
    <x v="0"/>
    <n v="0"/>
    <x v="0"/>
    <n v="3"/>
    <s v="Fully Meets"/>
    <n v="4.12"/>
    <s v="Very Satisfied"/>
    <n v="0"/>
    <d v="2019-01-28T00:00:00"/>
    <n v="0"/>
    <n v="15"/>
  </r>
  <r>
    <n v="10083"/>
    <s v="Noah Cross"/>
    <x v="0"/>
    <x v="0"/>
    <x v="0"/>
    <x v="1"/>
    <x v="15"/>
    <x v="9"/>
    <n v="92329"/>
    <x v="56"/>
    <d v="1965-09-09T00:00:00"/>
    <x v="0"/>
    <x v="2"/>
    <n v="6278"/>
    <x v="0"/>
    <s v="US Citizen"/>
    <s v="White"/>
    <x v="5"/>
    <s v="Not Terminated"/>
    <x v="0"/>
    <x v="0"/>
    <n v="1"/>
    <x v="0"/>
    <n v="0"/>
    <x v="3"/>
    <n v="3"/>
    <s v="Fully Meets"/>
    <n v="5"/>
    <s v="Neutral"/>
    <n v="4"/>
    <d v="2019-01-02T00:00:00"/>
    <n v="0"/>
    <n v="5"/>
  </r>
  <r>
    <n v="10099"/>
    <s v="Lynn Daneault"/>
    <x v="0"/>
    <x v="0"/>
    <x v="1"/>
    <x v="4"/>
    <x v="16"/>
    <x v="18"/>
    <n v="65729"/>
    <x v="57"/>
    <d v="1990-04-19T00:00:00"/>
    <x v="1"/>
    <x v="4"/>
    <n v="5473"/>
    <x v="0"/>
    <s v="US Citizen"/>
    <s v="White"/>
    <x v="41"/>
    <s v="Not Terminated"/>
    <x v="0"/>
    <x v="0"/>
    <n v="1"/>
    <x v="0"/>
    <n v="0"/>
    <x v="1"/>
    <n v="3"/>
    <s v="Fully Meets"/>
    <n v="4.62"/>
    <s v="Satisfied"/>
    <n v="0"/>
    <d v="2019-01-24T00:00:00"/>
    <n v="0"/>
    <n v="8"/>
  </r>
  <r>
    <n v="10212"/>
    <s v="Ann Daniele"/>
    <x v="1"/>
    <x v="1"/>
    <x v="1"/>
    <x v="1"/>
    <x v="15"/>
    <x v="9"/>
    <n v="85028"/>
    <x v="58"/>
    <d v="1952-01-18T00:00:00"/>
    <x v="1"/>
    <x v="2"/>
    <n v="6033"/>
    <x v="0"/>
    <s v="US Citizen"/>
    <s v="White"/>
    <x v="5"/>
    <s v="Not Terminated"/>
    <x v="0"/>
    <x v="0"/>
    <n v="3"/>
    <x v="0"/>
    <n v="0"/>
    <x v="0"/>
    <n v="3"/>
    <s v="Fully Meets"/>
    <n v="3.1"/>
    <s v="Very Satisfied"/>
    <n v="8"/>
    <d v="2019-02-12T00:00:00"/>
    <n v="0"/>
    <n v="19"/>
  </r>
  <r>
    <n v="10056"/>
    <s v="Jene'ya Darson"/>
    <x v="1"/>
    <x v="1"/>
    <x v="1"/>
    <x v="0"/>
    <x v="0"/>
    <x v="3"/>
    <n v="57583"/>
    <x v="59"/>
    <d v="1978-11-05T00:00:00"/>
    <x v="1"/>
    <x v="0"/>
    <n v="2110"/>
    <x v="0"/>
    <s v="US Citizen"/>
    <s v="White"/>
    <x v="42"/>
    <s v="Not Terminated"/>
    <x v="0"/>
    <x v="0"/>
    <n v="1"/>
    <x v="0"/>
    <n v="0"/>
    <x v="1"/>
    <n v="3"/>
    <s v="Fully Meets"/>
    <n v="5"/>
    <s v="Neutral"/>
    <n v="0"/>
    <d v="2019-02-25T00:00:00"/>
    <n v="0"/>
    <n v="1"/>
  </r>
  <r>
    <n v="10143"/>
    <s v="Daniel Davis"/>
    <x v="0"/>
    <x v="0"/>
    <x v="0"/>
    <x v="0"/>
    <x v="2"/>
    <x v="2"/>
    <n v="56294"/>
    <x v="60"/>
    <d v="1979-09-14T00:00:00"/>
    <x v="0"/>
    <x v="0"/>
    <n v="2458"/>
    <x v="0"/>
    <s v="Eligible NonCitizen"/>
    <s v="Two or more races"/>
    <x v="43"/>
    <s v="Not Terminated"/>
    <x v="0"/>
    <x v="0"/>
    <n v="1"/>
    <x v="0"/>
    <n v="0"/>
    <x v="0"/>
    <n v="3"/>
    <s v="Fully Meets"/>
    <n v="3.96"/>
    <s v="Satisfied"/>
    <n v="0"/>
    <d v="2019-02-27T00:00:00"/>
    <n v="0"/>
    <n v="6"/>
  </r>
  <r>
    <n v="10311"/>
    <s v="Randy Dee"/>
    <x v="1"/>
    <x v="1"/>
    <x v="0"/>
    <x v="0"/>
    <x v="0"/>
    <x v="8"/>
    <n v="56991"/>
    <x v="61"/>
    <d v="1988-04-15T00:00:00"/>
    <x v="0"/>
    <x v="0"/>
    <n v="2138"/>
    <x v="0"/>
    <s v="US Citizen"/>
    <s v="White"/>
    <x v="44"/>
    <s v="Not Terminated"/>
    <x v="0"/>
    <x v="0"/>
    <n v="1"/>
    <x v="0"/>
    <n v="0"/>
    <x v="1"/>
    <n v="1"/>
    <s v="Fully Meets"/>
    <n v="4.3"/>
    <s v="Satisfied"/>
    <n v="3"/>
    <d v="2019-01-31T00:00:00"/>
    <n v="2"/>
    <n v="2"/>
  </r>
  <r>
    <n v="10070"/>
    <s v="James DeGweck"/>
    <x v="1"/>
    <x v="1"/>
    <x v="0"/>
    <x v="0"/>
    <x v="0"/>
    <x v="4"/>
    <n v="55722"/>
    <x v="62"/>
    <d v="1977-10-31T00:00:00"/>
    <x v="0"/>
    <x v="0"/>
    <n v="1810"/>
    <x v="0"/>
    <s v="US Citizen"/>
    <s v="White"/>
    <x v="35"/>
    <s v="2016-06-08"/>
    <x v="1"/>
    <x v="5"/>
    <n v="5"/>
    <x v="1"/>
    <n v="0"/>
    <x v="1"/>
    <n v="3"/>
    <s v="Fully Meets"/>
    <n v="5"/>
    <s v="Satisfied"/>
    <n v="0"/>
    <d v="2016-04-02T00:00:00"/>
    <n v="0"/>
    <n v="14"/>
  </r>
  <r>
    <n v="10155"/>
    <s v="Keyla Del Bosque"/>
    <x v="0"/>
    <x v="0"/>
    <x v="1"/>
    <x v="2"/>
    <x v="3"/>
    <x v="6"/>
    <n v="101199"/>
    <x v="63"/>
    <d v="1979-07-05T00:00:00"/>
    <x v="1"/>
    <x v="0"/>
    <n v="2176"/>
    <x v="0"/>
    <s v="US Citizen"/>
    <s v="Black or African American"/>
    <x v="4"/>
    <s v="Not Terminated"/>
    <x v="0"/>
    <x v="0"/>
    <n v="1"/>
    <x v="0"/>
    <n v="0"/>
    <x v="6"/>
    <n v="3"/>
    <s v="Fully Meets"/>
    <n v="3.79"/>
    <s v="Very Satisfied"/>
    <n v="5"/>
    <d v="2019-01-25T00:00:00"/>
    <n v="0"/>
    <n v="8"/>
  </r>
  <r>
    <n v="10306"/>
    <s v="Alex Delarge"/>
    <x v="0"/>
    <x v="0"/>
    <x v="0"/>
    <x v="4"/>
    <x v="11"/>
    <x v="14"/>
    <n v="61568"/>
    <x v="64"/>
    <d v="1975-11-02T00:00:00"/>
    <x v="0"/>
    <x v="5"/>
    <n v="36006"/>
    <x v="0"/>
    <s v="US Citizen"/>
    <s v="Two or more races"/>
    <x v="28"/>
    <s v="Not Terminated"/>
    <x v="0"/>
    <x v="0"/>
    <n v="1"/>
    <x v="0"/>
    <n v="0"/>
    <x v="1"/>
    <n v="1"/>
    <s v="PIP"/>
    <n v="1.93"/>
    <s v="Neutral"/>
    <n v="0"/>
    <d v="2019-01-30T00:00:00"/>
    <n v="6"/>
    <n v="5"/>
  </r>
  <r>
    <n v="10100"/>
    <s v="Carla Demita"/>
    <x v="0"/>
    <x v="4"/>
    <x v="1"/>
    <x v="0"/>
    <x v="2"/>
    <x v="11"/>
    <n v="58275"/>
    <x v="65"/>
    <d v="1951-02-25T00:00:00"/>
    <x v="1"/>
    <x v="0"/>
    <n v="2343"/>
    <x v="0"/>
    <s v="US Citizen"/>
    <s v="Black or African American"/>
    <x v="15"/>
    <s v="2015-11-04"/>
    <x v="1"/>
    <x v="11"/>
    <n v="5"/>
    <x v="1"/>
    <n v="0"/>
    <x v="2"/>
    <n v="3"/>
    <s v="Fully Meets"/>
    <n v="4.62"/>
    <s v="Very Satisfied"/>
    <n v="0"/>
    <d v="2015-05-06T00:00:00"/>
    <n v="0"/>
    <n v="1"/>
  </r>
  <r>
    <n v="10310"/>
    <s v="Carl Desimone"/>
    <x v="1"/>
    <x v="1"/>
    <x v="0"/>
    <x v="0"/>
    <x v="0"/>
    <x v="5"/>
    <n v="53189"/>
    <x v="66"/>
    <d v="1967-04-19T00:00:00"/>
    <x v="0"/>
    <x v="0"/>
    <n v="2061"/>
    <x v="0"/>
    <s v="US Citizen"/>
    <s v="White"/>
    <x v="16"/>
    <s v="Not Terminated"/>
    <x v="0"/>
    <x v="0"/>
    <n v="1"/>
    <x v="0"/>
    <n v="0"/>
    <x v="1"/>
    <n v="1"/>
    <s v="PIP"/>
    <n v="1.1200000000000001"/>
    <s v="Dissatisfied"/>
    <n v="0"/>
    <d v="2019-01-31T00:00:00"/>
    <n v="4"/>
    <n v="9"/>
  </r>
  <r>
    <n v="10197"/>
    <s v="Tommy DeVito"/>
    <x v="0"/>
    <x v="0"/>
    <x v="0"/>
    <x v="1"/>
    <x v="17"/>
    <x v="19"/>
    <n v="96820"/>
    <x v="67"/>
    <d v="1983-09-04T00:00:00"/>
    <x v="0"/>
    <x v="0"/>
    <n v="2045"/>
    <x v="0"/>
    <s v="US Citizen"/>
    <s v="White"/>
    <x v="45"/>
    <s v="Not Terminated"/>
    <x v="0"/>
    <x v="0"/>
    <n v="1"/>
    <x v="0"/>
    <n v="0"/>
    <x v="1"/>
    <n v="3"/>
    <s v="Fully Meets"/>
    <n v="3.01"/>
    <s v="Very Satisfied"/>
    <n v="7"/>
    <d v="2019-01-23T00:00:00"/>
    <n v="0"/>
    <n v="15"/>
  </r>
  <r>
    <n v="10276"/>
    <s v="Geoff Dickinson"/>
    <x v="0"/>
    <x v="0"/>
    <x v="0"/>
    <x v="0"/>
    <x v="0"/>
    <x v="7"/>
    <n v="51259"/>
    <x v="68"/>
    <d v="1982-11-15T00:00:00"/>
    <x v="0"/>
    <x v="0"/>
    <n v="2180"/>
    <x v="0"/>
    <s v="US Citizen"/>
    <s v="White"/>
    <x v="30"/>
    <s v="Not Terminated"/>
    <x v="0"/>
    <x v="0"/>
    <n v="1"/>
    <x v="0"/>
    <n v="0"/>
    <x v="1"/>
    <n v="3"/>
    <s v="Fully Meets"/>
    <n v="4.3"/>
    <s v="Satisfied"/>
    <n v="0"/>
    <d v="2019-02-19T00:00:00"/>
    <n v="0"/>
    <n v="1"/>
  </r>
  <r>
    <n v="10304"/>
    <s v="Jenna Dietrich"/>
    <x v="0"/>
    <x v="0"/>
    <x v="1"/>
    <x v="4"/>
    <x v="11"/>
    <x v="14"/>
    <n v="59231"/>
    <x v="69"/>
    <d v="1987-05-14T00:00:00"/>
    <x v="1"/>
    <x v="6"/>
    <n v="98052"/>
    <x v="1"/>
    <s v="US Citizen"/>
    <s v="White"/>
    <x v="11"/>
    <s v="Not Terminated"/>
    <x v="0"/>
    <x v="0"/>
    <n v="1"/>
    <x v="0"/>
    <n v="0"/>
    <x v="7"/>
    <n v="1"/>
    <s v="PIP"/>
    <n v="2.2999999999999998"/>
    <s v="Very Dissatisfied"/>
    <n v="0"/>
    <d v="2019-01-29T00:00:00"/>
    <n v="2"/>
    <n v="17"/>
  </r>
  <r>
    <n v="10284"/>
    <s v="Lily DiNocco"/>
    <x v="1"/>
    <x v="1"/>
    <x v="1"/>
    <x v="0"/>
    <x v="0"/>
    <x v="8"/>
    <n v="61584"/>
    <x v="70"/>
    <d v="1978-12-02T00:00:00"/>
    <x v="1"/>
    <x v="0"/>
    <n v="2351"/>
    <x v="0"/>
    <s v="US Citizen"/>
    <s v="Black or African American"/>
    <x v="46"/>
    <s v="Not Terminated"/>
    <x v="0"/>
    <x v="0"/>
    <n v="1"/>
    <x v="0"/>
    <n v="0"/>
    <x v="1"/>
    <n v="2"/>
    <s v="Needs Improvement"/>
    <n v="3.88"/>
    <s v="Satisfied"/>
    <n v="0"/>
    <d v="2019-01-18T00:00:00"/>
    <n v="0"/>
    <n v="6"/>
  </r>
  <r>
    <n v="10207"/>
    <s v="Denisa Dobrin"/>
    <x v="0"/>
    <x v="0"/>
    <x v="1"/>
    <x v="0"/>
    <x v="0"/>
    <x v="10"/>
    <n v="46335"/>
    <x v="71"/>
    <d v="1986-10-07T00:00:00"/>
    <x v="1"/>
    <x v="0"/>
    <n v="2125"/>
    <x v="1"/>
    <s v="US Citizen"/>
    <s v="White"/>
    <x v="10"/>
    <s v="Not Terminated"/>
    <x v="0"/>
    <x v="0"/>
    <n v="1"/>
    <x v="0"/>
    <n v="0"/>
    <x v="6"/>
    <n v="3"/>
    <s v="Fully Meets"/>
    <n v="3.4"/>
    <s v="Very Satisfied"/>
    <n v="0"/>
    <d v="2019-02-19T00:00:00"/>
    <n v="0"/>
    <n v="15"/>
  </r>
  <r>
    <n v="10133"/>
    <s v="Linda Dolan"/>
    <x v="1"/>
    <x v="1"/>
    <x v="1"/>
    <x v="1"/>
    <x v="4"/>
    <x v="9"/>
    <n v="70621"/>
    <x v="72"/>
    <d v="1988-07-18T00:00:00"/>
    <x v="1"/>
    <x v="0"/>
    <n v="2119"/>
    <x v="0"/>
    <s v="US Citizen"/>
    <s v="White"/>
    <x v="8"/>
    <s v="Not Terminated"/>
    <x v="0"/>
    <x v="0"/>
    <n v="1"/>
    <x v="0"/>
    <n v="0"/>
    <x v="3"/>
    <n v="3"/>
    <s v="Fully Meets"/>
    <n v="4.1100000000000003"/>
    <s v="Satisfied"/>
    <n v="6"/>
    <d v="2019-02-25T00:00:00"/>
    <n v="0"/>
    <n v="16"/>
  </r>
  <r>
    <n v="10028"/>
    <s v="Eric Dougall"/>
    <x v="0"/>
    <x v="0"/>
    <x v="0"/>
    <x v="1"/>
    <x v="18"/>
    <x v="15"/>
    <n v="138888"/>
    <x v="73"/>
    <d v="1970-07-09T00:00:00"/>
    <x v="0"/>
    <x v="0"/>
    <n v="1886"/>
    <x v="0"/>
    <s v="US Citizen"/>
    <s v="Black or African American"/>
    <x v="47"/>
    <s v="Not Terminated"/>
    <x v="0"/>
    <x v="0"/>
    <n v="1"/>
    <x v="0"/>
    <n v="0"/>
    <x v="1"/>
    <n v="4"/>
    <s v="Exceeds"/>
    <n v="4.3"/>
    <s v="Very Satisfied"/>
    <n v="5"/>
    <d v="2019-01-04T00:00:00"/>
    <n v="0"/>
    <n v="4"/>
  </r>
  <r>
    <n v="10006"/>
    <s v="Elle Driver"/>
    <x v="0"/>
    <x v="0"/>
    <x v="1"/>
    <x v="4"/>
    <x v="11"/>
    <x v="16"/>
    <n v="74241"/>
    <x v="74"/>
    <d v="1988-11-08T00:00:00"/>
    <x v="1"/>
    <x v="7"/>
    <n v="90007"/>
    <x v="0"/>
    <s v="US Citizen"/>
    <s v="White"/>
    <x v="9"/>
    <s v="Not Terminated"/>
    <x v="0"/>
    <x v="0"/>
    <n v="1"/>
    <x v="0"/>
    <n v="0"/>
    <x v="1"/>
    <n v="4"/>
    <s v="Exceeds"/>
    <n v="4.7699999999999996"/>
    <s v="Very Satisfied"/>
    <n v="0"/>
    <d v="2019-01-27T00:00:00"/>
    <n v="0"/>
    <n v="14"/>
  </r>
  <r>
    <n v="10105"/>
    <s v="Amy Dunn"/>
    <x v="0"/>
    <x v="0"/>
    <x v="1"/>
    <x v="0"/>
    <x v="9"/>
    <x v="13"/>
    <n v="75188"/>
    <x v="75"/>
    <d v="1973-11-28T00:00:00"/>
    <x v="1"/>
    <x v="0"/>
    <n v="1731"/>
    <x v="0"/>
    <s v="US Citizen"/>
    <s v="White"/>
    <x v="48"/>
    <s v="Not Terminated"/>
    <x v="0"/>
    <x v="0"/>
    <n v="1"/>
    <x v="0"/>
    <n v="0"/>
    <x v="2"/>
    <n v="3"/>
    <s v="Fully Meets"/>
    <n v="4.5199999999999996"/>
    <s v="Satisfied"/>
    <n v="0"/>
    <d v="2019-01-15T00:00:00"/>
    <n v="0"/>
    <n v="4"/>
  </r>
  <r>
    <n v="10211"/>
    <s v="Amy Dunne"/>
    <x v="1"/>
    <x v="1"/>
    <x v="1"/>
    <x v="0"/>
    <x v="0"/>
    <x v="7"/>
    <n v="62514"/>
    <x v="76"/>
    <d v="1973-09-23T00:00:00"/>
    <x v="1"/>
    <x v="0"/>
    <n v="1749"/>
    <x v="0"/>
    <s v="US Citizen"/>
    <s v="White"/>
    <x v="49"/>
    <s v="Not Terminated"/>
    <x v="0"/>
    <x v="0"/>
    <n v="1"/>
    <x v="0"/>
    <n v="0"/>
    <x v="2"/>
    <n v="3"/>
    <s v="Fully Meets"/>
    <n v="2.9"/>
    <s v="Neutral"/>
    <n v="0"/>
    <d v="2019-01-21T00:00:00"/>
    <n v="0"/>
    <n v="6"/>
  </r>
  <r>
    <n v="10064"/>
    <s v="Marianne Eaton"/>
    <x v="1"/>
    <x v="1"/>
    <x v="1"/>
    <x v="0"/>
    <x v="0"/>
    <x v="2"/>
    <n v="60070"/>
    <x v="77"/>
    <d v="1991-09-05T00:00:00"/>
    <x v="1"/>
    <x v="0"/>
    <n v="2343"/>
    <x v="0"/>
    <s v="US Citizen"/>
    <s v="White"/>
    <x v="15"/>
    <s v="2017-06-06"/>
    <x v="1"/>
    <x v="12"/>
    <n v="5"/>
    <x v="1"/>
    <n v="0"/>
    <x v="2"/>
    <n v="3"/>
    <s v="Fully Meets"/>
    <n v="5"/>
    <s v="Neutral"/>
    <n v="0"/>
    <d v="2017-04-09T00:00:00"/>
    <n v="0"/>
    <n v="7"/>
  </r>
  <r>
    <n v="10247"/>
    <s v="Jean Engdahl"/>
    <x v="0"/>
    <x v="0"/>
    <x v="0"/>
    <x v="0"/>
    <x v="0"/>
    <x v="11"/>
    <n v="48888"/>
    <x v="78"/>
    <d v="1974-05-31T00:00:00"/>
    <x v="0"/>
    <x v="0"/>
    <n v="2026"/>
    <x v="0"/>
    <s v="US Citizen"/>
    <s v="White"/>
    <x v="5"/>
    <s v="Not Terminated"/>
    <x v="0"/>
    <x v="0"/>
    <n v="1"/>
    <x v="0"/>
    <n v="0"/>
    <x v="0"/>
    <n v="3"/>
    <s v="Fully Meets"/>
    <n v="4.7"/>
    <s v="Very Satisfied"/>
    <n v="0"/>
    <d v="2019-02-13T00:00:00"/>
    <n v="0"/>
    <n v="8"/>
  </r>
  <r>
    <n v="10235"/>
    <s v="Rex England"/>
    <x v="1"/>
    <x v="1"/>
    <x v="0"/>
    <x v="0"/>
    <x v="0"/>
    <x v="11"/>
    <n v="54285"/>
    <x v="79"/>
    <d v="1978-08-25T00:00:00"/>
    <x v="0"/>
    <x v="0"/>
    <n v="2045"/>
    <x v="0"/>
    <s v="US Citizen"/>
    <s v="White"/>
    <x v="25"/>
    <s v="Not Terminated"/>
    <x v="0"/>
    <x v="0"/>
    <n v="1"/>
    <x v="0"/>
    <n v="0"/>
    <x v="3"/>
    <n v="3"/>
    <s v="Fully Meets"/>
    <n v="4.2"/>
    <s v="Neutral"/>
    <n v="0"/>
    <d v="2019-01-11T00:00:00"/>
    <n v="0"/>
    <n v="3"/>
  </r>
  <r>
    <n v="10299"/>
    <s v="Angela Erilus"/>
    <x v="0"/>
    <x v="4"/>
    <x v="1"/>
    <x v="0"/>
    <x v="2"/>
    <x v="0"/>
    <n v="56847"/>
    <x v="80"/>
    <d v="1989-08-25T00:00:00"/>
    <x v="1"/>
    <x v="0"/>
    <n v="2133"/>
    <x v="0"/>
    <s v="US Citizen"/>
    <s v="White"/>
    <x v="16"/>
    <s v="Not Terminated"/>
    <x v="0"/>
    <x v="0"/>
    <n v="1"/>
    <x v="0"/>
    <n v="0"/>
    <x v="1"/>
    <n v="1"/>
    <s v="PIP"/>
    <n v="3"/>
    <s v="Very Dissatisfied"/>
    <n v="0"/>
    <d v="2019-02-25T00:00:00"/>
    <n v="2"/>
    <n v="5"/>
  </r>
  <r>
    <n v="10280"/>
    <s v="Miguel Estremera"/>
    <x v="0"/>
    <x v="0"/>
    <x v="0"/>
    <x v="0"/>
    <x v="0"/>
    <x v="0"/>
    <n v="60340"/>
    <x v="81"/>
    <d v="1983-09-02T00:00:00"/>
    <x v="0"/>
    <x v="0"/>
    <n v="2129"/>
    <x v="0"/>
    <s v="US Citizen"/>
    <s v="White"/>
    <x v="10"/>
    <s v="2018-09-27"/>
    <x v="1"/>
    <x v="6"/>
    <n v="4"/>
    <x v="2"/>
    <n v="0"/>
    <x v="2"/>
    <n v="2"/>
    <s v="Needs Improvement"/>
    <n v="5"/>
    <s v="Satisfied"/>
    <n v="0"/>
    <d v="2018-04-12T00:00:00"/>
    <n v="5"/>
    <n v="16"/>
  </r>
  <r>
    <n v="10296"/>
    <s v="April Evensen"/>
    <x v="0"/>
    <x v="0"/>
    <x v="1"/>
    <x v="0"/>
    <x v="0"/>
    <x v="3"/>
    <n v="59124"/>
    <x v="82"/>
    <d v="1989-05-06T00:00:00"/>
    <x v="1"/>
    <x v="0"/>
    <n v="2458"/>
    <x v="0"/>
    <s v="US Citizen"/>
    <s v="White"/>
    <x v="18"/>
    <s v="2018-02-25"/>
    <x v="1"/>
    <x v="13"/>
    <n v="4"/>
    <x v="2"/>
    <n v="0"/>
    <x v="2"/>
    <n v="2"/>
    <s v="Needs Improvement"/>
    <n v="2.2999999999999998"/>
    <s v="Neutral"/>
    <n v="0"/>
    <d v="2017-01-15T00:00:00"/>
    <n v="5"/>
    <n v="19"/>
  </r>
  <r>
    <n v="10290"/>
    <s v="Susan Exantus"/>
    <x v="1"/>
    <x v="1"/>
    <x v="1"/>
    <x v="2"/>
    <x v="3"/>
    <x v="6"/>
    <n v="99280"/>
    <x v="83"/>
    <d v="1987-05-15T00:00:00"/>
    <x v="1"/>
    <x v="0"/>
    <n v="1749"/>
    <x v="0"/>
    <s v="US Citizen"/>
    <s v="Black or African American"/>
    <x v="50"/>
    <s v="2013-06-05"/>
    <x v="1"/>
    <x v="6"/>
    <n v="4"/>
    <x v="2"/>
    <n v="0"/>
    <x v="1"/>
    <n v="2"/>
    <s v="Needs Improvement"/>
    <n v="2.1"/>
    <s v="Very Satisfied"/>
    <n v="4"/>
    <d v="2012-08-10T00:00:00"/>
    <n v="4"/>
    <n v="19"/>
  </r>
  <r>
    <n v="10263"/>
    <s v="Megan Faller"/>
    <x v="1"/>
    <x v="1"/>
    <x v="1"/>
    <x v="0"/>
    <x v="2"/>
    <x v="3"/>
    <n v="71776"/>
    <x v="84"/>
    <d v="1978-09-22T00:00:00"/>
    <x v="1"/>
    <x v="0"/>
    <n v="1824"/>
    <x v="0"/>
    <s v="US Citizen"/>
    <s v="Black or African American"/>
    <x v="16"/>
    <s v="Not Terminated"/>
    <x v="0"/>
    <x v="0"/>
    <n v="1"/>
    <x v="0"/>
    <n v="0"/>
    <x v="0"/>
    <n v="3"/>
    <s v="Fully Meets"/>
    <n v="4.4000000000000004"/>
    <s v="Very Satisfied"/>
    <n v="0"/>
    <d v="2019-02-22T00:00:00"/>
    <n v="0"/>
    <n v="17"/>
  </r>
  <r>
    <n v="10189"/>
    <s v="Susan Ferguson"/>
    <x v="1"/>
    <x v="1"/>
    <x v="1"/>
    <x v="0"/>
    <x v="0"/>
    <x v="4"/>
    <n v="57748"/>
    <x v="85"/>
    <d v="1955-04-14T00:00:00"/>
    <x v="1"/>
    <x v="0"/>
    <n v="2176"/>
    <x v="0"/>
    <s v="US Citizen"/>
    <s v="White"/>
    <x v="43"/>
    <s v="2016-05-17"/>
    <x v="1"/>
    <x v="12"/>
    <n v="5"/>
    <x v="1"/>
    <n v="0"/>
    <x v="2"/>
    <n v="3"/>
    <s v="Fully Meets"/>
    <n v="3.13"/>
    <s v="Neutral"/>
    <n v="0"/>
    <d v="2016-02-04T00:00:00"/>
    <n v="0"/>
    <n v="16"/>
  </r>
  <r>
    <n v="10308"/>
    <s v="Nilson Fernandes"/>
    <x v="1"/>
    <x v="1"/>
    <x v="0"/>
    <x v="0"/>
    <x v="0"/>
    <x v="5"/>
    <n v="64057"/>
    <x v="86"/>
    <d v="1989-10-18T00:00:00"/>
    <x v="0"/>
    <x v="0"/>
    <n v="2132"/>
    <x v="0"/>
    <s v="US Citizen"/>
    <s v="White"/>
    <x v="51"/>
    <s v="Not Terminated"/>
    <x v="0"/>
    <x v="0"/>
    <n v="1"/>
    <x v="0"/>
    <n v="0"/>
    <x v="1"/>
    <n v="1"/>
    <s v="PIP"/>
    <n v="1.56"/>
    <s v="Very Satisfied"/>
    <n v="0"/>
    <d v="2019-01-03T00:00:00"/>
    <n v="6"/>
    <n v="15"/>
  </r>
  <r>
    <n v="10309"/>
    <s v="Boba Fett"/>
    <x v="0"/>
    <x v="0"/>
    <x v="0"/>
    <x v="1"/>
    <x v="19"/>
    <x v="9"/>
    <n v="53366"/>
    <x v="87"/>
    <d v="1987-06-18T00:00:00"/>
    <x v="0"/>
    <x v="0"/>
    <n v="2138"/>
    <x v="0"/>
    <s v="US Citizen"/>
    <s v="White"/>
    <x v="1"/>
    <s v="Not Terminated"/>
    <x v="0"/>
    <x v="0"/>
    <n v="1"/>
    <x v="0"/>
    <n v="0"/>
    <x v="0"/>
    <n v="1"/>
    <s v="PIP"/>
    <n v="1.2"/>
    <s v="Neutral"/>
    <n v="6"/>
    <d v="2019-02-04T00:00:00"/>
    <n v="3"/>
    <n v="2"/>
  </r>
  <r>
    <n v="10049"/>
    <s v="Libby Fidelia"/>
    <x v="1"/>
    <x v="1"/>
    <x v="1"/>
    <x v="0"/>
    <x v="0"/>
    <x v="8"/>
    <n v="58530"/>
    <x v="88"/>
    <d v="1981-03-16T00:00:00"/>
    <x v="1"/>
    <x v="0"/>
    <n v="2155"/>
    <x v="0"/>
    <s v="US Citizen"/>
    <s v="White"/>
    <x v="4"/>
    <s v="Not Terminated"/>
    <x v="0"/>
    <x v="0"/>
    <n v="1"/>
    <x v="0"/>
    <n v="0"/>
    <x v="2"/>
    <n v="3"/>
    <s v="Fully Meets"/>
    <n v="5"/>
    <s v="Very Satisfied"/>
    <n v="0"/>
    <d v="2019-01-29T00:00:00"/>
    <n v="0"/>
    <n v="19"/>
  </r>
  <r>
    <n v="10093"/>
    <s v="Michael Fitzpatrick"/>
    <x v="0"/>
    <x v="0"/>
    <x v="0"/>
    <x v="0"/>
    <x v="2"/>
    <x v="5"/>
    <n v="72609"/>
    <x v="89"/>
    <d v="1981-10-01T00:00:00"/>
    <x v="0"/>
    <x v="0"/>
    <n v="2143"/>
    <x v="1"/>
    <s v="US Citizen"/>
    <s v="White"/>
    <x v="35"/>
    <s v="2013-06-24"/>
    <x v="1"/>
    <x v="2"/>
    <n v="5"/>
    <x v="1"/>
    <n v="0"/>
    <x v="2"/>
    <n v="3"/>
    <s v="Fully Meets"/>
    <n v="4.76"/>
    <s v="Very Satisfied"/>
    <n v="0"/>
    <d v="2013-04-05T00:00:00"/>
    <n v="0"/>
    <n v="20"/>
  </r>
  <r>
    <n v="10163"/>
    <s v="Tanya Foreman"/>
    <x v="1"/>
    <x v="1"/>
    <x v="1"/>
    <x v="0"/>
    <x v="2"/>
    <x v="7"/>
    <n v="55965"/>
    <x v="90"/>
    <d v="1983-11-08T00:00:00"/>
    <x v="1"/>
    <x v="0"/>
    <n v="2170"/>
    <x v="0"/>
    <s v="US Citizen"/>
    <s v="White"/>
    <x v="15"/>
    <s v="2013-01-09"/>
    <x v="1"/>
    <x v="1"/>
    <n v="5"/>
    <x v="1"/>
    <n v="0"/>
    <x v="2"/>
    <n v="3"/>
    <s v="Fully Meets"/>
    <n v="3.66"/>
    <s v="Neutral"/>
    <n v="0"/>
    <d v="2012-01-07T00:00:00"/>
    <n v="0"/>
    <n v="6"/>
  </r>
  <r>
    <n v="10305"/>
    <s v="Alex Forrest"/>
    <x v="1"/>
    <x v="1"/>
    <x v="0"/>
    <x v="4"/>
    <x v="11"/>
    <x v="16"/>
    <n v="70187"/>
    <x v="91"/>
    <d v="1975-07-07T00:00:00"/>
    <x v="0"/>
    <x v="0"/>
    <n v="2330"/>
    <x v="0"/>
    <s v="US Citizen"/>
    <s v="White"/>
    <x v="28"/>
    <s v="2018-08-19"/>
    <x v="1"/>
    <x v="14"/>
    <n v="1"/>
    <x v="2"/>
    <n v="0"/>
    <x v="3"/>
    <n v="3"/>
    <s v="PIP"/>
    <n v="2"/>
    <s v="Very Satisfied"/>
    <n v="0"/>
    <d v="2019-01-28T00:00:00"/>
    <n v="4"/>
    <n v="7"/>
  </r>
  <r>
    <n v="10015"/>
    <s v="Jason Foss"/>
    <x v="0"/>
    <x v="0"/>
    <x v="0"/>
    <x v="1"/>
    <x v="20"/>
    <x v="15"/>
    <n v="178000"/>
    <x v="92"/>
    <d v="1980-07-05T00:00:00"/>
    <x v="0"/>
    <x v="0"/>
    <n v="1460"/>
    <x v="0"/>
    <s v="US Citizen"/>
    <s v="Black or African American"/>
    <x v="52"/>
    <s v="Not Terminated"/>
    <x v="0"/>
    <x v="0"/>
    <n v="1"/>
    <x v="0"/>
    <n v="0"/>
    <x v="1"/>
    <n v="4"/>
    <s v="Exceeds"/>
    <n v="5"/>
    <s v="Very Satisfied"/>
    <n v="5"/>
    <d v="2019-01-07T00:00:00"/>
    <n v="0"/>
    <n v="15"/>
  </r>
  <r>
    <n v="10080"/>
    <s v="Amy Foster-Baker"/>
    <x v="1"/>
    <x v="1"/>
    <x v="1"/>
    <x v="3"/>
    <x v="8"/>
    <x v="20"/>
    <n v="99351"/>
    <x v="93"/>
    <d v="1979-04-16T00:00:00"/>
    <x v="1"/>
    <x v="0"/>
    <n v="2050"/>
    <x v="0"/>
    <s v="US Citizen"/>
    <s v="White"/>
    <x v="40"/>
    <s v="Not Terminated"/>
    <x v="0"/>
    <x v="0"/>
    <n v="1"/>
    <x v="0"/>
    <n v="0"/>
    <x v="8"/>
    <n v="3"/>
    <s v="Fully Meets"/>
    <n v="5"/>
    <s v="Neutral"/>
    <n v="2"/>
    <d v="2019-02-08T00:00:00"/>
    <n v="0"/>
    <n v="3"/>
  </r>
  <r>
    <n v="10258"/>
    <s v="Maruk Fraval"/>
    <x v="0"/>
    <x v="0"/>
    <x v="0"/>
    <x v="4"/>
    <x v="11"/>
    <x v="16"/>
    <n v="67251"/>
    <x v="94"/>
    <d v="1963-08-28T00:00:00"/>
    <x v="0"/>
    <x v="2"/>
    <n v="6050"/>
    <x v="0"/>
    <s v="US Citizen"/>
    <s v="Black or African American"/>
    <x v="53"/>
    <s v="Not Terminated"/>
    <x v="0"/>
    <x v="0"/>
    <n v="1"/>
    <x v="0"/>
    <n v="0"/>
    <x v="6"/>
    <n v="3"/>
    <s v="Fully Meets"/>
    <n v="4.3"/>
    <s v="Neutral"/>
    <n v="0"/>
    <d v="2019-01-27T00:00:00"/>
    <n v="2"/>
    <n v="7"/>
  </r>
  <r>
    <n v="10273"/>
    <s v="Lisa Galia"/>
    <x v="0"/>
    <x v="0"/>
    <x v="1"/>
    <x v="1"/>
    <x v="4"/>
    <x v="17"/>
    <n v="65707"/>
    <x v="95"/>
    <d v="1968-07-06T00:00:00"/>
    <x v="1"/>
    <x v="2"/>
    <n v="6040"/>
    <x v="0"/>
    <s v="US Citizen"/>
    <s v="White"/>
    <x v="54"/>
    <s v="Not Terminated"/>
    <x v="0"/>
    <x v="0"/>
    <n v="1"/>
    <x v="0"/>
    <n v="0"/>
    <x v="0"/>
    <n v="3"/>
    <s v="Fully Meets"/>
    <n v="4.7"/>
    <s v="Satisfied"/>
    <n v="5"/>
    <d v="2019-02-01T00:00:00"/>
    <n v="0"/>
    <n v="1"/>
  </r>
  <r>
    <n v="10111"/>
    <s v="Raul Garcia"/>
    <x v="0"/>
    <x v="0"/>
    <x v="0"/>
    <x v="0"/>
    <x v="0"/>
    <x v="10"/>
    <n v="52249"/>
    <x v="96"/>
    <d v="1985-09-15T00:00:00"/>
    <x v="0"/>
    <x v="0"/>
    <n v="1905"/>
    <x v="1"/>
    <s v="US Citizen"/>
    <s v="White"/>
    <x v="1"/>
    <s v="Not Terminated"/>
    <x v="0"/>
    <x v="0"/>
    <n v="1"/>
    <x v="0"/>
    <n v="0"/>
    <x v="3"/>
    <n v="3"/>
    <s v="Fully Meets"/>
    <n v="4.5"/>
    <s v="Neutral"/>
    <n v="0"/>
    <d v="2019-02-18T00:00:00"/>
    <n v="0"/>
    <n v="5"/>
  </r>
  <r>
    <n v="10257"/>
    <s v="Barbara Gaul"/>
    <x v="0"/>
    <x v="0"/>
    <x v="1"/>
    <x v="0"/>
    <x v="0"/>
    <x v="11"/>
    <n v="53171"/>
    <x v="97"/>
    <d v="1983-12-02T00:00:00"/>
    <x v="1"/>
    <x v="0"/>
    <n v="2121"/>
    <x v="1"/>
    <s v="US Citizen"/>
    <s v="Black or African American"/>
    <x v="35"/>
    <s v="Not Terminated"/>
    <x v="0"/>
    <x v="0"/>
    <n v="1"/>
    <x v="0"/>
    <n v="0"/>
    <x v="0"/>
    <n v="3"/>
    <s v="Fully Meets"/>
    <n v="4.2"/>
    <s v="Satisfied"/>
    <n v="0"/>
    <d v="2019-02-26T00:00:00"/>
    <n v="0"/>
    <n v="12"/>
  </r>
  <r>
    <n v="10159"/>
    <s v="Mildred Gentry"/>
    <x v="1"/>
    <x v="1"/>
    <x v="1"/>
    <x v="0"/>
    <x v="0"/>
    <x v="0"/>
    <n v="51337"/>
    <x v="98"/>
    <d v="1990-10-01T00:00:00"/>
    <x v="1"/>
    <x v="0"/>
    <n v="2145"/>
    <x v="0"/>
    <s v="US Citizen"/>
    <s v="Black or African American"/>
    <x v="1"/>
    <s v="Not Terminated"/>
    <x v="0"/>
    <x v="0"/>
    <n v="1"/>
    <x v="0"/>
    <n v="0"/>
    <x v="0"/>
    <n v="3"/>
    <s v="Fully Meets"/>
    <n v="3.73"/>
    <s v="Neutral"/>
    <n v="0"/>
    <d v="2019-01-16T00:00:00"/>
    <n v="0"/>
    <n v="19"/>
  </r>
  <r>
    <n v="10122"/>
    <s v="Melisa Gerke"/>
    <x v="0"/>
    <x v="2"/>
    <x v="1"/>
    <x v="0"/>
    <x v="0"/>
    <x v="3"/>
    <n v="51505"/>
    <x v="99"/>
    <d v="1970-05-15T00:00:00"/>
    <x v="1"/>
    <x v="0"/>
    <n v="2330"/>
    <x v="0"/>
    <s v="US Citizen"/>
    <s v="Black or African American"/>
    <x v="43"/>
    <s v="2016-11-15"/>
    <x v="1"/>
    <x v="2"/>
    <n v="5"/>
    <x v="1"/>
    <n v="1"/>
    <x v="4"/>
    <n v="3"/>
    <s v="Fully Meets"/>
    <n v="4.24"/>
    <s v="Satisfied"/>
    <n v="0"/>
    <d v="2016-04-29T00:00:00"/>
    <n v="0"/>
    <n v="2"/>
  </r>
  <r>
    <n v="10142"/>
    <s v="Whitney Gill"/>
    <x v="0"/>
    <x v="3"/>
    <x v="1"/>
    <x v="4"/>
    <x v="11"/>
    <x v="14"/>
    <n v="59370"/>
    <x v="100"/>
    <d v="1971-07-10T00:00:00"/>
    <x v="1"/>
    <x v="8"/>
    <n v="43050"/>
    <x v="0"/>
    <s v="US Citizen"/>
    <s v="Black or African American"/>
    <x v="16"/>
    <s v="2015-09-05"/>
    <x v="1"/>
    <x v="6"/>
    <n v="4"/>
    <x v="2"/>
    <n v="0"/>
    <x v="6"/>
    <n v="3"/>
    <s v="Fully Meets"/>
    <n v="3.97"/>
    <s v="Satisfied"/>
    <n v="0"/>
    <d v="2014-01-15T00:00:00"/>
    <n v="0"/>
    <n v="7"/>
  </r>
  <r>
    <n v="10283"/>
    <s v="Alex Gilles"/>
    <x v="1"/>
    <x v="1"/>
    <x v="0"/>
    <x v="0"/>
    <x v="0"/>
    <x v="4"/>
    <n v="54933"/>
    <x v="101"/>
    <d v="1974-08-09T00:00:00"/>
    <x v="0"/>
    <x v="0"/>
    <n v="2062"/>
    <x v="0"/>
    <s v="US Citizen"/>
    <s v="Black or African American"/>
    <x v="10"/>
    <s v="2015-06-25"/>
    <x v="1"/>
    <x v="12"/>
    <n v="5"/>
    <x v="1"/>
    <n v="1"/>
    <x v="4"/>
    <n v="2"/>
    <s v="Needs Improvement"/>
    <n v="3.97"/>
    <s v="Satisfied"/>
    <n v="0"/>
    <d v="2015-01-20T00:00:00"/>
    <n v="3"/>
    <n v="15"/>
  </r>
  <r>
    <n v="10018"/>
    <s v="Evelyn Girifalco"/>
    <x v="0"/>
    <x v="0"/>
    <x v="1"/>
    <x v="0"/>
    <x v="0"/>
    <x v="5"/>
    <n v="57815"/>
    <x v="23"/>
    <d v="1980-05-08T00:00:00"/>
    <x v="1"/>
    <x v="0"/>
    <n v="2451"/>
    <x v="1"/>
    <s v="US Citizen"/>
    <s v="Two or more races"/>
    <x v="28"/>
    <s v="Not Terminated"/>
    <x v="0"/>
    <x v="0"/>
    <n v="1"/>
    <x v="0"/>
    <n v="0"/>
    <x v="1"/>
    <n v="4"/>
    <s v="Exceeds"/>
    <n v="3.9"/>
    <s v="Satisfied"/>
    <n v="0"/>
    <d v="2019-02-07T00:00:00"/>
    <n v="0"/>
    <n v="3"/>
  </r>
  <r>
    <n v="10255"/>
    <s v="Myriam Givens"/>
    <x v="0"/>
    <x v="0"/>
    <x v="1"/>
    <x v="4"/>
    <x v="11"/>
    <x v="16"/>
    <n v="61555"/>
    <x v="102"/>
    <d v="1989-09-22T00:00:00"/>
    <x v="1"/>
    <x v="9"/>
    <n v="46204"/>
    <x v="0"/>
    <s v="US Citizen"/>
    <s v="White"/>
    <x v="19"/>
    <s v="Not Terminated"/>
    <x v="0"/>
    <x v="0"/>
    <n v="1"/>
    <x v="0"/>
    <n v="0"/>
    <x v="1"/>
    <n v="3"/>
    <s v="Fully Meets"/>
    <n v="4.5"/>
    <s v="Very Satisfied"/>
    <n v="0"/>
    <d v="2019-01-25T00:00:00"/>
    <n v="0"/>
    <n v="20"/>
  </r>
  <r>
    <n v="10246"/>
    <s v="Taisha Goble"/>
    <x v="0"/>
    <x v="0"/>
    <x v="1"/>
    <x v="1"/>
    <x v="6"/>
    <x v="1"/>
    <n v="114800"/>
    <x v="103"/>
    <d v="1971-10-23T00:00:00"/>
    <x v="1"/>
    <x v="0"/>
    <n v="2127"/>
    <x v="0"/>
    <s v="US Citizen"/>
    <s v="White"/>
    <x v="19"/>
    <s v="2015-03-15"/>
    <x v="1"/>
    <x v="13"/>
    <n v="4"/>
    <x v="2"/>
    <n v="0"/>
    <x v="1"/>
    <n v="3"/>
    <s v="Fully Meets"/>
    <n v="4.5999999999999996"/>
    <s v="Satisfied"/>
    <n v="4"/>
    <d v="2015-01-20T00:00:00"/>
    <n v="0"/>
    <n v="10"/>
  </r>
  <r>
    <n v="10228"/>
    <s v="Amon Goeth"/>
    <x v="1"/>
    <x v="1"/>
    <x v="0"/>
    <x v="1"/>
    <x v="4"/>
    <x v="9"/>
    <n v="74679"/>
    <x v="104"/>
    <d v="1989-11-24T00:00:00"/>
    <x v="0"/>
    <x v="0"/>
    <n v="2135"/>
    <x v="1"/>
    <s v="US Citizen"/>
    <s v="White"/>
    <x v="1"/>
    <s v="Not Terminated"/>
    <x v="0"/>
    <x v="0"/>
    <n v="1"/>
    <x v="0"/>
    <n v="0"/>
    <x v="0"/>
    <n v="3"/>
    <s v="Fully Meets"/>
    <n v="4.3"/>
    <s v="Very Satisfied"/>
    <n v="7"/>
    <d v="2019-01-10T00:00:00"/>
    <n v="0"/>
    <n v="20"/>
  </r>
  <r>
    <n v="10243"/>
    <s v="Shenice Gold"/>
    <x v="0"/>
    <x v="0"/>
    <x v="1"/>
    <x v="0"/>
    <x v="0"/>
    <x v="7"/>
    <n v="53018"/>
    <x v="105"/>
    <d v="1992-06-18T00:00:00"/>
    <x v="1"/>
    <x v="0"/>
    <n v="2451"/>
    <x v="1"/>
    <s v="US Citizen"/>
    <s v="White"/>
    <x v="21"/>
    <s v="Not Terminated"/>
    <x v="0"/>
    <x v="0"/>
    <n v="1"/>
    <x v="0"/>
    <n v="0"/>
    <x v="1"/>
    <n v="3"/>
    <s v="Fully Meets"/>
    <n v="4.3"/>
    <s v="Very Satisfied"/>
    <n v="0"/>
    <d v="2019-02-18T00:00:00"/>
    <n v="0"/>
    <n v="7"/>
  </r>
  <r>
    <n v="10031"/>
    <s v="Cayo Gonzalez"/>
    <x v="0"/>
    <x v="2"/>
    <x v="0"/>
    <x v="0"/>
    <x v="0"/>
    <x v="8"/>
    <n v="59892"/>
    <x v="106"/>
    <d v="1969-09-29T00:00:00"/>
    <x v="0"/>
    <x v="0"/>
    <n v="2108"/>
    <x v="0"/>
    <s v="US Citizen"/>
    <s v="Black or African American"/>
    <x v="3"/>
    <s v="Not Terminated"/>
    <x v="0"/>
    <x v="0"/>
    <n v="1"/>
    <x v="0"/>
    <n v="1"/>
    <x v="4"/>
    <n v="4"/>
    <s v="Exceeds"/>
    <n v="4.5"/>
    <s v="Satisfied"/>
    <n v="0"/>
    <d v="2019-02-18T00:00:00"/>
    <n v="0"/>
    <n v="1"/>
  </r>
  <r>
    <n v="10300"/>
    <s v="Juan Gonzalez"/>
    <x v="1"/>
    <x v="1"/>
    <x v="0"/>
    <x v="0"/>
    <x v="2"/>
    <x v="8"/>
    <n v="68898"/>
    <x v="107"/>
    <d v="1964-10-12T00:00:00"/>
    <x v="0"/>
    <x v="0"/>
    <n v="2128"/>
    <x v="0"/>
    <s v="US Citizen"/>
    <s v="Black or African American"/>
    <x v="49"/>
    <s v="2011-05-30"/>
    <x v="1"/>
    <x v="1"/>
    <n v="5"/>
    <x v="1"/>
    <n v="1"/>
    <x v="4"/>
    <n v="1"/>
    <s v="PIP"/>
    <n v="3"/>
    <s v="Neutral"/>
    <n v="0"/>
    <d v="2011-03-06T00:00:00"/>
    <n v="3"/>
    <n v="10"/>
  </r>
  <r>
    <n v="10101"/>
    <s v="Maria Gonzalez"/>
    <x v="0"/>
    <x v="4"/>
    <x v="1"/>
    <x v="1"/>
    <x v="4"/>
    <x v="9"/>
    <n v="61242"/>
    <x v="108"/>
    <d v="1981-04-16T00:00:00"/>
    <x v="1"/>
    <x v="0"/>
    <n v="2472"/>
    <x v="1"/>
    <s v="US Citizen"/>
    <s v="White"/>
    <x v="8"/>
    <s v="Not Terminated"/>
    <x v="0"/>
    <x v="0"/>
    <n v="1"/>
    <x v="0"/>
    <n v="0"/>
    <x v="3"/>
    <n v="3"/>
    <s v="Fully Meets"/>
    <n v="4.6100000000000003"/>
    <s v="Satisfied"/>
    <n v="5"/>
    <d v="2019-01-28T00:00:00"/>
    <n v="0"/>
    <n v="11"/>
  </r>
  <r>
    <n v="10237"/>
    <s v="Susan Good"/>
    <x v="1"/>
    <x v="1"/>
    <x v="1"/>
    <x v="0"/>
    <x v="2"/>
    <x v="10"/>
    <n v="66825"/>
    <x v="109"/>
    <d v="1986-05-25T00:00:00"/>
    <x v="1"/>
    <x v="0"/>
    <n v="1886"/>
    <x v="0"/>
    <s v="US Citizen"/>
    <s v="White"/>
    <x v="30"/>
    <s v="Not Terminated"/>
    <x v="0"/>
    <x v="0"/>
    <n v="3"/>
    <x v="0"/>
    <n v="0"/>
    <x v="0"/>
    <n v="3"/>
    <s v="Fully Meets"/>
    <n v="4.5999999999999996"/>
    <s v="Neutral"/>
    <n v="0"/>
    <d v="2019-02-07T00:00:00"/>
    <n v="0"/>
    <n v="20"/>
  </r>
  <r>
    <n v="10051"/>
    <s v="David Gordon"/>
    <x v="1"/>
    <x v="1"/>
    <x v="0"/>
    <x v="0"/>
    <x v="0"/>
    <x v="10"/>
    <n v="48285"/>
    <x v="110"/>
    <d v="1979-05-21T00:00:00"/>
    <x v="0"/>
    <x v="0"/>
    <n v="2169"/>
    <x v="0"/>
    <s v="US Citizen"/>
    <s v="White"/>
    <x v="42"/>
    <s v="Not Terminated"/>
    <x v="0"/>
    <x v="0"/>
    <n v="1"/>
    <x v="0"/>
    <n v="0"/>
    <x v="0"/>
    <n v="3"/>
    <s v="Fully Meets"/>
    <n v="5"/>
    <s v="Neutral"/>
    <n v="0"/>
    <d v="2019-01-14T00:00:00"/>
    <n v="0"/>
    <n v="2"/>
  </r>
  <r>
    <n v="10218"/>
    <s v="Phylicia Gosciminski"/>
    <x v="0"/>
    <x v="4"/>
    <x v="1"/>
    <x v="0"/>
    <x v="2"/>
    <x v="2"/>
    <n v="66149"/>
    <x v="111"/>
    <d v="1983-12-08T00:00:00"/>
    <x v="1"/>
    <x v="0"/>
    <n v="1824"/>
    <x v="0"/>
    <s v="US Citizen"/>
    <s v="American Indian or Alaska Native"/>
    <x v="6"/>
    <s v="Not Terminated"/>
    <x v="0"/>
    <x v="0"/>
    <n v="3"/>
    <x v="0"/>
    <n v="0"/>
    <x v="2"/>
    <n v="3"/>
    <s v="Fully Meets"/>
    <n v="4.4000000000000004"/>
    <s v="Very Satisfied"/>
    <n v="0"/>
    <d v="2019-02-21T00:00:00"/>
    <n v="0"/>
    <n v="1"/>
  </r>
  <r>
    <n v="10256"/>
    <s v="Roxana Goyal"/>
    <x v="1"/>
    <x v="1"/>
    <x v="1"/>
    <x v="0"/>
    <x v="0"/>
    <x v="2"/>
    <n v="49256"/>
    <x v="112"/>
    <d v="1974-10-09T00:00:00"/>
    <x v="1"/>
    <x v="0"/>
    <n v="1864"/>
    <x v="0"/>
    <s v="US Citizen"/>
    <s v="Asian"/>
    <x v="17"/>
    <s v="Not Terminated"/>
    <x v="0"/>
    <x v="0"/>
    <n v="3"/>
    <x v="0"/>
    <n v="0"/>
    <x v="0"/>
    <n v="3"/>
    <s v="Fully Meets"/>
    <n v="4.0999999999999996"/>
    <s v="Very Satisfied"/>
    <n v="0"/>
    <d v="2019-02-15T00:00:00"/>
    <n v="0"/>
    <n v="3"/>
  </r>
  <r>
    <n v="10098"/>
    <s v="Elijiah Gray"/>
    <x v="0"/>
    <x v="2"/>
    <x v="0"/>
    <x v="0"/>
    <x v="9"/>
    <x v="13"/>
    <n v="62957"/>
    <x v="113"/>
    <d v="1981-07-11T00:00:00"/>
    <x v="0"/>
    <x v="0"/>
    <n v="1752"/>
    <x v="0"/>
    <s v="US Citizen"/>
    <s v="White"/>
    <x v="55"/>
    <s v="Not Terminated"/>
    <x v="0"/>
    <x v="0"/>
    <n v="1"/>
    <x v="0"/>
    <n v="0"/>
    <x v="3"/>
    <n v="3"/>
    <s v="Fully Meets"/>
    <n v="4.63"/>
    <s v="Neutral"/>
    <n v="0"/>
    <d v="2019-01-04T00:00:00"/>
    <n v="0"/>
    <n v="2"/>
  </r>
  <r>
    <n v="10059"/>
    <s v="Paula Gross"/>
    <x v="0"/>
    <x v="2"/>
    <x v="1"/>
    <x v="0"/>
    <x v="0"/>
    <x v="11"/>
    <n v="63813"/>
    <x v="114"/>
    <d v="1983-05-21T00:00:00"/>
    <x v="1"/>
    <x v="0"/>
    <n v="2176"/>
    <x v="0"/>
    <s v="US Citizen"/>
    <s v="White"/>
    <x v="13"/>
    <s v="2014-01-11"/>
    <x v="1"/>
    <x v="11"/>
    <n v="5"/>
    <x v="1"/>
    <n v="0"/>
    <x v="6"/>
    <n v="3"/>
    <s v="Fully Meets"/>
    <n v="5"/>
    <s v="Very Satisfied"/>
    <n v="0"/>
    <d v="2013-06-03T00:00:00"/>
    <n v="0"/>
    <n v="17"/>
  </r>
  <r>
    <n v="10234"/>
    <s v="Hans Gruber"/>
    <x v="1"/>
    <x v="1"/>
    <x v="0"/>
    <x v="1"/>
    <x v="17"/>
    <x v="19"/>
    <n v="99020"/>
    <x v="115"/>
    <d v="1989-06-30T00:00:00"/>
    <x v="0"/>
    <x v="0"/>
    <n v="2134"/>
    <x v="0"/>
    <s v="US Citizen"/>
    <s v="Black or African American"/>
    <x v="56"/>
    <s v="Not Terminated"/>
    <x v="0"/>
    <x v="0"/>
    <n v="1"/>
    <x v="0"/>
    <n v="0"/>
    <x v="1"/>
    <n v="3"/>
    <s v="Fully Meets"/>
    <n v="4.2"/>
    <s v="Very Satisfied"/>
    <n v="5"/>
    <d v="2019-01-28T00:00:00"/>
    <n v="0"/>
    <n v="8"/>
  </r>
  <r>
    <n v="10109"/>
    <s v="Mike Guilianno"/>
    <x v="0"/>
    <x v="0"/>
    <x v="0"/>
    <x v="4"/>
    <x v="11"/>
    <x v="14"/>
    <n v="71707"/>
    <x v="116"/>
    <d v="1969-02-09T00:00:00"/>
    <x v="0"/>
    <x v="10"/>
    <n v="37129"/>
    <x v="0"/>
    <s v="US Citizen"/>
    <s v="Two or more races"/>
    <x v="57"/>
    <s v="2014-10-31"/>
    <x v="1"/>
    <x v="10"/>
    <n v="5"/>
    <x v="1"/>
    <n v="0"/>
    <x v="0"/>
    <n v="3"/>
    <s v="Fully Meets"/>
    <n v="4.5"/>
    <s v="Very Satisfied"/>
    <n v="0"/>
    <d v="2013-02-01T00:00:00"/>
    <n v="0"/>
    <n v="20"/>
  </r>
  <r>
    <n v="10125"/>
    <s v="Joanne Handschiegl"/>
    <x v="1"/>
    <x v="1"/>
    <x v="1"/>
    <x v="0"/>
    <x v="0"/>
    <x v="0"/>
    <n v="54828"/>
    <x v="117"/>
    <d v="1977-03-23T00:00:00"/>
    <x v="1"/>
    <x v="0"/>
    <n v="2127"/>
    <x v="0"/>
    <s v="US Citizen"/>
    <s v="White"/>
    <x v="58"/>
    <s v="Not Terminated"/>
    <x v="0"/>
    <x v="0"/>
    <n v="1"/>
    <x v="0"/>
    <n v="0"/>
    <x v="2"/>
    <n v="3"/>
    <s v="Fully Meets"/>
    <n v="4.2"/>
    <s v="Satisfied"/>
    <n v="0"/>
    <d v="2019-02-22T00:00:00"/>
    <n v="0"/>
    <n v="13"/>
  </r>
  <r>
    <n v="10074"/>
    <s v="Earnest Hankard"/>
    <x v="0"/>
    <x v="0"/>
    <x v="0"/>
    <x v="0"/>
    <x v="2"/>
    <x v="11"/>
    <n v="64246"/>
    <x v="118"/>
    <d v="1988-08-10T00:00:00"/>
    <x v="0"/>
    <x v="0"/>
    <n v="2155"/>
    <x v="1"/>
    <s v="US Citizen"/>
    <s v="White"/>
    <x v="21"/>
    <s v="Not Terminated"/>
    <x v="0"/>
    <x v="0"/>
    <n v="1"/>
    <x v="0"/>
    <n v="0"/>
    <x v="0"/>
    <n v="3"/>
    <s v="Fully Meets"/>
    <n v="5"/>
    <s v="Neutral"/>
    <n v="0"/>
    <d v="2019-01-08T00:00:00"/>
    <n v="0"/>
    <n v="20"/>
  </r>
  <r>
    <n v="10097"/>
    <s v="Christie Harrington"/>
    <x v="0"/>
    <x v="0"/>
    <x v="1"/>
    <x v="0"/>
    <x v="0"/>
    <x v="4"/>
    <n v="52177"/>
    <x v="119"/>
    <d v="1952-08-18T00:00:00"/>
    <x v="1"/>
    <x v="0"/>
    <n v="2324"/>
    <x v="0"/>
    <s v="US Citizen"/>
    <s v="White"/>
    <x v="4"/>
    <s v="2015-12-15"/>
    <x v="1"/>
    <x v="9"/>
    <n v="5"/>
    <x v="1"/>
    <n v="0"/>
    <x v="6"/>
    <n v="3"/>
    <s v="Fully Meets"/>
    <n v="4.6399999999999997"/>
    <s v="Satisfied"/>
    <n v="0"/>
    <d v="2015-05-02T00:00:00"/>
    <n v="0"/>
    <n v="8"/>
  </r>
  <r>
    <n v="10007"/>
    <s v="Kara Harrison"/>
    <x v="1"/>
    <x v="1"/>
    <x v="1"/>
    <x v="0"/>
    <x v="0"/>
    <x v="5"/>
    <n v="62065"/>
    <x v="120"/>
    <d v="1974-05-02T00:00:00"/>
    <x v="1"/>
    <x v="0"/>
    <n v="1886"/>
    <x v="0"/>
    <s v="US Citizen"/>
    <s v="White"/>
    <x v="30"/>
    <s v="Not Terminated"/>
    <x v="0"/>
    <x v="0"/>
    <n v="1"/>
    <x v="0"/>
    <n v="0"/>
    <x v="6"/>
    <n v="4"/>
    <s v="Exceeds"/>
    <n v="4.76"/>
    <s v="Satisfied"/>
    <n v="0"/>
    <d v="2019-02-15T00:00:00"/>
    <n v="0"/>
    <n v="5"/>
  </r>
  <r>
    <n v="10129"/>
    <s v="Anthony Heitzman"/>
    <x v="0"/>
    <x v="0"/>
    <x v="0"/>
    <x v="0"/>
    <x v="0"/>
    <x v="7"/>
    <n v="46998"/>
    <x v="121"/>
    <d v="1984-01-04T00:00:00"/>
    <x v="0"/>
    <x v="0"/>
    <n v="2149"/>
    <x v="0"/>
    <s v="US Citizen"/>
    <s v="White"/>
    <x v="59"/>
    <s v="Not Terminated"/>
    <x v="0"/>
    <x v="0"/>
    <n v="1"/>
    <x v="0"/>
    <n v="0"/>
    <x v="2"/>
    <n v="3"/>
    <s v="Fully Meets"/>
    <n v="4.17"/>
    <s v="Satisfied"/>
    <n v="0"/>
    <d v="2019-02-11T00:00:00"/>
    <n v="0"/>
    <n v="1"/>
  </r>
  <r>
    <n v="10075"/>
    <s v="Trina Hendrickson"/>
    <x v="0"/>
    <x v="0"/>
    <x v="1"/>
    <x v="0"/>
    <x v="2"/>
    <x v="11"/>
    <n v="68099"/>
    <x v="122"/>
    <d v="1972-08-27T00:00:00"/>
    <x v="1"/>
    <x v="0"/>
    <n v="2021"/>
    <x v="0"/>
    <s v="US Citizen"/>
    <s v="White"/>
    <x v="9"/>
    <s v="2013-06-18"/>
    <x v="1"/>
    <x v="2"/>
    <n v="5"/>
    <x v="1"/>
    <n v="0"/>
    <x v="6"/>
    <n v="3"/>
    <s v="Fully Meets"/>
    <n v="5"/>
    <s v="Neutral"/>
    <n v="0"/>
    <d v="2013-01-30T00:00:00"/>
    <n v="0"/>
    <n v="15"/>
  </r>
  <r>
    <n v="10167"/>
    <s v="Alfred Hitchcock"/>
    <x v="1"/>
    <x v="1"/>
    <x v="0"/>
    <x v="4"/>
    <x v="11"/>
    <x v="14"/>
    <n v="70545"/>
    <x v="123"/>
    <d v="1988-09-14T00:00:00"/>
    <x v="0"/>
    <x v="11"/>
    <n v="3062"/>
    <x v="0"/>
    <s v="US Citizen"/>
    <s v="American Indian or Alaska Native"/>
    <x v="27"/>
    <s v="Not Terminated"/>
    <x v="0"/>
    <x v="0"/>
    <n v="1"/>
    <x v="0"/>
    <n v="0"/>
    <x v="1"/>
    <n v="3"/>
    <s v="Fully Meets"/>
    <n v="3.6"/>
    <s v="Very Satisfied"/>
    <n v="0"/>
    <d v="2019-01-30T00:00:00"/>
    <n v="0"/>
    <n v="9"/>
  </r>
  <r>
    <n v="10195"/>
    <s v="Adrienne Homberger"/>
    <x v="1"/>
    <x v="1"/>
    <x v="1"/>
    <x v="0"/>
    <x v="2"/>
    <x v="0"/>
    <n v="63478"/>
    <x v="124"/>
    <d v="1984-02-16T00:00:00"/>
    <x v="1"/>
    <x v="0"/>
    <n v="2445"/>
    <x v="0"/>
    <s v="Non-Citizen"/>
    <s v="White"/>
    <x v="22"/>
    <s v="2012-04-07"/>
    <x v="1"/>
    <x v="10"/>
    <n v="5"/>
    <x v="1"/>
    <n v="0"/>
    <x v="1"/>
    <n v="3"/>
    <s v="Fully Meets"/>
    <n v="3.03"/>
    <s v="Very Satisfied"/>
    <n v="0"/>
    <d v="2012-03-05T00:00:00"/>
    <n v="0"/>
    <n v="16"/>
  </r>
  <r>
    <n v="10112"/>
    <s v="Jayne Horton"/>
    <x v="0"/>
    <x v="0"/>
    <x v="1"/>
    <x v="1"/>
    <x v="6"/>
    <x v="1"/>
    <n v="97999"/>
    <x v="125"/>
    <d v="1984-02-21T00:00:00"/>
    <x v="1"/>
    <x v="0"/>
    <n v="2493"/>
    <x v="0"/>
    <s v="US Citizen"/>
    <s v="White"/>
    <x v="1"/>
    <s v="Not Terminated"/>
    <x v="0"/>
    <x v="0"/>
    <n v="1"/>
    <x v="0"/>
    <n v="0"/>
    <x v="1"/>
    <n v="3"/>
    <s v="Fully Meets"/>
    <n v="4.4800000000000004"/>
    <s v="Very Satisfied"/>
    <n v="6"/>
    <d v="2019-01-03T00:00:00"/>
    <n v="0"/>
    <n v="4"/>
  </r>
  <r>
    <n v="10272"/>
    <s v="Debra Houlihan"/>
    <x v="1"/>
    <x v="1"/>
    <x v="1"/>
    <x v="4"/>
    <x v="21"/>
    <x v="13"/>
    <n v="180000"/>
    <x v="126"/>
    <d v="1966-03-17T00:00:00"/>
    <x v="1"/>
    <x v="12"/>
    <n v="2908"/>
    <x v="0"/>
    <s v="US Citizen"/>
    <s v="White"/>
    <x v="41"/>
    <s v="Not Terminated"/>
    <x v="0"/>
    <x v="0"/>
    <n v="1"/>
    <x v="0"/>
    <n v="0"/>
    <x v="0"/>
    <n v="3"/>
    <s v="Fully Meets"/>
    <n v="4.5"/>
    <s v="Satisfied"/>
    <n v="0"/>
    <d v="2019-01-21T00:00:00"/>
    <n v="0"/>
    <n v="19"/>
  </r>
  <r>
    <n v="10182"/>
    <s v="Estelle Howard"/>
    <x v="1"/>
    <x v="1"/>
    <x v="1"/>
    <x v="3"/>
    <x v="22"/>
    <x v="12"/>
    <n v="49920"/>
    <x v="127"/>
    <d v="1985-09-16T00:00:00"/>
    <x v="1"/>
    <x v="0"/>
    <n v="2170"/>
    <x v="0"/>
    <s v="US Citizen"/>
    <s v="Black or African American"/>
    <x v="19"/>
    <s v="2015-04-15"/>
    <x v="1"/>
    <x v="13"/>
    <n v="1"/>
    <x v="2"/>
    <n v="0"/>
    <x v="1"/>
    <n v="3"/>
    <s v="Fully Meets"/>
    <n v="3.24"/>
    <s v="Neutral"/>
    <n v="4"/>
    <d v="2015-04-15T00:00:00"/>
    <n v="0"/>
    <n v="6"/>
  </r>
  <r>
    <n v="10248"/>
    <s v="Jane Hudson"/>
    <x v="0"/>
    <x v="0"/>
    <x v="1"/>
    <x v="0"/>
    <x v="0"/>
    <x v="7"/>
    <n v="55425"/>
    <x v="128"/>
    <d v="1986-06-10T00:00:00"/>
    <x v="1"/>
    <x v="0"/>
    <n v="2176"/>
    <x v="0"/>
    <s v="US Citizen"/>
    <s v="White"/>
    <x v="11"/>
    <s v="Not Terminated"/>
    <x v="0"/>
    <x v="0"/>
    <n v="1"/>
    <x v="0"/>
    <n v="0"/>
    <x v="0"/>
    <n v="3"/>
    <s v="Fully Meets"/>
    <n v="4.8"/>
    <s v="Satisfied"/>
    <n v="0"/>
    <d v="2019-01-07T00:00:00"/>
    <n v="0"/>
    <n v="4"/>
  </r>
  <r>
    <n v="10201"/>
    <s v="Julissa Hunts"/>
    <x v="0"/>
    <x v="0"/>
    <x v="1"/>
    <x v="0"/>
    <x v="2"/>
    <x v="3"/>
    <n v="69340"/>
    <x v="129"/>
    <d v="1984-03-11T00:00:00"/>
    <x v="1"/>
    <x v="0"/>
    <n v="2021"/>
    <x v="0"/>
    <s v="US Citizen"/>
    <s v="White"/>
    <x v="60"/>
    <s v="Not Terminated"/>
    <x v="0"/>
    <x v="0"/>
    <n v="2"/>
    <x v="0"/>
    <n v="0"/>
    <x v="0"/>
    <n v="3"/>
    <s v="Fully Meets"/>
    <n v="3"/>
    <s v="Very Satisfied"/>
    <n v="0"/>
    <d v="2019-01-18T00:00:00"/>
    <n v="0"/>
    <n v="4"/>
  </r>
  <r>
    <n v="10160"/>
    <s v="Ming Huynh"/>
    <x v="0"/>
    <x v="2"/>
    <x v="1"/>
    <x v="0"/>
    <x v="2"/>
    <x v="5"/>
    <n v="68182"/>
    <x v="130"/>
    <d v="1976-09-22T00:00:00"/>
    <x v="1"/>
    <x v="0"/>
    <n v="1742"/>
    <x v="0"/>
    <s v="US Citizen"/>
    <s v="White"/>
    <x v="13"/>
    <s v="2013-04-01"/>
    <x v="1"/>
    <x v="5"/>
    <n v="5"/>
    <x v="1"/>
    <n v="0"/>
    <x v="2"/>
    <n v="3"/>
    <s v="Fully Meets"/>
    <n v="3.72"/>
    <s v="Neutral"/>
    <n v="0"/>
    <d v="2013-02-01T00:00:00"/>
    <n v="0"/>
    <n v="18"/>
  </r>
  <r>
    <n v="10289"/>
    <s v="Walter Immediato"/>
    <x v="1"/>
    <x v="1"/>
    <x v="0"/>
    <x v="0"/>
    <x v="9"/>
    <x v="13"/>
    <n v="83082"/>
    <x v="131"/>
    <d v="1976-11-15T00:00:00"/>
    <x v="0"/>
    <x v="0"/>
    <n v="2128"/>
    <x v="0"/>
    <s v="US Citizen"/>
    <s v="Asian"/>
    <x v="13"/>
    <s v="2012-09-24"/>
    <x v="1"/>
    <x v="5"/>
    <n v="5"/>
    <x v="1"/>
    <n v="0"/>
    <x v="1"/>
    <n v="2"/>
    <s v="Needs Improvement"/>
    <n v="2.34"/>
    <s v="Dissatisfied"/>
    <n v="0"/>
    <d v="2012-04-12T00:00:00"/>
    <n v="3"/>
    <n v="4"/>
  </r>
  <r>
    <n v="10139"/>
    <s v="Rose Ivey"/>
    <x v="0"/>
    <x v="0"/>
    <x v="1"/>
    <x v="0"/>
    <x v="0"/>
    <x v="8"/>
    <n v="51908"/>
    <x v="132"/>
    <d v="1991-01-28T00:00:00"/>
    <x v="1"/>
    <x v="0"/>
    <n v="1775"/>
    <x v="0"/>
    <s v="US Citizen"/>
    <s v="White"/>
    <x v="17"/>
    <s v="Not Terminated"/>
    <x v="0"/>
    <x v="0"/>
    <n v="1"/>
    <x v="0"/>
    <n v="0"/>
    <x v="1"/>
    <n v="3"/>
    <s v="Fully Meets"/>
    <n v="3.99"/>
    <s v="Neutral"/>
    <n v="0"/>
    <d v="2019-01-14T00:00:00"/>
    <n v="0"/>
    <n v="14"/>
  </r>
  <r>
    <n v="10227"/>
    <s v="Maryellen Jackson"/>
    <x v="0"/>
    <x v="0"/>
    <x v="1"/>
    <x v="0"/>
    <x v="0"/>
    <x v="10"/>
    <n v="61242"/>
    <x v="108"/>
    <d v="1972-09-11T00:00:00"/>
    <x v="1"/>
    <x v="0"/>
    <n v="2081"/>
    <x v="0"/>
    <s v="US Citizen"/>
    <s v="Black or African American"/>
    <x v="61"/>
    <s v="Not Terminated"/>
    <x v="0"/>
    <x v="0"/>
    <n v="1"/>
    <x v="0"/>
    <n v="0"/>
    <x v="0"/>
    <n v="3"/>
    <s v="Fully Meets"/>
    <n v="4.0999999999999996"/>
    <s v="Neutral"/>
    <n v="0"/>
    <d v="2019-01-17T00:00:00"/>
    <n v="0"/>
    <n v="7"/>
  </r>
  <r>
    <n v="10236"/>
    <s v="Hannah Jacobi"/>
    <x v="0"/>
    <x v="2"/>
    <x v="1"/>
    <x v="0"/>
    <x v="0"/>
    <x v="2"/>
    <n v="45069"/>
    <x v="133"/>
    <d v="1966-03-22T00:00:00"/>
    <x v="1"/>
    <x v="0"/>
    <n v="1778"/>
    <x v="0"/>
    <s v="US Citizen"/>
    <s v="White"/>
    <x v="6"/>
    <s v="Not Terminated"/>
    <x v="0"/>
    <x v="0"/>
    <n v="1"/>
    <x v="0"/>
    <n v="0"/>
    <x v="3"/>
    <n v="3"/>
    <s v="Fully Meets"/>
    <n v="4.3"/>
    <s v="Very Satisfied"/>
    <n v="0"/>
    <d v="2019-02-22T00:00:00"/>
    <n v="0"/>
    <n v="7"/>
  </r>
  <r>
    <n v="10009"/>
    <s v="Tayana Jeannite"/>
    <x v="0"/>
    <x v="2"/>
    <x v="1"/>
    <x v="0"/>
    <x v="2"/>
    <x v="7"/>
    <n v="60724"/>
    <x v="134"/>
    <d v="1986-11-06T00:00:00"/>
    <x v="1"/>
    <x v="0"/>
    <n v="1821"/>
    <x v="0"/>
    <s v="US Citizen"/>
    <s v="American Indian or Alaska Native"/>
    <x v="0"/>
    <s v="Not Terminated"/>
    <x v="0"/>
    <x v="0"/>
    <n v="1"/>
    <x v="0"/>
    <n v="0"/>
    <x v="0"/>
    <n v="4"/>
    <s v="Exceeds"/>
    <n v="4.5999999999999996"/>
    <s v="Satisfied"/>
    <n v="0"/>
    <d v="2019-02-25T00:00:00"/>
    <n v="0"/>
    <n v="11"/>
  </r>
  <r>
    <n v="10060"/>
    <s v="Sneha Jhaveri"/>
    <x v="0"/>
    <x v="4"/>
    <x v="1"/>
    <x v="0"/>
    <x v="0"/>
    <x v="11"/>
    <n v="60436"/>
    <x v="135"/>
    <d v="1964-04-13T00:00:00"/>
    <x v="1"/>
    <x v="0"/>
    <n v="2109"/>
    <x v="0"/>
    <s v="US Citizen"/>
    <s v="White"/>
    <x v="62"/>
    <s v="Not Terminated"/>
    <x v="0"/>
    <x v="0"/>
    <n v="1"/>
    <x v="0"/>
    <n v="0"/>
    <x v="0"/>
    <n v="3"/>
    <s v="Fully Meets"/>
    <n v="5"/>
    <s v="Very Satisfied"/>
    <n v="0"/>
    <d v="2019-01-21T00:00:00"/>
    <n v="0"/>
    <n v="9"/>
  </r>
  <r>
    <n v="10034"/>
    <s v="George Johnson"/>
    <x v="1"/>
    <x v="1"/>
    <x v="0"/>
    <x v="0"/>
    <x v="0"/>
    <x v="0"/>
    <n v="46837"/>
    <x v="136"/>
    <d v="1959-08-19T00:00:00"/>
    <x v="0"/>
    <x v="0"/>
    <n v="2445"/>
    <x v="0"/>
    <s v="US Citizen"/>
    <s v="White"/>
    <x v="43"/>
    <s v="2018-04-29"/>
    <x v="1"/>
    <x v="11"/>
    <n v="5"/>
    <x v="1"/>
    <n v="0"/>
    <x v="6"/>
    <n v="4"/>
    <s v="Exceeds"/>
    <n v="4.7"/>
    <s v="Satisfied"/>
    <n v="0"/>
    <d v="2018-02-14T00:00:00"/>
    <n v="0"/>
    <n v="9"/>
  </r>
  <r>
    <n v="10156"/>
    <s v="Noelle Johnson"/>
    <x v="1"/>
    <x v="1"/>
    <x v="1"/>
    <x v="1"/>
    <x v="6"/>
    <x v="1"/>
    <n v="105700"/>
    <x v="137"/>
    <d v="1986-11-07T00:00:00"/>
    <x v="1"/>
    <x v="0"/>
    <n v="2301"/>
    <x v="0"/>
    <s v="US Citizen"/>
    <s v="Asian"/>
    <x v="8"/>
    <s v="Not Terminated"/>
    <x v="0"/>
    <x v="0"/>
    <n v="3"/>
    <x v="0"/>
    <n v="0"/>
    <x v="1"/>
    <n v="3"/>
    <s v="Fully Meets"/>
    <n v="3.75"/>
    <s v="Neutral"/>
    <n v="5"/>
    <d v="2019-02-11T00:00:00"/>
    <n v="0"/>
    <n v="2"/>
  </r>
  <r>
    <n v="10036"/>
    <s v="Yen Johnston"/>
    <x v="0"/>
    <x v="0"/>
    <x v="1"/>
    <x v="0"/>
    <x v="2"/>
    <x v="8"/>
    <n v="63322"/>
    <x v="138"/>
    <d v="1969-09-08T00:00:00"/>
    <x v="1"/>
    <x v="0"/>
    <n v="2128"/>
    <x v="0"/>
    <s v="US Citizen"/>
    <s v="White"/>
    <x v="16"/>
    <s v="Not Terminated"/>
    <x v="0"/>
    <x v="0"/>
    <n v="1"/>
    <x v="0"/>
    <n v="0"/>
    <x v="0"/>
    <n v="4"/>
    <s v="Exceeds"/>
    <n v="4.3"/>
    <s v="Neutral"/>
    <n v="0"/>
    <d v="2019-01-11T00:00:00"/>
    <n v="0"/>
    <n v="1"/>
  </r>
  <r>
    <n v="10138"/>
    <s v="Judy Jung"/>
    <x v="1"/>
    <x v="1"/>
    <x v="1"/>
    <x v="0"/>
    <x v="0"/>
    <x v="3"/>
    <n v="61154"/>
    <x v="139"/>
    <d v="1986-04-17T00:00:00"/>
    <x v="1"/>
    <x v="0"/>
    <n v="2446"/>
    <x v="0"/>
    <s v="US Citizen"/>
    <s v="Black or African American"/>
    <x v="9"/>
    <s v="2016-04-01"/>
    <x v="1"/>
    <x v="5"/>
    <n v="5"/>
    <x v="1"/>
    <n v="0"/>
    <x v="6"/>
    <n v="3"/>
    <s v="Fully Meets"/>
    <n v="4"/>
    <s v="Satisfied"/>
    <n v="0"/>
    <d v="2016-02-03T00:00:00"/>
    <n v="0"/>
    <n v="4"/>
  </r>
  <r>
    <n v="10244"/>
    <s v="Donysha Kampew"/>
    <x v="0"/>
    <x v="0"/>
    <x v="1"/>
    <x v="4"/>
    <x v="16"/>
    <x v="18"/>
    <n v="68999"/>
    <x v="140"/>
    <d v="1989-11-11T00:00:00"/>
    <x v="1"/>
    <x v="13"/>
    <n v="19444"/>
    <x v="0"/>
    <s v="US Citizen"/>
    <s v="White"/>
    <x v="43"/>
    <s v="2014-04-24"/>
    <x v="1"/>
    <x v="15"/>
    <n v="5"/>
    <x v="1"/>
    <n v="0"/>
    <x v="2"/>
    <n v="3"/>
    <s v="Fully Meets"/>
    <n v="4.5"/>
    <s v="Very Satisfied"/>
    <n v="0"/>
    <d v="2013-03-30T00:00:00"/>
    <n v="0"/>
    <n v="2"/>
  </r>
  <r>
    <n v="10192"/>
    <s v="Kramer Keatts"/>
    <x v="0"/>
    <x v="0"/>
    <x v="0"/>
    <x v="0"/>
    <x v="0"/>
    <x v="0"/>
    <n v="50482"/>
    <x v="141"/>
    <d v="1976-01-19T00:00:00"/>
    <x v="0"/>
    <x v="0"/>
    <n v="1887"/>
    <x v="0"/>
    <s v="US Citizen"/>
    <s v="White"/>
    <x v="6"/>
    <s v="Not Terminated"/>
    <x v="0"/>
    <x v="0"/>
    <n v="1"/>
    <x v="0"/>
    <n v="0"/>
    <x v="1"/>
    <n v="3"/>
    <s v="Fully Meets"/>
    <n v="3.07"/>
    <s v="Satisfied"/>
    <n v="0"/>
    <d v="2019-01-23T00:00:00"/>
    <n v="0"/>
    <n v="10"/>
  </r>
  <r>
    <n v="10231"/>
    <s v="Bartholemew Khemmich"/>
    <x v="0"/>
    <x v="0"/>
    <x v="0"/>
    <x v="4"/>
    <x v="11"/>
    <x v="16"/>
    <n v="65310"/>
    <x v="142"/>
    <d v="1979-11-27T00:00:00"/>
    <x v="0"/>
    <x v="14"/>
    <n v="80820"/>
    <x v="0"/>
    <s v="US Citizen"/>
    <s v="White"/>
    <x v="17"/>
    <s v="Not Terminated"/>
    <x v="0"/>
    <x v="0"/>
    <n v="1"/>
    <x v="0"/>
    <n v="0"/>
    <x v="1"/>
    <n v="3"/>
    <s v="Fully Meets"/>
    <n v="4.3"/>
    <s v="Very Satisfied"/>
    <n v="0"/>
    <d v="2019-01-22T00:00:00"/>
    <n v="0"/>
    <n v="13"/>
  </r>
  <r>
    <n v="10089"/>
    <s v="Janet King"/>
    <x v="1"/>
    <x v="1"/>
    <x v="1"/>
    <x v="5"/>
    <x v="23"/>
    <x v="20"/>
    <n v="250000"/>
    <x v="143"/>
    <d v="1954-09-21T00:00:00"/>
    <x v="1"/>
    <x v="0"/>
    <n v="1902"/>
    <x v="1"/>
    <s v="US Citizen"/>
    <s v="White"/>
    <x v="42"/>
    <s v="Not Terminated"/>
    <x v="0"/>
    <x v="0"/>
    <n v="1"/>
    <x v="0"/>
    <n v="0"/>
    <x v="1"/>
    <n v="3"/>
    <s v="Fully Meets"/>
    <n v="4.83"/>
    <s v="Neutral"/>
    <n v="0"/>
    <d v="2019-01-17T00:00:00"/>
    <n v="0"/>
    <n v="10"/>
  </r>
  <r>
    <n v="10166"/>
    <s v="Kathleen Kinsella"/>
    <x v="1"/>
    <x v="1"/>
    <x v="1"/>
    <x v="0"/>
    <x v="0"/>
    <x v="4"/>
    <n v="54005"/>
    <x v="144"/>
    <d v="1973-12-08T00:00:00"/>
    <x v="1"/>
    <x v="0"/>
    <n v="2170"/>
    <x v="0"/>
    <s v="US Citizen"/>
    <s v="White"/>
    <x v="63"/>
    <s v="2015-06-04"/>
    <x v="1"/>
    <x v="11"/>
    <n v="5"/>
    <x v="1"/>
    <n v="0"/>
    <x v="2"/>
    <n v="3"/>
    <s v="Fully Meets"/>
    <n v="3.6"/>
    <s v="Very Satisfied"/>
    <n v="0"/>
    <d v="2015-03-01T00:00:00"/>
    <n v="0"/>
    <n v="16"/>
  </r>
  <r>
    <n v="10170"/>
    <s v="Alexandra Kirill"/>
    <x v="1"/>
    <x v="1"/>
    <x v="1"/>
    <x v="0"/>
    <x v="0"/>
    <x v="5"/>
    <n v="45433"/>
    <x v="145"/>
    <d v="1970-10-08T00:00:00"/>
    <x v="1"/>
    <x v="0"/>
    <n v="2127"/>
    <x v="0"/>
    <s v="US Citizen"/>
    <s v="White"/>
    <x v="63"/>
    <s v="2014-01-09"/>
    <x v="1"/>
    <x v="11"/>
    <n v="5"/>
    <x v="1"/>
    <n v="0"/>
    <x v="2"/>
    <n v="3"/>
    <s v="Fully Meets"/>
    <n v="3.49"/>
    <s v="Satisfied"/>
    <n v="0"/>
    <d v="2013-01-30T00:00:00"/>
    <n v="0"/>
    <n v="6"/>
  </r>
  <r>
    <n v="10208"/>
    <s v="Bradley Knapp"/>
    <x v="0"/>
    <x v="0"/>
    <x v="0"/>
    <x v="0"/>
    <x v="0"/>
    <x v="7"/>
    <n v="46654"/>
    <x v="146"/>
    <d v="1977-11-10T00:00:00"/>
    <x v="0"/>
    <x v="0"/>
    <n v="1721"/>
    <x v="0"/>
    <s v="US Citizen"/>
    <s v="Black or African American"/>
    <x v="18"/>
    <s v="Not Terminated"/>
    <x v="0"/>
    <x v="0"/>
    <n v="1"/>
    <x v="0"/>
    <n v="0"/>
    <x v="0"/>
    <n v="3"/>
    <s v="Fully Meets"/>
    <n v="3.1"/>
    <s v="Neutral"/>
    <n v="0"/>
    <d v="2019-02-06T00:00:00"/>
    <n v="0"/>
    <n v="3"/>
  </r>
  <r>
    <n v="10176"/>
    <s v="John Kretschmer"/>
    <x v="1"/>
    <x v="1"/>
    <x v="0"/>
    <x v="0"/>
    <x v="0"/>
    <x v="8"/>
    <n v="63973"/>
    <x v="147"/>
    <d v="1980-02-02T00:00:00"/>
    <x v="0"/>
    <x v="0"/>
    <n v="1801"/>
    <x v="0"/>
    <s v="US Citizen"/>
    <s v="Asian"/>
    <x v="9"/>
    <s v="Not Terminated"/>
    <x v="0"/>
    <x v="0"/>
    <n v="1"/>
    <x v="0"/>
    <n v="0"/>
    <x v="1"/>
    <n v="3"/>
    <s v="Fully Meets"/>
    <n v="3.38"/>
    <s v="Neutral"/>
    <n v="0"/>
    <d v="2019-01-21T00:00:00"/>
    <n v="0"/>
    <n v="17"/>
  </r>
  <r>
    <n v="10165"/>
    <s v="Freddy Kreuger"/>
    <x v="0"/>
    <x v="0"/>
    <x v="0"/>
    <x v="4"/>
    <x v="11"/>
    <x v="14"/>
    <n v="71339"/>
    <x v="148"/>
    <d v="1969-02-24T00:00:00"/>
    <x v="0"/>
    <x v="15"/>
    <n v="10171"/>
    <x v="1"/>
    <s v="US Citizen"/>
    <s v="Black or African American"/>
    <x v="64"/>
    <s v="Not Terminated"/>
    <x v="0"/>
    <x v="0"/>
    <n v="1"/>
    <x v="0"/>
    <n v="1"/>
    <x v="4"/>
    <n v="3"/>
    <s v="Fully Meets"/>
    <n v="3.65"/>
    <s v="Very Satisfied"/>
    <n v="0"/>
    <d v="2019-01-17T00:00:00"/>
    <n v="0"/>
    <n v="20"/>
  </r>
  <r>
    <n v="10113"/>
    <s v="Jyoti Lajiri"/>
    <x v="1"/>
    <x v="1"/>
    <x v="0"/>
    <x v="1"/>
    <x v="15"/>
    <x v="9"/>
    <n v="93206"/>
    <x v="149"/>
    <d v="1986-04-23T00:00:00"/>
    <x v="0"/>
    <x v="0"/>
    <n v="2169"/>
    <x v="0"/>
    <s v="US Citizen"/>
    <s v="White"/>
    <x v="5"/>
    <s v="Not Terminated"/>
    <x v="0"/>
    <x v="0"/>
    <n v="3"/>
    <x v="0"/>
    <n v="0"/>
    <x v="3"/>
    <n v="3"/>
    <s v="Fully Meets"/>
    <n v="4.46"/>
    <s v="Very Satisfied"/>
    <n v="6"/>
    <d v="2019-01-07T00:00:00"/>
    <n v="0"/>
    <n v="7"/>
  </r>
  <r>
    <n v="10092"/>
    <s v="Hans Landa"/>
    <x v="1"/>
    <x v="1"/>
    <x v="0"/>
    <x v="0"/>
    <x v="9"/>
    <x v="13"/>
    <n v="82758"/>
    <x v="150"/>
    <d v="1972-07-01T00:00:00"/>
    <x v="0"/>
    <x v="0"/>
    <n v="1890"/>
    <x v="0"/>
    <s v="US Citizen"/>
    <s v="White"/>
    <x v="9"/>
    <s v="2015-12-12"/>
    <x v="1"/>
    <x v="6"/>
    <n v="4"/>
    <x v="2"/>
    <n v="0"/>
    <x v="3"/>
    <n v="3"/>
    <s v="Fully Meets"/>
    <n v="4.78"/>
    <s v="Satisfied"/>
    <n v="0"/>
    <d v="2015-02-15T00:00:00"/>
    <n v="0"/>
    <n v="9"/>
  </r>
  <r>
    <n v="10106"/>
    <s v="Lindsey Langford"/>
    <x v="0"/>
    <x v="2"/>
    <x v="1"/>
    <x v="0"/>
    <x v="2"/>
    <x v="10"/>
    <n v="66074"/>
    <x v="151"/>
    <d v="1979-07-25T00:00:00"/>
    <x v="1"/>
    <x v="0"/>
    <n v="2090"/>
    <x v="0"/>
    <s v="US Citizen"/>
    <s v="Asian"/>
    <x v="46"/>
    <s v="2014-03-31"/>
    <x v="1"/>
    <x v="4"/>
    <n v="5"/>
    <x v="1"/>
    <n v="0"/>
    <x v="1"/>
    <n v="3"/>
    <s v="Fully Meets"/>
    <n v="4.5199999999999996"/>
    <s v="Neutral"/>
    <n v="0"/>
    <d v="2014-02-20T00:00:00"/>
    <n v="0"/>
    <n v="20"/>
  </r>
  <r>
    <n v="10052"/>
    <s v="Enrico Langton"/>
    <x v="1"/>
    <x v="1"/>
    <x v="0"/>
    <x v="0"/>
    <x v="0"/>
    <x v="10"/>
    <n v="46120"/>
    <x v="152"/>
    <d v="1986-12-09T00:00:00"/>
    <x v="0"/>
    <x v="0"/>
    <n v="2048"/>
    <x v="0"/>
    <s v="US Citizen"/>
    <s v="White"/>
    <x v="65"/>
    <s v="Not Terminated"/>
    <x v="0"/>
    <x v="0"/>
    <n v="1"/>
    <x v="0"/>
    <n v="0"/>
    <x v="0"/>
    <n v="3"/>
    <s v="Fully Meets"/>
    <n v="5"/>
    <s v="Very Satisfied"/>
    <n v="0"/>
    <d v="2019-02-04T00:00:00"/>
    <n v="0"/>
    <n v="13"/>
  </r>
  <r>
    <n v="10038"/>
    <s v="William LaRotonda"/>
    <x v="0"/>
    <x v="2"/>
    <x v="0"/>
    <x v="3"/>
    <x v="10"/>
    <x v="12"/>
    <n v="64520"/>
    <x v="153"/>
    <d v="1984-04-26T00:00:00"/>
    <x v="0"/>
    <x v="0"/>
    <n v="1460"/>
    <x v="0"/>
    <s v="US Citizen"/>
    <s v="Black or African American"/>
    <x v="62"/>
    <s v="Not Terminated"/>
    <x v="0"/>
    <x v="0"/>
    <n v="1"/>
    <x v="0"/>
    <n v="0"/>
    <x v="7"/>
    <n v="3"/>
    <s v="Fully Meets"/>
    <n v="5"/>
    <s v="Satisfied"/>
    <n v="4"/>
    <d v="2019-01-17T00:00:00"/>
    <n v="0"/>
    <n v="3"/>
  </r>
  <r>
    <n v="10249"/>
    <s v="Mohammed Latif"/>
    <x v="1"/>
    <x v="1"/>
    <x v="0"/>
    <x v="0"/>
    <x v="2"/>
    <x v="2"/>
    <n v="61962"/>
    <x v="154"/>
    <d v="1984-05-09T00:00:00"/>
    <x v="0"/>
    <x v="0"/>
    <n v="2126"/>
    <x v="0"/>
    <s v="US Citizen"/>
    <s v="White"/>
    <x v="10"/>
    <s v="2013-04-15"/>
    <x v="1"/>
    <x v="11"/>
    <n v="5"/>
    <x v="1"/>
    <n v="0"/>
    <x v="2"/>
    <n v="3"/>
    <s v="Fully Meets"/>
    <n v="4.9000000000000004"/>
    <s v="Neutral"/>
    <n v="0"/>
    <d v="2013-02-20T00:00:00"/>
    <n v="0"/>
    <n v="20"/>
  </r>
  <r>
    <n v="10232"/>
    <s v="Binh Le"/>
    <x v="0"/>
    <x v="0"/>
    <x v="1"/>
    <x v="1"/>
    <x v="24"/>
    <x v="19"/>
    <n v="81584"/>
    <x v="155"/>
    <d v="1987-06-14T00:00:00"/>
    <x v="1"/>
    <x v="0"/>
    <n v="1886"/>
    <x v="0"/>
    <s v="US Citizen"/>
    <s v="Asian"/>
    <x v="66"/>
    <s v="Not Terminated"/>
    <x v="0"/>
    <x v="0"/>
    <n v="1"/>
    <x v="0"/>
    <n v="0"/>
    <x v="1"/>
    <n v="3"/>
    <s v="Fully Meets"/>
    <n v="4.0999999999999996"/>
    <s v="Very Satisfied"/>
    <n v="7"/>
    <d v="2019-01-08T00:00:00"/>
    <n v="0"/>
    <n v="2"/>
  </r>
  <r>
    <n v="10087"/>
    <s v="Dallas Leach"/>
    <x v="0"/>
    <x v="0"/>
    <x v="1"/>
    <x v="0"/>
    <x v="0"/>
    <x v="2"/>
    <n v="63676"/>
    <x v="156"/>
    <d v="1979-01-17T00:00:00"/>
    <x v="1"/>
    <x v="0"/>
    <n v="1810"/>
    <x v="0"/>
    <s v="US Citizen"/>
    <s v="Asian"/>
    <x v="63"/>
    <s v="2018-08-19"/>
    <x v="1"/>
    <x v="3"/>
    <n v="5"/>
    <x v="1"/>
    <n v="0"/>
    <x v="6"/>
    <n v="3"/>
    <s v="Fully Meets"/>
    <n v="4.88"/>
    <s v="Neutral"/>
    <n v="0"/>
    <d v="2017-07-02T00:00:00"/>
    <n v="0"/>
    <n v="17"/>
  </r>
  <r>
    <n v="10134"/>
    <s v="Brandon LeBlanc"/>
    <x v="1"/>
    <x v="1"/>
    <x v="0"/>
    <x v="3"/>
    <x v="25"/>
    <x v="13"/>
    <n v="93046"/>
    <x v="157"/>
    <d v="1984-06-10T00:00:00"/>
    <x v="0"/>
    <x v="0"/>
    <n v="1460"/>
    <x v="0"/>
    <s v="US Citizen"/>
    <s v="White"/>
    <x v="67"/>
    <s v="Not Terminated"/>
    <x v="0"/>
    <x v="0"/>
    <n v="1"/>
    <x v="0"/>
    <n v="0"/>
    <x v="6"/>
    <n v="3"/>
    <s v="Fully Meets"/>
    <n v="4.0999999999999996"/>
    <s v="Satisfied"/>
    <n v="0"/>
    <d v="2019-01-28T00:00:00"/>
    <n v="0"/>
    <n v="20"/>
  </r>
  <r>
    <n v="10251"/>
    <s v="Hannibal Lecter"/>
    <x v="1"/>
    <x v="1"/>
    <x v="0"/>
    <x v="0"/>
    <x v="0"/>
    <x v="3"/>
    <n v="64738"/>
    <x v="158"/>
    <d v="1982-09-02T00:00:00"/>
    <x v="0"/>
    <x v="0"/>
    <n v="1776"/>
    <x v="0"/>
    <s v="US Citizen"/>
    <s v="Asian"/>
    <x v="31"/>
    <s v="Not Terminated"/>
    <x v="0"/>
    <x v="0"/>
    <n v="1"/>
    <x v="0"/>
    <n v="0"/>
    <x v="2"/>
    <n v="3"/>
    <s v="Fully Meets"/>
    <n v="4.0999999999999996"/>
    <s v="Neutral"/>
    <n v="0"/>
    <d v="2019-02-22T00:00:00"/>
    <n v="0"/>
    <n v="10"/>
  </r>
  <r>
    <n v="10103"/>
    <s v="Giovanni Leruth"/>
    <x v="0"/>
    <x v="4"/>
    <x v="0"/>
    <x v="4"/>
    <x v="11"/>
    <x v="14"/>
    <n v="70468"/>
    <x v="159"/>
    <d v="1988-12-27T00:00:00"/>
    <x v="0"/>
    <x v="16"/>
    <n v="84111"/>
    <x v="0"/>
    <s v="US Citizen"/>
    <s v="Black or African American"/>
    <x v="68"/>
    <s v="Not Terminated"/>
    <x v="0"/>
    <x v="0"/>
    <n v="1"/>
    <x v="0"/>
    <n v="0"/>
    <x v="7"/>
    <n v="3"/>
    <s v="Fully Meets"/>
    <n v="4.53"/>
    <s v="Neutral"/>
    <n v="0"/>
    <d v="2019-01-29T00:00:00"/>
    <n v="0"/>
    <n v="16"/>
  </r>
  <r>
    <n v="10017"/>
    <s v="Ketsia Liebig"/>
    <x v="1"/>
    <x v="1"/>
    <x v="1"/>
    <x v="0"/>
    <x v="9"/>
    <x v="13"/>
    <n v="77915"/>
    <x v="160"/>
    <d v="1981-10-26T00:00:00"/>
    <x v="1"/>
    <x v="0"/>
    <n v="2110"/>
    <x v="0"/>
    <s v="US Citizen"/>
    <s v="White"/>
    <x v="6"/>
    <s v="Not Terminated"/>
    <x v="0"/>
    <x v="0"/>
    <n v="1"/>
    <x v="0"/>
    <n v="0"/>
    <x v="7"/>
    <n v="4"/>
    <s v="Exceeds"/>
    <n v="4.0999999999999996"/>
    <s v="Neutral"/>
    <n v="0"/>
    <d v="2019-01-21T00:00:00"/>
    <n v="0"/>
    <n v="11"/>
  </r>
  <r>
    <n v="10186"/>
    <s v="Marilyn Linares"/>
    <x v="1"/>
    <x v="1"/>
    <x v="1"/>
    <x v="0"/>
    <x v="0"/>
    <x v="0"/>
    <n v="52624"/>
    <x v="161"/>
    <d v="1981-03-26T00:00:00"/>
    <x v="1"/>
    <x v="0"/>
    <n v="1886"/>
    <x v="0"/>
    <s v="US Citizen"/>
    <s v="White"/>
    <x v="0"/>
    <s v="2018-09-26"/>
    <x v="1"/>
    <x v="5"/>
    <n v="5"/>
    <x v="1"/>
    <n v="0"/>
    <x v="1"/>
    <n v="3"/>
    <s v="Fully Meets"/>
    <n v="3.18"/>
    <s v="Satisfied"/>
    <n v="0"/>
    <d v="2018-03-02T00:00:00"/>
    <n v="0"/>
    <n v="16"/>
  </r>
  <r>
    <n v="10137"/>
    <s v="Mathew Linden"/>
    <x v="1"/>
    <x v="1"/>
    <x v="0"/>
    <x v="0"/>
    <x v="2"/>
    <x v="11"/>
    <n v="63450"/>
    <x v="162"/>
    <d v="1979-03-19T00:00:00"/>
    <x v="0"/>
    <x v="0"/>
    <n v="1770"/>
    <x v="0"/>
    <s v="US Citizen"/>
    <s v="White"/>
    <x v="38"/>
    <s v="Not Terminated"/>
    <x v="0"/>
    <x v="0"/>
    <n v="3"/>
    <x v="0"/>
    <n v="0"/>
    <x v="0"/>
    <n v="3"/>
    <s v="Fully Meets"/>
    <n v="4"/>
    <s v="Neutral"/>
    <n v="0"/>
    <d v="2019-02-18T00:00:00"/>
    <n v="0"/>
    <n v="7"/>
  </r>
  <r>
    <n v="10008"/>
    <s v="Leonara Lindsay"/>
    <x v="0"/>
    <x v="0"/>
    <x v="1"/>
    <x v="1"/>
    <x v="4"/>
    <x v="17"/>
    <n v="51777"/>
    <x v="163"/>
    <d v="1988-10-05T00:00:00"/>
    <x v="1"/>
    <x v="2"/>
    <n v="6070"/>
    <x v="1"/>
    <s v="US Citizen"/>
    <s v="Black or African American"/>
    <x v="69"/>
    <s v="Not Terminated"/>
    <x v="0"/>
    <x v="0"/>
    <n v="1"/>
    <x v="0"/>
    <n v="1"/>
    <x v="4"/>
    <n v="4"/>
    <s v="Exceeds"/>
    <n v="4.6399999999999997"/>
    <s v="Satisfied"/>
    <n v="5"/>
    <d v="2019-01-25T00:00:00"/>
    <n v="0"/>
    <n v="14"/>
  </r>
  <r>
    <n v="10096"/>
    <s v="Susan Lundy"/>
    <x v="0"/>
    <x v="3"/>
    <x v="1"/>
    <x v="0"/>
    <x v="2"/>
    <x v="0"/>
    <n v="67237"/>
    <x v="164"/>
    <d v="1976-12-26T00:00:00"/>
    <x v="1"/>
    <x v="0"/>
    <n v="2122"/>
    <x v="0"/>
    <s v="US Citizen"/>
    <s v="White"/>
    <x v="38"/>
    <s v="2016-09-15"/>
    <x v="1"/>
    <x v="11"/>
    <n v="5"/>
    <x v="1"/>
    <n v="0"/>
    <x v="0"/>
    <n v="3"/>
    <s v="Fully Meets"/>
    <n v="4.6500000000000004"/>
    <s v="Satisfied"/>
    <n v="0"/>
    <d v="2016-06-10T00:00:00"/>
    <n v="0"/>
    <n v="15"/>
  </r>
  <r>
    <n v="10035"/>
    <s v="Lisa Lunquist"/>
    <x v="0"/>
    <x v="0"/>
    <x v="1"/>
    <x v="0"/>
    <x v="2"/>
    <x v="3"/>
    <n v="73330"/>
    <x v="165"/>
    <d v="1982-03-28T00:00:00"/>
    <x v="1"/>
    <x v="0"/>
    <n v="2324"/>
    <x v="0"/>
    <s v="US Citizen"/>
    <s v="Black or African American"/>
    <x v="17"/>
    <s v="Not Terminated"/>
    <x v="0"/>
    <x v="0"/>
    <n v="1"/>
    <x v="0"/>
    <n v="0"/>
    <x v="1"/>
    <n v="4"/>
    <s v="Exceeds"/>
    <n v="4.2"/>
    <s v="Satisfied"/>
    <n v="0"/>
    <d v="2019-02-12T00:00:00"/>
    <n v="0"/>
    <n v="19"/>
  </r>
  <r>
    <n v="10057"/>
    <s v="Allison Lydon"/>
    <x v="1"/>
    <x v="1"/>
    <x v="1"/>
    <x v="0"/>
    <x v="0"/>
    <x v="3"/>
    <n v="52057"/>
    <x v="166"/>
    <d v="1975-10-22T00:00:00"/>
    <x v="1"/>
    <x v="0"/>
    <n v="2122"/>
    <x v="0"/>
    <s v="US Citizen"/>
    <s v="Black or African American"/>
    <x v="19"/>
    <s v="Not Terminated"/>
    <x v="0"/>
    <x v="0"/>
    <n v="3"/>
    <x v="0"/>
    <n v="0"/>
    <x v="7"/>
    <n v="3"/>
    <s v="Fully Meets"/>
    <n v="5"/>
    <s v="Neutral"/>
    <n v="0"/>
    <d v="2019-01-23T00:00:00"/>
    <n v="0"/>
    <n v="6"/>
  </r>
  <r>
    <n v="10004"/>
    <s v="Lindsay Lynch"/>
    <x v="0"/>
    <x v="0"/>
    <x v="1"/>
    <x v="0"/>
    <x v="0"/>
    <x v="4"/>
    <n v="47434"/>
    <x v="167"/>
    <d v="1973-02-14T00:00:00"/>
    <x v="1"/>
    <x v="0"/>
    <n v="1844"/>
    <x v="1"/>
    <s v="US Citizen"/>
    <s v="Black or African American"/>
    <x v="43"/>
    <s v="2015-11-14"/>
    <x v="1"/>
    <x v="4"/>
    <n v="5"/>
    <x v="1"/>
    <n v="1"/>
    <x v="4"/>
    <n v="4"/>
    <s v="Exceeds"/>
    <n v="5"/>
    <s v="Satisfied"/>
    <n v="0"/>
    <d v="2015-02-02T00:00:00"/>
    <n v="0"/>
    <n v="17"/>
  </r>
  <r>
    <n v="10191"/>
    <s v="Samuel MacLennan"/>
    <x v="0"/>
    <x v="3"/>
    <x v="0"/>
    <x v="0"/>
    <x v="0"/>
    <x v="5"/>
    <n v="52788"/>
    <x v="168"/>
    <d v="1972-11-09T00:00:00"/>
    <x v="0"/>
    <x v="0"/>
    <n v="1938"/>
    <x v="0"/>
    <s v="US Citizen"/>
    <s v="White"/>
    <x v="12"/>
    <s v="2017-09-26"/>
    <x v="1"/>
    <x v="2"/>
    <n v="5"/>
    <x v="1"/>
    <n v="0"/>
    <x v="1"/>
    <n v="3"/>
    <s v="Fully Meets"/>
    <n v="3.08"/>
    <s v="Satisfied"/>
    <n v="0"/>
    <d v="2017-04-01T00:00:00"/>
    <n v="0"/>
    <n v="18"/>
  </r>
  <r>
    <n v="10219"/>
    <s v="Lauren Mahoney"/>
    <x v="0"/>
    <x v="0"/>
    <x v="1"/>
    <x v="0"/>
    <x v="0"/>
    <x v="7"/>
    <n v="45395"/>
    <x v="169"/>
    <d v="1986-07-07T00:00:00"/>
    <x v="1"/>
    <x v="0"/>
    <n v="2189"/>
    <x v="0"/>
    <s v="US Citizen"/>
    <s v="White"/>
    <x v="62"/>
    <s v="Not Terminated"/>
    <x v="0"/>
    <x v="0"/>
    <n v="1"/>
    <x v="0"/>
    <n v="0"/>
    <x v="0"/>
    <n v="3"/>
    <s v="Fully Meets"/>
    <n v="4.5999999999999996"/>
    <s v="Satisfied"/>
    <n v="0"/>
    <d v="2019-02-26T00:00:00"/>
    <n v="0"/>
    <n v="14"/>
  </r>
  <r>
    <n v="10073"/>
    <s v="Karen Mancuso"/>
    <x v="1"/>
    <x v="1"/>
    <x v="1"/>
    <x v="0"/>
    <x v="2"/>
    <x v="5"/>
    <n v="68407"/>
    <x v="170"/>
    <d v="1986-12-10T00:00:00"/>
    <x v="1"/>
    <x v="0"/>
    <n v="2176"/>
    <x v="0"/>
    <s v="US Citizen"/>
    <s v="Two or more races"/>
    <x v="0"/>
    <s v="2012-08-19"/>
    <x v="1"/>
    <x v="4"/>
    <n v="5"/>
    <x v="1"/>
    <n v="0"/>
    <x v="0"/>
    <n v="3"/>
    <s v="Fully Meets"/>
    <n v="5"/>
    <s v="Satisfied"/>
    <n v="0"/>
    <d v="2012-07-02T00:00:00"/>
    <n v="0"/>
    <n v="16"/>
  </r>
  <r>
    <n v="10279"/>
    <s v="Debbie Mangal"/>
    <x v="1"/>
    <x v="1"/>
    <x v="1"/>
    <x v="0"/>
    <x v="0"/>
    <x v="8"/>
    <n v="61349"/>
    <x v="171"/>
    <d v="1974-11-07T00:00:00"/>
    <x v="1"/>
    <x v="0"/>
    <n v="2451"/>
    <x v="0"/>
    <s v="US Citizen"/>
    <s v="White"/>
    <x v="21"/>
    <s v="Not Terminated"/>
    <x v="0"/>
    <x v="0"/>
    <n v="1"/>
    <x v="0"/>
    <n v="0"/>
    <x v="0"/>
    <n v="3"/>
    <s v="Fully Meets"/>
    <n v="4.0999999999999996"/>
    <s v="Neutral"/>
    <n v="0"/>
    <d v="2019-01-22T00:00:00"/>
    <n v="0"/>
    <n v="11"/>
  </r>
  <r>
    <n v="10110"/>
    <s v="Sandra Martin"/>
    <x v="0"/>
    <x v="0"/>
    <x v="1"/>
    <x v="2"/>
    <x v="3"/>
    <x v="6"/>
    <n v="105688"/>
    <x v="172"/>
    <d v="1987-11-07T00:00:00"/>
    <x v="1"/>
    <x v="0"/>
    <n v="2135"/>
    <x v="0"/>
    <s v="US Citizen"/>
    <s v="Asian"/>
    <x v="21"/>
    <s v="Not Terminated"/>
    <x v="0"/>
    <x v="0"/>
    <n v="1"/>
    <x v="0"/>
    <n v="0"/>
    <x v="2"/>
    <n v="3"/>
    <s v="Fully Meets"/>
    <n v="4.5"/>
    <s v="Very Satisfied"/>
    <n v="4"/>
    <d v="2019-01-14T00:00:00"/>
    <n v="0"/>
    <n v="14"/>
  </r>
  <r>
    <n v="10053"/>
    <s v="Shana Maurice"/>
    <x v="1"/>
    <x v="1"/>
    <x v="1"/>
    <x v="0"/>
    <x v="0"/>
    <x v="10"/>
    <n v="54132"/>
    <x v="173"/>
    <d v="1977-11-22T00:00:00"/>
    <x v="1"/>
    <x v="0"/>
    <n v="2330"/>
    <x v="0"/>
    <s v="US Citizen"/>
    <s v="White"/>
    <x v="70"/>
    <s v="Not Terminated"/>
    <x v="0"/>
    <x v="0"/>
    <n v="1"/>
    <x v="0"/>
    <n v="0"/>
    <x v="1"/>
    <n v="3"/>
    <s v="Fully Meets"/>
    <n v="5"/>
    <s v="Satisfied"/>
    <n v="0"/>
    <d v="2019-01-10T00:00:00"/>
    <n v="0"/>
    <n v="8"/>
  </r>
  <r>
    <n v="10076"/>
    <s v="B'rigit Carthy"/>
    <x v="0"/>
    <x v="0"/>
    <x v="1"/>
    <x v="0"/>
    <x v="2"/>
    <x v="7"/>
    <n v="55315"/>
    <x v="174"/>
    <d v="1987-05-21T00:00:00"/>
    <x v="1"/>
    <x v="0"/>
    <n v="2149"/>
    <x v="0"/>
    <s v="US Citizen"/>
    <s v="Black or African American"/>
    <x v="1"/>
    <s v="Not Terminated"/>
    <x v="0"/>
    <x v="0"/>
    <n v="1"/>
    <x v="0"/>
    <n v="0"/>
    <x v="0"/>
    <n v="3"/>
    <s v="Fully Meets"/>
    <n v="5"/>
    <s v="Very Satisfied"/>
    <n v="0"/>
    <d v="2019-02-07T00:00:00"/>
    <n v="0"/>
    <n v="16"/>
  </r>
  <r>
    <n v="10145"/>
    <s v="Sandy Mckenna"/>
    <x v="1"/>
    <x v="1"/>
    <x v="1"/>
    <x v="0"/>
    <x v="0"/>
    <x v="2"/>
    <n v="62810"/>
    <x v="175"/>
    <d v="1987-01-07T00:00:00"/>
    <x v="1"/>
    <x v="0"/>
    <n v="2184"/>
    <x v="0"/>
    <s v="US Citizen"/>
    <s v="Black or African American"/>
    <x v="46"/>
    <s v="Not Terminated"/>
    <x v="0"/>
    <x v="0"/>
    <n v="1"/>
    <x v="0"/>
    <n v="0"/>
    <x v="6"/>
    <n v="3"/>
    <s v="Fully Meets"/>
    <n v="3.93"/>
    <s v="Neutral"/>
    <n v="0"/>
    <d v="2019-01-30T00:00:00"/>
    <n v="0"/>
    <n v="20"/>
  </r>
  <r>
    <n v="10202"/>
    <s v="Jac McKinzie"/>
    <x v="1"/>
    <x v="1"/>
    <x v="0"/>
    <x v="4"/>
    <x v="11"/>
    <x v="16"/>
    <n v="63291"/>
    <x v="176"/>
    <d v="1984-07-01T00:00:00"/>
    <x v="0"/>
    <x v="1"/>
    <n v="78789"/>
    <x v="0"/>
    <s v="US Citizen"/>
    <s v="Two or more races"/>
    <x v="37"/>
    <s v="Not Terminated"/>
    <x v="0"/>
    <x v="0"/>
    <n v="2"/>
    <x v="0"/>
    <n v="0"/>
    <x v="7"/>
    <n v="3"/>
    <s v="Fully Meets"/>
    <n v="3.4"/>
    <s v="Satisfied"/>
    <n v="0"/>
    <d v="2019-01-29T00:00:00"/>
    <n v="0"/>
    <n v="7"/>
  </r>
  <r>
    <n v="10128"/>
    <s v="Elizabeth Meads"/>
    <x v="0"/>
    <x v="0"/>
    <x v="1"/>
    <x v="0"/>
    <x v="0"/>
    <x v="11"/>
    <n v="62659"/>
    <x v="177"/>
    <d v="1968-05-30T00:00:00"/>
    <x v="1"/>
    <x v="0"/>
    <n v="1760"/>
    <x v="0"/>
    <s v="US Citizen"/>
    <s v="Black or African American"/>
    <x v="10"/>
    <s v="2016-11-11"/>
    <x v="1"/>
    <x v="4"/>
    <n v="5"/>
    <x v="1"/>
    <n v="1"/>
    <x v="4"/>
    <n v="3"/>
    <s v="Fully Meets"/>
    <n v="4.18"/>
    <s v="Satisfied"/>
    <n v="0"/>
    <d v="2016-02-05T00:00:00"/>
    <n v="0"/>
    <n v="17"/>
  </r>
  <r>
    <n v="10068"/>
    <s v="Jennifer Medeiros"/>
    <x v="0"/>
    <x v="0"/>
    <x v="1"/>
    <x v="0"/>
    <x v="0"/>
    <x v="0"/>
    <n v="55688"/>
    <x v="178"/>
    <d v="1976-09-22T00:00:00"/>
    <x v="1"/>
    <x v="0"/>
    <n v="2346"/>
    <x v="0"/>
    <s v="US Citizen"/>
    <s v="White"/>
    <x v="1"/>
    <s v="Not Terminated"/>
    <x v="0"/>
    <x v="0"/>
    <n v="1"/>
    <x v="0"/>
    <n v="0"/>
    <x v="6"/>
    <n v="3"/>
    <s v="Fully Meets"/>
    <n v="5"/>
    <s v="Satisfied"/>
    <n v="0"/>
    <d v="2019-01-21T00:00:00"/>
    <n v="0"/>
    <n v="10"/>
  </r>
  <r>
    <n v="10116"/>
    <s v="Brannon Miller"/>
    <x v="0"/>
    <x v="0"/>
    <x v="0"/>
    <x v="0"/>
    <x v="9"/>
    <x v="13"/>
    <n v="83667"/>
    <x v="179"/>
    <d v="1981-08-10T00:00:00"/>
    <x v="0"/>
    <x v="0"/>
    <n v="2045"/>
    <x v="1"/>
    <s v="US Citizen"/>
    <s v="Hispanic"/>
    <x v="71"/>
    <s v="Not Terminated"/>
    <x v="0"/>
    <x v="0"/>
    <n v="1"/>
    <x v="0"/>
    <n v="0"/>
    <x v="1"/>
    <n v="3"/>
    <s v="Fully Meets"/>
    <n v="4.37"/>
    <s v="Neutral"/>
    <n v="0"/>
    <d v="2019-01-14T00:00:00"/>
    <n v="0"/>
    <n v="2"/>
  </r>
  <r>
    <n v="10298"/>
    <s v="Ned Miller"/>
    <x v="0"/>
    <x v="0"/>
    <x v="0"/>
    <x v="0"/>
    <x v="2"/>
    <x v="8"/>
    <n v="55800"/>
    <x v="180"/>
    <d v="1985-06-29T00:00:00"/>
    <x v="0"/>
    <x v="0"/>
    <n v="2472"/>
    <x v="0"/>
    <s v="US Citizen"/>
    <s v="White"/>
    <x v="22"/>
    <s v="2014-09-04"/>
    <x v="1"/>
    <x v="5"/>
    <n v="5"/>
    <x v="1"/>
    <n v="0"/>
    <x v="0"/>
    <n v="1"/>
    <s v="PIP"/>
    <n v="3"/>
    <s v="Dissatisfied"/>
    <n v="0"/>
    <d v="2013-01-14T00:00:00"/>
    <n v="6"/>
    <n v="6"/>
  </r>
  <r>
    <n v="10213"/>
    <s v="Erasumus Monkfish"/>
    <x v="1"/>
    <x v="1"/>
    <x v="0"/>
    <x v="0"/>
    <x v="2"/>
    <x v="10"/>
    <n v="58207"/>
    <x v="181"/>
    <d v="1992-08-17T00:00:00"/>
    <x v="0"/>
    <x v="0"/>
    <n v="1450"/>
    <x v="0"/>
    <s v="US Citizen"/>
    <s v="White"/>
    <x v="43"/>
    <s v="Not Terminated"/>
    <x v="0"/>
    <x v="0"/>
    <n v="1"/>
    <x v="0"/>
    <n v="0"/>
    <x v="0"/>
    <n v="3"/>
    <s v="Fully Meets"/>
    <n v="3.7"/>
    <s v="Neutral"/>
    <n v="0"/>
    <d v="2019-01-08T00:00:00"/>
    <n v="0"/>
    <n v="14"/>
  </r>
  <r>
    <n v="10288"/>
    <s v="Peter Monroe"/>
    <x v="1"/>
    <x v="1"/>
    <x v="0"/>
    <x v="1"/>
    <x v="26"/>
    <x v="15"/>
    <n v="157000"/>
    <x v="182"/>
    <d v="1986-10-05T00:00:00"/>
    <x v="0"/>
    <x v="0"/>
    <n v="2134"/>
    <x v="1"/>
    <s v="Eligible NonCitizen"/>
    <s v="Black or African American"/>
    <x v="72"/>
    <s v="Not Terminated"/>
    <x v="0"/>
    <x v="0"/>
    <n v="1"/>
    <x v="0"/>
    <n v="1"/>
    <x v="4"/>
    <n v="2"/>
    <s v="Needs Improvement"/>
    <n v="2.39"/>
    <s v="Neutral"/>
    <n v="6"/>
    <d v="2019-02-22T00:00:00"/>
    <n v="4"/>
    <n v="13"/>
  </r>
  <r>
    <n v="10025"/>
    <s v="Luisa Monterro"/>
    <x v="0"/>
    <x v="0"/>
    <x v="1"/>
    <x v="0"/>
    <x v="2"/>
    <x v="2"/>
    <n v="72460"/>
    <x v="183"/>
    <d v="1970-04-24T00:00:00"/>
    <x v="1"/>
    <x v="0"/>
    <n v="2126"/>
    <x v="0"/>
    <s v="US Citizen"/>
    <s v="Black or African American"/>
    <x v="73"/>
    <s v="Not Terminated"/>
    <x v="0"/>
    <x v="0"/>
    <n v="1"/>
    <x v="0"/>
    <n v="0"/>
    <x v="1"/>
    <n v="4"/>
    <s v="Exceeds"/>
    <n v="4.7"/>
    <s v="Neutral"/>
    <n v="0"/>
    <d v="2019-01-14T00:00:00"/>
    <n v="0"/>
    <n v="1"/>
  </r>
  <r>
    <n v="10223"/>
    <s v="Patrick Moran"/>
    <x v="0"/>
    <x v="0"/>
    <x v="0"/>
    <x v="0"/>
    <x v="2"/>
    <x v="11"/>
    <n v="72106"/>
    <x v="184"/>
    <d v="1976-12-03T00:00:00"/>
    <x v="0"/>
    <x v="0"/>
    <n v="2127"/>
    <x v="0"/>
    <s v="US Citizen"/>
    <s v="Black or African American"/>
    <x v="4"/>
    <s v="Not Terminated"/>
    <x v="0"/>
    <x v="0"/>
    <n v="3"/>
    <x v="0"/>
    <n v="1"/>
    <x v="4"/>
    <n v="3"/>
    <s v="Fully Meets"/>
    <n v="4.0999999999999996"/>
    <s v="Satisfied"/>
    <n v="0"/>
    <d v="2019-01-31T00:00:00"/>
    <n v="0"/>
    <n v="12"/>
  </r>
  <r>
    <n v="10151"/>
    <s v="Tanya Morway"/>
    <x v="1"/>
    <x v="1"/>
    <x v="1"/>
    <x v="1"/>
    <x v="19"/>
    <x v="9"/>
    <n v="52599"/>
    <x v="185"/>
    <d v="1979-04-04T00:00:00"/>
    <x v="1"/>
    <x v="0"/>
    <n v="2048"/>
    <x v="0"/>
    <s v="US Citizen"/>
    <s v="White"/>
    <x v="19"/>
    <s v="Not Terminated"/>
    <x v="0"/>
    <x v="0"/>
    <n v="1"/>
    <x v="0"/>
    <n v="0"/>
    <x v="6"/>
    <n v="3"/>
    <s v="Fully Meets"/>
    <n v="3.81"/>
    <s v="Neutral"/>
    <n v="6"/>
    <d v="2019-02-11T00:00:00"/>
    <n v="0"/>
    <n v="6"/>
  </r>
  <r>
    <n v="10254"/>
    <s v="Dawn Motlagh"/>
    <x v="0"/>
    <x v="2"/>
    <x v="1"/>
    <x v="0"/>
    <x v="0"/>
    <x v="3"/>
    <n v="63430"/>
    <x v="186"/>
    <d v="1984-07-07T00:00:00"/>
    <x v="1"/>
    <x v="0"/>
    <n v="2453"/>
    <x v="0"/>
    <s v="US Citizen"/>
    <s v="White"/>
    <x v="74"/>
    <s v="Not Terminated"/>
    <x v="0"/>
    <x v="0"/>
    <n v="1"/>
    <x v="0"/>
    <n v="0"/>
    <x v="0"/>
    <n v="3"/>
    <s v="Fully Meets"/>
    <n v="4.4000000000000004"/>
    <s v="Satisfied"/>
    <n v="0"/>
    <d v="2019-01-17T00:00:00"/>
    <n v="0"/>
    <n v="18"/>
  </r>
  <r>
    <n v="10120"/>
    <s v="Maliki Moumanil"/>
    <x v="0"/>
    <x v="4"/>
    <x v="0"/>
    <x v="0"/>
    <x v="2"/>
    <x v="0"/>
    <n v="74417"/>
    <x v="187"/>
    <d v="1974-12-01T00:00:00"/>
    <x v="0"/>
    <x v="0"/>
    <n v="1460"/>
    <x v="0"/>
    <s v="US Citizen"/>
    <s v="Black or African American"/>
    <x v="73"/>
    <s v="Not Terminated"/>
    <x v="0"/>
    <x v="0"/>
    <n v="1"/>
    <x v="0"/>
    <n v="0"/>
    <x v="0"/>
    <n v="3"/>
    <s v="Fully Meets"/>
    <n v="4.29"/>
    <s v="Very Satisfied"/>
    <n v="0"/>
    <d v="2019-01-28T00:00:00"/>
    <n v="0"/>
    <n v="11"/>
  </r>
  <r>
    <n v="10216"/>
    <s v="Michael Myers"/>
    <x v="0"/>
    <x v="0"/>
    <x v="0"/>
    <x v="0"/>
    <x v="0"/>
    <x v="2"/>
    <n v="57575"/>
    <x v="188"/>
    <d v="1980-04-18T00:00:00"/>
    <x v="0"/>
    <x v="0"/>
    <n v="1550"/>
    <x v="0"/>
    <s v="US Citizen"/>
    <s v="Asian"/>
    <x v="38"/>
    <s v="Not Terminated"/>
    <x v="0"/>
    <x v="0"/>
    <n v="1"/>
    <x v="0"/>
    <n v="0"/>
    <x v="0"/>
    <n v="3"/>
    <s v="Fully Meets"/>
    <n v="4.0999999999999996"/>
    <s v="Satisfied"/>
    <n v="0"/>
    <d v="2019-01-22T00:00:00"/>
    <n v="0"/>
    <n v="13"/>
  </r>
  <r>
    <n v="10079"/>
    <s v="Kurt Navathe"/>
    <x v="0"/>
    <x v="0"/>
    <x v="0"/>
    <x v="1"/>
    <x v="24"/>
    <x v="19"/>
    <n v="87921"/>
    <x v="189"/>
    <d v="1970-04-25T00:00:00"/>
    <x v="0"/>
    <x v="0"/>
    <n v="2056"/>
    <x v="0"/>
    <s v="US Citizen"/>
    <s v="Asian"/>
    <x v="75"/>
    <s v="Not Terminated"/>
    <x v="0"/>
    <x v="0"/>
    <n v="1"/>
    <x v="0"/>
    <n v="0"/>
    <x v="1"/>
    <n v="3"/>
    <s v="Fully Meets"/>
    <n v="5"/>
    <s v="Neutral"/>
    <n v="6"/>
    <d v="2019-02-25T00:00:00"/>
    <n v="0"/>
    <n v="17"/>
  </r>
  <r>
    <n v="10215"/>
    <s v="Colombui Ndzi"/>
    <x v="0"/>
    <x v="0"/>
    <x v="0"/>
    <x v="0"/>
    <x v="0"/>
    <x v="4"/>
    <n v="50470"/>
    <x v="190"/>
    <d v="1989-05-02T00:00:00"/>
    <x v="0"/>
    <x v="0"/>
    <n v="2110"/>
    <x v="0"/>
    <s v="US Citizen"/>
    <s v="Black or African American"/>
    <x v="63"/>
    <s v="2014-04-04"/>
    <x v="1"/>
    <x v="3"/>
    <n v="5"/>
    <x v="1"/>
    <n v="1"/>
    <x v="4"/>
    <n v="3"/>
    <s v="Fully Meets"/>
    <n v="4.3"/>
    <s v="Neutral"/>
    <n v="0"/>
    <d v="2013-03-02T00:00:00"/>
    <n v="0"/>
    <n v="19"/>
  </r>
  <r>
    <n v="10185"/>
    <s v="Horia Ndzi"/>
    <x v="1"/>
    <x v="1"/>
    <x v="0"/>
    <x v="0"/>
    <x v="0"/>
    <x v="5"/>
    <n v="46664"/>
    <x v="191"/>
    <d v="1983-03-28T00:00:00"/>
    <x v="0"/>
    <x v="0"/>
    <n v="2421"/>
    <x v="0"/>
    <s v="US Citizen"/>
    <s v="White"/>
    <x v="74"/>
    <s v="2016-05-25"/>
    <x v="1"/>
    <x v="11"/>
    <n v="5"/>
    <x v="1"/>
    <n v="0"/>
    <x v="3"/>
    <n v="3"/>
    <s v="Fully Meets"/>
    <n v="3.18"/>
    <s v="Neutral"/>
    <n v="0"/>
    <d v="2016-03-06T00:00:00"/>
    <n v="0"/>
    <n v="10"/>
  </r>
  <r>
    <n v="10063"/>
    <s v="Richard Newman"/>
    <x v="1"/>
    <x v="1"/>
    <x v="0"/>
    <x v="0"/>
    <x v="0"/>
    <x v="7"/>
    <n v="48495"/>
    <x v="192"/>
    <d v="1977-04-08T00:00:00"/>
    <x v="0"/>
    <x v="0"/>
    <n v="2136"/>
    <x v="0"/>
    <s v="US Citizen"/>
    <s v="White"/>
    <x v="30"/>
    <s v="Not Terminated"/>
    <x v="0"/>
    <x v="0"/>
    <n v="3"/>
    <x v="0"/>
    <n v="0"/>
    <x v="0"/>
    <n v="3"/>
    <s v="Fully Meets"/>
    <n v="5"/>
    <s v="Very Satisfied"/>
    <n v="0"/>
    <d v="2019-02-18T00:00:00"/>
    <n v="0"/>
    <n v="11"/>
  </r>
  <r>
    <n v="10037"/>
    <s v="Shari Ngodup"/>
    <x v="0"/>
    <x v="4"/>
    <x v="1"/>
    <x v="0"/>
    <x v="0"/>
    <x v="8"/>
    <n v="52984"/>
    <x v="193"/>
    <d v="1967-06-03T00:00:00"/>
    <x v="1"/>
    <x v="0"/>
    <n v="1810"/>
    <x v="0"/>
    <s v="US Citizen"/>
    <s v="Black or African American"/>
    <x v="74"/>
    <s v="Not Terminated"/>
    <x v="0"/>
    <x v="0"/>
    <n v="1"/>
    <x v="0"/>
    <n v="1"/>
    <x v="4"/>
    <n v="4"/>
    <s v="Exceeds"/>
    <n v="4"/>
    <s v="Neutral"/>
    <n v="0"/>
    <d v="2019-02-13T00:00:00"/>
    <n v="0"/>
    <n v="12"/>
  </r>
  <r>
    <n v="10042"/>
    <s v="Dheepa Nguyen"/>
    <x v="0"/>
    <x v="0"/>
    <x v="1"/>
    <x v="4"/>
    <x v="11"/>
    <x v="16"/>
    <n v="63695"/>
    <x v="194"/>
    <d v="1989-03-31T00:00:00"/>
    <x v="1"/>
    <x v="17"/>
    <n v="30428"/>
    <x v="0"/>
    <s v="US Citizen"/>
    <s v="Two or more races"/>
    <x v="38"/>
    <s v="Not Terminated"/>
    <x v="0"/>
    <x v="0"/>
    <n v="1"/>
    <x v="0"/>
    <n v="0"/>
    <x v="1"/>
    <n v="3"/>
    <s v="Fully Meets"/>
    <n v="5"/>
    <s v="Very Satisfied"/>
    <n v="0"/>
    <d v="2019-01-25T00:00:00"/>
    <n v="0"/>
    <n v="2"/>
  </r>
  <r>
    <n v="10206"/>
    <s v="Lei-Ming Nguyen"/>
    <x v="0"/>
    <x v="0"/>
    <x v="1"/>
    <x v="0"/>
    <x v="0"/>
    <x v="10"/>
    <n v="62061"/>
    <x v="195"/>
    <d v="1984-07-07T00:00:00"/>
    <x v="1"/>
    <x v="0"/>
    <n v="2132"/>
    <x v="0"/>
    <s v="US Citizen"/>
    <s v="White"/>
    <x v="38"/>
    <s v="Not Terminated"/>
    <x v="0"/>
    <x v="0"/>
    <n v="1"/>
    <x v="0"/>
    <n v="0"/>
    <x v="0"/>
    <n v="3"/>
    <s v="Fully Meets"/>
    <n v="3.6"/>
    <s v="Very Satisfied"/>
    <n v="0"/>
    <d v="2019-01-02T00:00:00"/>
    <n v="0"/>
    <n v="4"/>
  </r>
  <r>
    <n v="10104"/>
    <s v="Kristie Nowlan"/>
    <x v="0"/>
    <x v="0"/>
    <x v="1"/>
    <x v="0"/>
    <x v="2"/>
    <x v="3"/>
    <n v="66738"/>
    <x v="196"/>
    <d v="1985-11-23T00:00:00"/>
    <x v="1"/>
    <x v="0"/>
    <n v="1040"/>
    <x v="0"/>
    <s v="US Citizen"/>
    <s v="White"/>
    <x v="5"/>
    <s v="Not Terminated"/>
    <x v="0"/>
    <x v="0"/>
    <n v="1"/>
    <x v="0"/>
    <n v="0"/>
    <x v="1"/>
    <n v="3"/>
    <s v="Fully Meets"/>
    <n v="4.53"/>
    <s v="Very Satisfied"/>
    <n v="0"/>
    <d v="2019-01-16T00:00:00"/>
    <n v="0"/>
    <n v="5"/>
  </r>
  <r>
    <n v="10303"/>
    <s v="Lynn O'hare"/>
    <x v="0"/>
    <x v="0"/>
    <x v="1"/>
    <x v="0"/>
    <x v="0"/>
    <x v="2"/>
    <n v="52674"/>
    <x v="197"/>
    <d v="1980-09-30T00:00:00"/>
    <x v="1"/>
    <x v="0"/>
    <n v="2152"/>
    <x v="0"/>
    <s v="US Citizen"/>
    <s v="Two or more races"/>
    <x v="25"/>
    <s v="2018-05-01"/>
    <x v="1"/>
    <x v="7"/>
    <n v="4"/>
    <x v="2"/>
    <n v="0"/>
    <x v="0"/>
    <n v="1"/>
    <s v="PIP"/>
    <n v="2.33"/>
    <s v="Dissatisfied"/>
    <n v="0"/>
    <d v="2018-03-09T00:00:00"/>
    <n v="6"/>
    <n v="3"/>
  </r>
  <r>
    <n v="10078"/>
    <s v="Brooke Oliver"/>
    <x v="1"/>
    <x v="1"/>
    <x v="1"/>
    <x v="0"/>
    <x v="2"/>
    <x v="4"/>
    <n v="71966"/>
    <x v="198"/>
    <d v="1952-02-11T00:00:00"/>
    <x v="1"/>
    <x v="0"/>
    <n v="2492"/>
    <x v="0"/>
    <s v="US Citizen"/>
    <s v="Asian"/>
    <x v="31"/>
    <s v="2013-08-19"/>
    <x v="1"/>
    <x v="5"/>
    <n v="5"/>
    <x v="1"/>
    <n v="0"/>
    <x v="0"/>
    <n v="3"/>
    <s v="Fully Meets"/>
    <n v="5"/>
    <s v="Neutral"/>
    <n v="0"/>
    <d v="2013-07-02T00:00:00"/>
    <n v="0"/>
    <n v="17"/>
  </r>
  <r>
    <n v="10121"/>
    <s v="Jasmine Onque"/>
    <x v="0"/>
    <x v="0"/>
    <x v="1"/>
    <x v="4"/>
    <x v="11"/>
    <x v="16"/>
    <n v="63051"/>
    <x v="199"/>
    <d v="1990-05-11T00:00:00"/>
    <x v="1"/>
    <x v="18"/>
    <n v="33174"/>
    <x v="1"/>
    <s v="US Citizen"/>
    <s v="White"/>
    <x v="6"/>
    <s v="Not Terminated"/>
    <x v="0"/>
    <x v="0"/>
    <n v="1"/>
    <x v="0"/>
    <n v="0"/>
    <x v="1"/>
    <n v="3"/>
    <s v="Fully Meets"/>
    <n v="4.28"/>
    <s v="Neutral"/>
    <n v="0"/>
    <d v="2019-01-25T00:00:00"/>
    <n v="0"/>
    <n v="1"/>
  </r>
  <r>
    <n v="10021"/>
    <s v="Adeel Osturnka"/>
    <x v="1"/>
    <x v="1"/>
    <x v="0"/>
    <x v="0"/>
    <x v="0"/>
    <x v="11"/>
    <n v="47414"/>
    <x v="200"/>
    <d v="1976-12-11T00:00:00"/>
    <x v="0"/>
    <x v="0"/>
    <n v="2478"/>
    <x v="0"/>
    <s v="US Citizen"/>
    <s v="White"/>
    <x v="6"/>
    <s v="Not Terminated"/>
    <x v="0"/>
    <x v="0"/>
    <n v="1"/>
    <x v="0"/>
    <n v="0"/>
    <x v="0"/>
    <n v="4"/>
    <s v="Exceeds"/>
    <n v="5"/>
    <s v="Neutral"/>
    <n v="0"/>
    <d v="2019-02-07T00:00:00"/>
    <n v="0"/>
    <n v="13"/>
  </r>
  <r>
    <n v="10281"/>
    <s v="Clinton Owad"/>
    <x v="0"/>
    <x v="0"/>
    <x v="0"/>
    <x v="0"/>
    <x v="0"/>
    <x v="0"/>
    <n v="53060"/>
    <x v="201"/>
    <d v="1979-11-24T00:00:00"/>
    <x v="0"/>
    <x v="0"/>
    <n v="1760"/>
    <x v="0"/>
    <s v="US Citizen"/>
    <s v="Black or African American"/>
    <x v="18"/>
    <s v="Not Terminated"/>
    <x v="0"/>
    <x v="0"/>
    <n v="1"/>
    <x v="0"/>
    <n v="0"/>
    <x v="0"/>
    <n v="2"/>
    <s v="Needs Improvement"/>
    <n v="4.25"/>
    <s v="Neutral"/>
    <n v="0"/>
    <d v="2019-02-04T00:00:00"/>
    <n v="4"/>
    <n v="6"/>
  </r>
  <r>
    <n v="10041"/>
    <s v="Travis Ozark"/>
    <x v="0"/>
    <x v="0"/>
    <x v="0"/>
    <x v="4"/>
    <x v="11"/>
    <x v="14"/>
    <n v="68829"/>
    <x v="202"/>
    <d v="1982-05-19T00:00:00"/>
    <x v="0"/>
    <x v="19"/>
    <n v="27229"/>
    <x v="0"/>
    <s v="US Citizen"/>
    <s v="White"/>
    <x v="8"/>
    <s v="Not Terminated"/>
    <x v="0"/>
    <x v="0"/>
    <n v="1"/>
    <x v="0"/>
    <n v="0"/>
    <x v="7"/>
    <n v="3"/>
    <s v="Fully Meets"/>
    <n v="5"/>
    <s v="Very Satisfied"/>
    <n v="0"/>
    <d v="2019-01-14T00:00:00"/>
    <n v="0"/>
    <n v="18"/>
  </r>
  <r>
    <n v="10148"/>
    <s v="Nina Panjwani"/>
    <x v="1"/>
    <x v="1"/>
    <x v="1"/>
    <x v="0"/>
    <x v="0"/>
    <x v="3"/>
    <n v="63515"/>
    <x v="203"/>
    <d v="1979-05-01T00:00:00"/>
    <x v="1"/>
    <x v="0"/>
    <n v="2351"/>
    <x v="0"/>
    <s v="US Citizen"/>
    <s v="White"/>
    <x v="76"/>
    <s v="2014-01-12"/>
    <x v="1"/>
    <x v="4"/>
    <n v="5"/>
    <x v="1"/>
    <n v="0"/>
    <x v="2"/>
    <n v="3"/>
    <s v="Fully Meets"/>
    <n v="3.89"/>
    <s v="Satisfied"/>
    <n v="0"/>
    <d v="2013-03-04T00:00:00"/>
    <n v="0"/>
    <n v="7"/>
  </r>
  <r>
    <n v="10005"/>
    <s v="Lucas Patronick"/>
    <x v="0"/>
    <x v="0"/>
    <x v="0"/>
    <x v="2"/>
    <x v="3"/>
    <x v="6"/>
    <n v="108987"/>
    <x v="204"/>
    <d v="1979-02-20T00:00:00"/>
    <x v="0"/>
    <x v="0"/>
    <n v="1844"/>
    <x v="0"/>
    <s v="US Citizen"/>
    <s v="Black or African American"/>
    <x v="43"/>
    <s v="2015-09-07"/>
    <x v="1"/>
    <x v="4"/>
    <n v="5"/>
    <x v="1"/>
    <n v="1"/>
    <x v="4"/>
    <n v="4"/>
    <s v="Exceeds"/>
    <n v="5"/>
    <s v="Very Satisfied"/>
    <n v="3"/>
    <d v="2015-08-16T00:00:00"/>
    <n v="0"/>
    <n v="13"/>
  </r>
  <r>
    <n v="10259"/>
    <s v="Randall Pearson"/>
    <x v="1"/>
    <x v="1"/>
    <x v="0"/>
    <x v="1"/>
    <x v="5"/>
    <x v="1"/>
    <n v="93093"/>
    <x v="205"/>
    <d v="1984-09-05T00:00:00"/>
    <x v="0"/>
    <x v="0"/>
    <n v="2747"/>
    <x v="0"/>
    <s v="US Citizen"/>
    <s v="White"/>
    <x v="77"/>
    <s v="2016-05-01"/>
    <x v="1"/>
    <x v="7"/>
    <n v="5"/>
    <x v="1"/>
    <n v="0"/>
    <x v="3"/>
    <n v="3"/>
    <s v="Fully Meets"/>
    <n v="4.7"/>
    <s v="Satisfied"/>
    <n v="5"/>
    <d v="2016-01-16T00:00:00"/>
    <n v="0"/>
    <n v="19"/>
  </r>
  <r>
    <n v="10286"/>
    <s v="Martin Smith"/>
    <x v="0"/>
    <x v="0"/>
    <x v="0"/>
    <x v="0"/>
    <x v="0"/>
    <x v="4"/>
    <n v="53564"/>
    <x v="206"/>
    <d v="1988-03-17T00:00:00"/>
    <x v="0"/>
    <x v="0"/>
    <n v="2458"/>
    <x v="0"/>
    <s v="US Citizen"/>
    <s v="Black or African American"/>
    <x v="9"/>
    <s v="2017-12-28"/>
    <x v="1"/>
    <x v="1"/>
    <n v="5"/>
    <x v="1"/>
    <n v="0"/>
    <x v="2"/>
    <n v="2"/>
    <s v="Needs Improvement"/>
    <n v="3.54"/>
    <s v="Very Satisfied"/>
    <n v="0"/>
    <d v="2017-04-06T00:00:00"/>
    <n v="4"/>
    <n v="15"/>
  </r>
  <r>
    <n v="10297"/>
    <s v="Ermine Pelletier"/>
    <x v="1"/>
    <x v="1"/>
    <x v="1"/>
    <x v="0"/>
    <x v="2"/>
    <x v="5"/>
    <n v="60270"/>
    <x v="207"/>
    <d v="1989-07-18T00:00:00"/>
    <x v="1"/>
    <x v="0"/>
    <n v="2472"/>
    <x v="0"/>
    <s v="US Citizen"/>
    <s v="Asian"/>
    <x v="0"/>
    <s v="2015-09-15"/>
    <x v="1"/>
    <x v="5"/>
    <n v="5"/>
    <x v="1"/>
    <n v="0"/>
    <x v="6"/>
    <n v="2"/>
    <s v="Needs Improvement"/>
    <n v="2.4"/>
    <s v="Very Satisfied"/>
    <n v="0"/>
    <d v="2015-02-06T00:00:00"/>
    <n v="5"/>
    <n v="2"/>
  </r>
  <r>
    <n v="10171"/>
    <s v="Shakira Perry"/>
    <x v="0"/>
    <x v="0"/>
    <x v="1"/>
    <x v="0"/>
    <x v="0"/>
    <x v="5"/>
    <n v="45998"/>
    <x v="208"/>
    <d v="1986-07-20T00:00:00"/>
    <x v="1"/>
    <x v="0"/>
    <n v="2176"/>
    <x v="0"/>
    <s v="US Citizen"/>
    <s v="White"/>
    <x v="35"/>
    <s v="2015-10-25"/>
    <x v="1"/>
    <x v="16"/>
    <n v="5"/>
    <x v="1"/>
    <n v="0"/>
    <x v="0"/>
    <n v="3"/>
    <s v="Fully Meets"/>
    <n v="3.45"/>
    <s v="Satisfied"/>
    <n v="0"/>
    <d v="2014-05-13T00:00:00"/>
    <n v="0"/>
    <n v="5"/>
  </r>
  <r>
    <n v="10032"/>
    <s v="Lauren Peters"/>
    <x v="1"/>
    <x v="1"/>
    <x v="1"/>
    <x v="0"/>
    <x v="2"/>
    <x v="7"/>
    <n v="57954"/>
    <x v="209"/>
    <d v="1986-08-17T00:00:00"/>
    <x v="1"/>
    <x v="0"/>
    <n v="1886"/>
    <x v="0"/>
    <s v="US Citizen"/>
    <s v="White"/>
    <x v="35"/>
    <s v="2013-02-04"/>
    <x v="1"/>
    <x v="11"/>
    <n v="5"/>
    <x v="1"/>
    <n v="0"/>
    <x v="1"/>
    <n v="4"/>
    <s v="Exceeds"/>
    <n v="4.2"/>
    <s v="Very Satisfied"/>
    <n v="0"/>
    <d v="2013-01-10T00:00:00"/>
    <n v="0"/>
    <n v="12"/>
  </r>
  <r>
    <n v="10130"/>
    <s v="Ebonee Peterson"/>
    <x v="1"/>
    <x v="1"/>
    <x v="1"/>
    <x v="0"/>
    <x v="9"/>
    <x v="13"/>
    <n v="74669"/>
    <x v="210"/>
    <d v="1977-05-09T00:00:00"/>
    <x v="1"/>
    <x v="0"/>
    <n v="2030"/>
    <x v="0"/>
    <s v="US Citizen"/>
    <s v="White"/>
    <x v="78"/>
    <s v="2016-05-18"/>
    <x v="1"/>
    <x v="4"/>
    <n v="5"/>
    <x v="1"/>
    <n v="0"/>
    <x v="1"/>
    <n v="3"/>
    <s v="Fully Meets"/>
    <n v="4.16"/>
    <s v="Very Satisfied"/>
    <n v="0"/>
    <d v="2015-03-05T00:00:00"/>
    <n v="0"/>
    <n v="6"/>
  </r>
  <r>
    <n v="10217"/>
    <s v="Shana Petingill"/>
    <x v="1"/>
    <x v="1"/>
    <x v="1"/>
    <x v="0"/>
    <x v="2"/>
    <x v="8"/>
    <n v="74226"/>
    <x v="211"/>
    <d v="1979-03-10T00:00:00"/>
    <x v="1"/>
    <x v="0"/>
    <n v="2050"/>
    <x v="0"/>
    <s v="Eligible NonCitizen"/>
    <s v="Asian"/>
    <x v="10"/>
    <s v="Not Terminated"/>
    <x v="0"/>
    <x v="0"/>
    <n v="1"/>
    <x v="0"/>
    <n v="0"/>
    <x v="0"/>
    <n v="3"/>
    <s v="Fully Meets"/>
    <n v="4.3"/>
    <s v="Neutral"/>
    <n v="0"/>
    <d v="2019-01-14T00:00:00"/>
    <n v="0"/>
    <n v="14"/>
  </r>
  <r>
    <n v="10016"/>
    <s v="Thelma Petrowsky"/>
    <x v="1"/>
    <x v="1"/>
    <x v="1"/>
    <x v="1"/>
    <x v="5"/>
    <x v="1"/>
    <n v="93554"/>
    <x v="212"/>
    <d v="1984-09-16T00:00:00"/>
    <x v="1"/>
    <x v="0"/>
    <n v="1886"/>
    <x v="0"/>
    <s v="US Citizen"/>
    <s v="Black or African American"/>
    <x v="5"/>
    <s v="Not Terminated"/>
    <x v="0"/>
    <x v="0"/>
    <n v="1"/>
    <x v="0"/>
    <n v="0"/>
    <x v="3"/>
    <n v="4"/>
    <s v="Exceeds"/>
    <n v="4.5999999999999996"/>
    <s v="Very Satisfied"/>
    <n v="7"/>
    <d v="2019-01-04T00:00:00"/>
    <n v="0"/>
    <n v="16"/>
  </r>
  <r>
    <n v="10050"/>
    <s v="Hong Pham"/>
    <x v="1"/>
    <x v="1"/>
    <x v="0"/>
    <x v="0"/>
    <x v="0"/>
    <x v="8"/>
    <n v="64724"/>
    <x v="213"/>
    <d v="1988-03-06T00:00:00"/>
    <x v="0"/>
    <x v="0"/>
    <n v="2451"/>
    <x v="0"/>
    <s v="US Citizen"/>
    <s v="Asian"/>
    <x v="0"/>
    <s v="2012-11-30"/>
    <x v="1"/>
    <x v="11"/>
    <n v="5"/>
    <x v="1"/>
    <n v="0"/>
    <x v="2"/>
    <n v="3"/>
    <s v="Fully Meets"/>
    <n v="5"/>
    <s v="Neutral"/>
    <n v="0"/>
    <d v="2012-02-20T00:00:00"/>
    <n v="0"/>
    <n v="13"/>
  </r>
  <r>
    <n v="10164"/>
    <s v="Brad Pitt"/>
    <x v="0"/>
    <x v="0"/>
    <x v="0"/>
    <x v="0"/>
    <x v="0"/>
    <x v="10"/>
    <n v="47001"/>
    <x v="214"/>
    <d v="1981-11-23T00:00:00"/>
    <x v="0"/>
    <x v="0"/>
    <n v="2451"/>
    <x v="0"/>
    <s v="US Citizen"/>
    <s v="White"/>
    <x v="79"/>
    <s v="Not Terminated"/>
    <x v="0"/>
    <x v="0"/>
    <n v="1"/>
    <x v="0"/>
    <n v="0"/>
    <x v="2"/>
    <n v="3"/>
    <s v="Fully Meets"/>
    <n v="3.66"/>
    <s v="Neutral"/>
    <n v="0"/>
    <d v="2019-02-25T00:00:00"/>
    <n v="0"/>
    <n v="15"/>
  </r>
  <r>
    <n v="10124"/>
    <s v="Xana Potts"/>
    <x v="1"/>
    <x v="1"/>
    <x v="1"/>
    <x v="4"/>
    <x v="11"/>
    <x v="16"/>
    <n v="61844"/>
    <x v="215"/>
    <d v="1988-08-29T00:00:00"/>
    <x v="1"/>
    <x v="20"/>
    <n v="40220"/>
    <x v="0"/>
    <s v="US Citizen"/>
    <s v="Black or African American"/>
    <x v="4"/>
    <s v="Not Terminated"/>
    <x v="0"/>
    <x v="0"/>
    <n v="1"/>
    <x v="0"/>
    <n v="0"/>
    <x v="7"/>
    <n v="3"/>
    <s v="Fully Meets"/>
    <n v="4.2"/>
    <s v="Very Satisfied"/>
    <n v="0"/>
    <d v="2019-02-01T00:00:00"/>
    <n v="0"/>
    <n v="9"/>
  </r>
  <r>
    <n v="10187"/>
    <s v="Morissa Power"/>
    <x v="0"/>
    <x v="2"/>
    <x v="1"/>
    <x v="0"/>
    <x v="0"/>
    <x v="2"/>
    <n v="46799"/>
    <x v="216"/>
    <d v="1984-10-15T00:00:00"/>
    <x v="1"/>
    <x v="0"/>
    <n v="1742"/>
    <x v="0"/>
    <s v="Eligible NonCitizen"/>
    <s v="Asian"/>
    <x v="35"/>
    <s v="2018-06-04"/>
    <x v="1"/>
    <x v="4"/>
    <n v="5"/>
    <x v="1"/>
    <n v="0"/>
    <x v="2"/>
    <n v="3"/>
    <s v="Fully Meets"/>
    <n v="3.17"/>
    <s v="Satisfied"/>
    <n v="0"/>
    <d v="2018-04-02T00:00:00"/>
    <n v="0"/>
    <n v="14"/>
  </r>
  <r>
    <n v="10225"/>
    <s v="Louis Punjabhi"/>
    <x v="0"/>
    <x v="0"/>
    <x v="0"/>
    <x v="0"/>
    <x v="0"/>
    <x v="11"/>
    <n v="59472"/>
    <x v="217"/>
    <d v="1961-06-19T00:00:00"/>
    <x v="0"/>
    <x v="0"/>
    <n v="2109"/>
    <x v="0"/>
    <s v="US Citizen"/>
    <s v="White"/>
    <x v="62"/>
    <s v="Not Terminated"/>
    <x v="0"/>
    <x v="0"/>
    <n v="1"/>
    <x v="0"/>
    <n v="0"/>
    <x v="3"/>
    <n v="3"/>
    <s v="Fully Meets"/>
    <n v="4.8"/>
    <s v="Neutral"/>
    <n v="0"/>
    <d v="2019-01-07T00:00:00"/>
    <n v="0"/>
    <n v="14"/>
  </r>
  <r>
    <n v="10262"/>
    <s v="Janine Purinton"/>
    <x v="0"/>
    <x v="2"/>
    <x v="1"/>
    <x v="0"/>
    <x v="0"/>
    <x v="2"/>
    <n v="46430"/>
    <x v="218"/>
    <d v="1970-09-22T00:00:00"/>
    <x v="1"/>
    <x v="0"/>
    <n v="2474"/>
    <x v="0"/>
    <s v="US Citizen"/>
    <s v="White"/>
    <x v="12"/>
    <s v="2013-06-18"/>
    <x v="1"/>
    <x v="5"/>
    <n v="5"/>
    <x v="1"/>
    <n v="0"/>
    <x v="1"/>
    <n v="3"/>
    <s v="Fully Meets"/>
    <n v="4.5"/>
    <s v="Very Satisfied"/>
    <n v="0"/>
    <d v="2013-04-02T00:00:00"/>
    <n v="0"/>
    <n v="16"/>
  </r>
  <r>
    <n v="10131"/>
    <s v="Sean Quinn"/>
    <x v="1"/>
    <x v="1"/>
    <x v="0"/>
    <x v="2"/>
    <x v="3"/>
    <x v="13"/>
    <n v="83363"/>
    <x v="219"/>
    <d v="1984-11-06T00:00:00"/>
    <x v="0"/>
    <x v="0"/>
    <n v="2045"/>
    <x v="0"/>
    <s v="Eligible NonCitizen"/>
    <s v="Black or African American"/>
    <x v="13"/>
    <s v="2015-08-15"/>
    <x v="1"/>
    <x v="1"/>
    <n v="5"/>
    <x v="1"/>
    <n v="1"/>
    <x v="4"/>
    <n v="3"/>
    <s v="Fully Meets"/>
    <n v="4.1500000000000004"/>
    <s v="Satisfied"/>
    <n v="0"/>
    <d v="2014-04-19T00:00:00"/>
    <n v="0"/>
    <n v="4"/>
  </r>
  <r>
    <n v="10239"/>
    <s v="Maggie Rachael"/>
    <x v="1"/>
    <x v="1"/>
    <x v="1"/>
    <x v="1"/>
    <x v="17"/>
    <x v="19"/>
    <n v="95920"/>
    <x v="220"/>
    <d v="1980-05-12T00:00:00"/>
    <x v="1"/>
    <x v="0"/>
    <n v="2110"/>
    <x v="0"/>
    <s v="US Citizen"/>
    <s v="Black or African American"/>
    <x v="66"/>
    <s v="Not Terminated"/>
    <x v="0"/>
    <x v="0"/>
    <n v="1"/>
    <x v="0"/>
    <n v="0"/>
    <x v="1"/>
    <n v="3"/>
    <s v="Fully Meets"/>
    <n v="4.4000000000000004"/>
    <s v="Satisfied"/>
    <n v="6"/>
    <d v="2019-02-06T00:00:00"/>
    <n v="0"/>
    <n v="10"/>
  </r>
  <r>
    <n v="10152"/>
    <s v="Quinn Rarrick"/>
    <x v="0"/>
    <x v="2"/>
    <x v="0"/>
    <x v="0"/>
    <x v="0"/>
    <x v="0"/>
    <n v="61729"/>
    <x v="221"/>
    <d v="1984-12-31T00:00:00"/>
    <x v="0"/>
    <x v="0"/>
    <n v="2478"/>
    <x v="0"/>
    <s v="US Citizen"/>
    <s v="White"/>
    <x v="63"/>
    <s v="2018-04-07"/>
    <x v="1"/>
    <x v="11"/>
    <n v="5"/>
    <x v="1"/>
    <n v="0"/>
    <x v="1"/>
    <n v="3"/>
    <s v="Fully Meets"/>
    <n v="3.8"/>
    <s v="Very Satisfied"/>
    <n v="0"/>
    <d v="2018-02-04T00:00:00"/>
    <n v="0"/>
    <n v="19"/>
  </r>
  <r>
    <n v="10140"/>
    <s v="Kylo Ren"/>
    <x v="1"/>
    <x v="1"/>
    <x v="0"/>
    <x v="4"/>
    <x v="11"/>
    <x v="14"/>
    <n v="61809"/>
    <x v="222"/>
    <d v="1954-10-12T00:00:00"/>
    <x v="0"/>
    <x v="21"/>
    <n v="83706"/>
    <x v="0"/>
    <s v="US Citizen"/>
    <s v="White"/>
    <x v="30"/>
    <s v="Not Terminated"/>
    <x v="0"/>
    <x v="0"/>
    <n v="1"/>
    <x v="0"/>
    <n v="0"/>
    <x v="6"/>
    <n v="3"/>
    <s v="Fully Meets"/>
    <n v="3.98"/>
    <s v="Neutral"/>
    <n v="0"/>
    <d v="2019-01-28T00:00:00"/>
    <n v="0"/>
    <n v="4"/>
  </r>
  <r>
    <n v="10058"/>
    <s v="Thomas Rhoads"/>
    <x v="0"/>
    <x v="2"/>
    <x v="0"/>
    <x v="0"/>
    <x v="0"/>
    <x v="3"/>
    <n v="45115"/>
    <x v="223"/>
    <d v="1982-07-22T00:00:00"/>
    <x v="0"/>
    <x v="0"/>
    <n v="2176"/>
    <x v="1"/>
    <s v="US Citizen"/>
    <s v="White"/>
    <x v="35"/>
    <s v="2016-01-15"/>
    <x v="1"/>
    <x v="9"/>
    <n v="5"/>
    <x v="1"/>
    <n v="0"/>
    <x v="0"/>
    <n v="3"/>
    <s v="Fully Meets"/>
    <n v="5"/>
    <s v="Satisfied"/>
    <n v="0"/>
    <d v="2015-03-30T00:00:00"/>
    <n v="0"/>
    <n v="11"/>
  </r>
  <r>
    <n v="10230"/>
    <s v="May Roberson"/>
    <x v="0"/>
    <x v="2"/>
    <x v="1"/>
    <x v="0"/>
    <x v="2"/>
    <x v="10"/>
    <n v="64971"/>
    <x v="224"/>
    <d v="1981-09-05T00:00:00"/>
    <x v="1"/>
    <x v="0"/>
    <n v="1902"/>
    <x v="0"/>
    <s v="Eligible NonCitizen"/>
    <s v="Black or African American"/>
    <x v="63"/>
    <s v="2011-10-22"/>
    <x v="1"/>
    <x v="3"/>
    <n v="5"/>
    <x v="1"/>
    <n v="0"/>
    <x v="2"/>
    <n v="3"/>
    <s v="Fully Meets"/>
    <n v="4.5"/>
    <s v="Satisfied"/>
    <n v="0"/>
    <d v="2011-10-22T00:00:00"/>
    <n v="0"/>
    <n v="10"/>
  </r>
  <r>
    <n v="10224"/>
    <s v="Peter Robertson"/>
    <x v="1"/>
    <x v="1"/>
    <x v="0"/>
    <x v="0"/>
    <x v="2"/>
    <x v="2"/>
    <n v="55578"/>
    <x v="225"/>
    <d v="1972-07-03T00:00:00"/>
    <x v="0"/>
    <x v="0"/>
    <n v="2138"/>
    <x v="0"/>
    <s v="US Citizen"/>
    <s v="White"/>
    <x v="0"/>
    <s v="2012-02-08"/>
    <x v="1"/>
    <x v="4"/>
    <n v="5"/>
    <x v="1"/>
    <n v="0"/>
    <x v="1"/>
    <n v="3"/>
    <s v="Fully Meets"/>
    <n v="4.2"/>
    <s v="Very Satisfied"/>
    <n v="0"/>
    <d v="2012-01-06T00:00:00"/>
    <n v="0"/>
    <n v="13"/>
  </r>
  <r>
    <n v="10047"/>
    <s v="Alain Robinson"/>
    <x v="1"/>
    <x v="1"/>
    <x v="0"/>
    <x v="0"/>
    <x v="0"/>
    <x v="5"/>
    <n v="50428"/>
    <x v="226"/>
    <d v="1974-01-07T00:00:00"/>
    <x v="0"/>
    <x v="0"/>
    <n v="1420"/>
    <x v="0"/>
    <s v="US Citizen"/>
    <s v="Black or African American"/>
    <x v="9"/>
    <s v="2016-01-26"/>
    <x v="1"/>
    <x v="6"/>
    <n v="5"/>
    <x v="1"/>
    <n v="0"/>
    <x v="1"/>
    <n v="3"/>
    <s v="Fully Meets"/>
    <n v="5"/>
    <s v="Neutral"/>
    <n v="0"/>
    <d v="2015-01-10T00:00:00"/>
    <n v="0"/>
    <n v="11"/>
  </r>
  <r>
    <n v="10285"/>
    <s v="Cherly Robinson"/>
    <x v="1"/>
    <x v="1"/>
    <x v="1"/>
    <x v="0"/>
    <x v="0"/>
    <x v="7"/>
    <n v="61422"/>
    <x v="227"/>
    <d v="1985-01-07T00:00:00"/>
    <x v="1"/>
    <x v="0"/>
    <n v="1460"/>
    <x v="0"/>
    <s v="US Citizen"/>
    <s v="White"/>
    <x v="9"/>
    <s v="2016-05-17"/>
    <x v="1"/>
    <x v="6"/>
    <n v="4"/>
    <x v="2"/>
    <n v="0"/>
    <x v="1"/>
    <n v="2"/>
    <s v="Needs Improvement"/>
    <n v="3.6"/>
    <s v="Neutral"/>
    <n v="0"/>
    <d v="2016-04-05T00:00:00"/>
    <n v="4"/>
    <n v="16"/>
  </r>
  <r>
    <n v="10020"/>
    <s v="Elias Robinson"/>
    <x v="0"/>
    <x v="3"/>
    <x v="0"/>
    <x v="0"/>
    <x v="0"/>
    <x v="8"/>
    <n v="63353"/>
    <x v="228"/>
    <d v="1985-01-28T00:00:00"/>
    <x v="0"/>
    <x v="0"/>
    <n v="1730"/>
    <x v="0"/>
    <s v="US Citizen"/>
    <s v="White"/>
    <x v="38"/>
    <s v="Not Terminated"/>
    <x v="0"/>
    <x v="0"/>
    <n v="1"/>
    <x v="0"/>
    <n v="0"/>
    <x v="3"/>
    <n v="4"/>
    <s v="Exceeds"/>
    <n v="3.6"/>
    <s v="Very Satisfied"/>
    <n v="0"/>
    <d v="2019-02-11T00:00:00"/>
    <n v="0"/>
    <n v="4"/>
  </r>
  <r>
    <n v="10162"/>
    <s v="Lori Roby"/>
    <x v="1"/>
    <x v="1"/>
    <x v="1"/>
    <x v="1"/>
    <x v="5"/>
    <x v="1"/>
    <n v="89883"/>
    <x v="229"/>
    <d v="1981-10-11T00:00:00"/>
    <x v="1"/>
    <x v="0"/>
    <n v="1886"/>
    <x v="0"/>
    <s v="US Citizen"/>
    <s v="White"/>
    <x v="19"/>
    <s v="Not Terminated"/>
    <x v="0"/>
    <x v="0"/>
    <n v="1"/>
    <x v="0"/>
    <n v="0"/>
    <x v="3"/>
    <n v="3"/>
    <s v="Fully Meets"/>
    <n v="3.69"/>
    <s v="Very Satisfied"/>
    <n v="6"/>
    <d v="2019-02-14T00:00:00"/>
    <n v="0"/>
    <n v="15"/>
  </r>
  <r>
    <n v="10149"/>
    <s v="Bianca Roehrich"/>
    <x v="0"/>
    <x v="0"/>
    <x v="1"/>
    <x v="1"/>
    <x v="27"/>
    <x v="1"/>
    <n v="120000"/>
    <x v="230"/>
    <d v="1973-05-27T00:00:00"/>
    <x v="1"/>
    <x v="0"/>
    <n v="2703"/>
    <x v="1"/>
    <s v="US Citizen"/>
    <s v="White"/>
    <x v="8"/>
    <s v="2018-11-10"/>
    <x v="1"/>
    <x v="4"/>
    <n v="5"/>
    <x v="1"/>
    <n v="0"/>
    <x v="0"/>
    <n v="3"/>
    <s v="Fully Meets"/>
    <n v="3.88"/>
    <s v="Neutral"/>
    <n v="7"/>
    <d v="2018-02-13T00:00:00"/>
    <n v="0"/>
    <n v="12"/>
  </r>
  <r>
    <n v="10086"/>
    <s v="Katie Roper"/>
    <x v="0"/>
    <x v="0"/>
    <x v="1"/>
    <x v="1"/>
    <x v="28"/>
    <x v="19"/>
    <n v="150290"/>
    <x v="231"/>
    <d v="1972-11-21T00:00:00"/>
    <x v="1"/>
    <x v="0"/>
    <n v="2056"/>
    <x v="0"/>
    <s v="US Citizen"/>
    <s v="Black or African American"/>
    <x v="80"/>
    <s v="Not Terminated"/>
    <x v="0"/>
    <x v="0"/>
    <n v="1"/>
    <x v="0"/>
    <n v="0"/>
    <x v="1"/>
    <n v="3"/>
    <s v="Fully Meets"/>
    <n v="4.9400000000000004"/>
    <s v="Neutral"/>
    <n v="5"/>
    <d v="2019-02-06T00:00:00"/>
    <n v="0"/>
    <n v="17"/>
  </r>
  <r>
    <n v="10054"/>
    <s v="Ashley Rose"/>
    <x v="0"/>
    <x v="4"/>
    <x v="1"/>
    <x v="0"/>
    <x v="0"/>
    <x v="10"/>
    <n v="60627"/>
    <x v="232"/>
    <d v="1974-12-05T00:00:00"/>
    <x v="1"/>
    <x v="0"/>
    <n v="1886"/>
    <x v="0"/>
    <s v="US Citizen"/>
    <s v="White"/>
    <x v="62"/>
    <s v="Not Terminated"/>
    <x v="0"/>
    <x v="0"/>
    <n v="1"/>
    <x v="0"/>
    <n v="0"/>
    <x v="7"/>
    <n v="3"/>
    <s v="Fully Meets"/>
    <n v="5"/>
    <s v="Satisfied"/>
    <n v="0"/>
    <d v="2019-01-31T00:00:00"/>
    <n v="0"/>
    <n v="8"/>
  </r>
  <r>
    <n v="10065"/>
    <s v="Bruno Rossetti"/>
    <x v="0"/>
    <x v="0"/>
    <x v="0"/>
    <x v="0"/>
    <x v="0"/>
    <x v="2"/>
    <n v="53180"/>
    <x v="233"/>
    <d v="1987-03-18T00:00:00"/>
    <x v="0"/>
    <x v="0"/>
    <n v="2155"/>
    <x v="0"/>
    <s v="US Citizen"/>
    <s v="White"/>
    <x v="15"/>
    <s v="2018-08-13"/>
    <x v="1"/>
    <x v="4"/>
    <n v="5"/>
    <x v="1"/>
    <n v="0"/>
    <x v="2"/>
    <n v="3"/>
    <s v="Fully Meets"/>
    <n v="5"/>
    <s v="Very Satisfied"/>
    <n v="0"/>
    <d v="2018-07-02T00:00:00"/>
    <n v="0"/>
    <n v="4"/>
  </r>
  <r>
    <n v="10198"/>
    <s v="Simon Roup"/>
    <x v="0"/>
    <x v="0"/>
    <x v="0"/>
    <x v="1"/>
    <x v="29"/>
    <x v="15"/>
    <n v="140920"/>
    <x v="234"/>
    <d v="1973-04-05T00:00:00"/>
    <x v="0"/>
    <x v="0"/>
    <n v="2481"/>
    <x v="0"/>
    <s v="US Citizen"/>
    <s v="White"/>
    <x v="81"/>
    <s v="Not Terminated"/>
    <x v="0"/>
    <x v="0"/>
    <n v="1"/>
    <x v="0"/>
    <n v="0"/>
    <x v="1"/>
    <n v="3"/>
    <s v="Fully Meets"/>
    <n v="3.6"/>
    <s v="Very Satisfied"/>
    <n v="7"/>
    <d v="2019-02-18T00:00:00"/>
    <n v="0"/>
    <n v="13"/>
  </r>
  <r>
    <n v="10222"/>
    <s v="Ricardo Ruiz"/>
    <x v="0"/>
    <x v="2"/>
    <x v="0"/>
    <x v="1"/>
    <x v="29"/>
    <x v="15"/>
    <n v="148999"/>
    <x v="235"/>
    <d v="1964-01-04T00:00:00"/>
    <x v="0"/>
    <x v="0"/>
    <n v="1915"/>
    <x v="0"/>
    <s v="US Citizen"/>
    <s v="Black or African American"/>
    <x v="4"/>
    <s v="2015-11-04"/>
    <x v="1"/>
    <x v="2"/>
    <n v="5"/>
    <x v="1"/>
    <n v="1"/>
    <x v="4"/>
    <n v="3"/>
    <s v="Fully Meets"/>
    <n v="4.3"/>
    <s v="Satisfied"/>
    <n v="6"/>
    <d v="2015-01-04T00:00:00"/>
    <n v="0"/>
    <n v="8"/>
  </r>
  <r>
    <n v="10126"/>
    <s v="Adell Saada"/>
    <x v="1"/>
    <x v="1"/>
    <x v="1"/>
    <x v="2"/>
    <x v="3"/>
    <x v="6"/>
    <n v="86214"/>
    <x v="236"/>
    <d v="1986-07-24T00:00:00"/>
    <x v="1"/>
    <x v="0"/>
    <n v="2132"/>
    <x v="0"/>
    <s v="US Citizen"/>
    <s v="White"/>
    <x v="61"/>
    <s v="Not Terminated"/>
    <x v="0"/>
    <x v="0"/>
    <n v="1"/>
    <x v="0"/>
    <n v="0"/>
    <x v="1"/>
    <n v="3"/>
    <s v="Fully Meets"/>
    <n v="4.2"/>
    <s v="Neutral"/>
    <n v="6"/>
    <d v="2019-02-13T00:00:00"/>
    <n v="0"/>
    <n v="2"/>
  </r>
  <r>
    <n v="10295"/>
    <s v="Melinda Saar-Beckles"/>
    <x v="0"/>
    <x v="0"/>
    <x v="1"/>
    <x v="0"/>
    <x v="0"/>
    <x v="11"/>
    <n v="47750"/>
    <x v="237"/>
    <d v="1968-06-06T00:00:00"/>
    <x v="1"/>
    <x v="0"/>
    <n v="1801"/>
    <x v="0"/>
    <s v="US Citizen"/>
    <s v="Black or African American"/>
    <x v="82"/>
    <s v="Not Terminated"/>
    <x v="0"/>
    <x v="0"/>
    <n v="2"/>
    <x v="0"/>
    <n v="1"/>
    <x v="4"/>
    <n v="2"/>
    <s v="Needs Improvement"/>
    <n v="2.6"/>
    <s v="Satisfied"/>
    <n v="0"/>
    <d v="2019-02-18T00:00:00"/>
    <n v="5"/>
    <n v="4"/>
  </r>
  <r>
    <n v="10260"/>
    <s v="Nore Sadki"/>
    <x v="0"/>
    <x v="0"/>
    <x v="0"/>
    <x v="0"/>
    <x v="0"/>
    <x v="0"/>
    <n v="46428"/>
    <x v="238"/>
    <d v="1974-12-21T00:00:00"/>
    <x v="0"/>
    <x v="0"/>
    <n v="2148"/>
    <x v="0"/>
    <s v="US Citizen"/>
    <s v="White"/>
    <x v="40"/>
    <s v="2018-07-30"/>
    <x v="1"/>
    <x v="10"/>
    <n v="5"/>
    <x v="1"/>
    <n v="0"/>
    <x v="2"/>
    <n v="3"/>
    <s v="Fully Meets"/>
    <n v="4.5999999999999996"/>
    <s v="Very Satisfied"/>
    <n v="0"/>
    <d v="2018-02-05T00:00:00"/>
    <n v="0"/>
    <n v="7"/>
  </r>
  <r>
    <n v="10233"/>
    <s v="Adil Sahoo"/>
    <x v="1"/>
    <x v="1"/>
    <x v="0"/>
    <x v="0"/>
    <x v="2"/>
    <x v="11"/>
    <n v="57975"/>
    <x v="239"/>
    <d v="1986-04-26T00:00:00"/>
    <x v="0"/>
    <x v="0"/>
    <n v="2062"/>
    <x v="0"/>
    <s v="US Citizen"/>
    <s v="White"/>
    <x v="36"/>
    <s v="Not Terminated"/>
    <x v="0"/>
    <x v="0"/>
    <n v="1"/>
    <x v="0"/>
    <n v="0"/>
    <x v="6"/>
    <n v="3"/>
    <s v="Fully Meets"/>
    <n v="4.0999999999999996"/>
    <s v="Neutral"/>
    <n v="0"/>
    <d v="2019-01-10T00:00:00"/>
    <n v="0"/>
    <n v="13"/>
  </r>
  <r>
    <n v="10229"/>
    <s v="Jason Salter"/>
    <x v="0"/>
    <x v="2"/>
    <x v="0"/>
    <x v="1"/>
    <x v="30"/>
    <x v="1"/>
    <n v="88527"/>
    <x v="240"/>
    <d v="1987-12-17T00:00:00"/>
    <x v="0"/>
    <x v="0"/>
    <n v="2452"/>
    <x v="0"/>
    <s v="US Citizen"/>
    <s v="Black or African American"/>
    <x v="8"/>
    <s v="2015-10-31"/>
    <x v="1"/>
    <x v="2"/>
    <n v="5"/>
    <x v="1"/>
    <n v="0"/>
    <x v="0"/>
    <n v="3"/>
    <s v="Fully Meets"/>
    <n v="4.2"/>
    <s v="Neutral"/>
    <n v="5"/>
    <d v="2015-04-20T00:00:00"/>
    <n v="0"/>
    <n v="2"/>
  </r>
  <r>
    <n v="10169"/>
    <s v="Kamrin Sander"/>
    <x v="1"/>
    <x v="1"/>
    <x v="1"/>
    <x v="0"/>
    <x v="0"/>
    <x v="3"/>
    <n v="56147"/>
    <x v="241"/>
    <d v="1988-07-10T00:00:00"/>
    <x v="1"/>
    <x v="0"/>
    <n v="2154"/>
    <x v="0"/>
    <s v="US Citizen"/>
    <s v="Black or African American"/>
    <x v="28"/>
    <s v="Not Terminated"/>
    <x v="0"/>
    <x v="0"/>
    <n v="1"/>
    <x v="0"/>
    <n v="0"/>
    <x v="0"/>
    <n v="3"/>
    <s v="Fully Meets"/>
    <n v="3.51"/>
    <s v="Neutral"/>
    <n v="0"/>
    <d v="2019-02-18T00:00:00"/>
    <n v="0"/>
    <n v="2"/>
  </r>
  <r>
    <n v="10179"/>
    <s v="Anita Shepard"/>
    <x v="1"/>
    <x v="1"/>
    <x v="1"/>
    <x v="1"/>
    <x v="19"/>
    <x v="9"/>
    <n v="50750"/>
    <x v="242"/>
    <d v="1981-04-14T00:00:00"/>
    <x v="1"/>
    <x v="0"/>
    <n v="1773"/>
    <x v="0"/>
    <s v="US Citizen"/>
    <s v="White"/>
    <x v="83"/>
    <s v="Not Terminated"/>
    <x v="0"/>
    <x v="0"/>
    <n v="1"/>
    <x v="0"/>
    <n v="0"/>
    <x v="0"/>
    <n v="3"/>
    <s v="Fully Meets"/>
    <n v="3.31"/>
    <s v="Neutral"/>
    <n v="6"/>
    <d v="2019-01-07T00:00:00"/>
    <n v="0"/>
    <n v="7"/>
  </r>
  <r>
    <n v="10091"/>
    <s v="Seffi Shields"/>
    <x v="1"/>
    <x v="1"/>
    <x v="1"/>
    <x v="0"/>
    <x v="0"/>
    <x v="5"/>
    <n v="52087"/>
    <x v="243"/>
    <d v="1985-08-24T00:00:00"/>
    <x v="1"/>
    <x v="0"/>
    <n v="2149"/>
    <x v="0"/>
    <s v="US Citizen"/>
    <s v="White"/>
    <x v="17"/>
    <s v="Not Terminated"/>
    <x v="0"/>
    <x v="0"/>
    <n v="1"/>
    <x v="0"/>
    <n v="0"/>
    <x v="0"/>
    <n v="3"/>
    <s v="Fully Meets"/>
    <n v="4.8099999999999996"/>
    <s v="Satisfied"/>
    <n v="0"/>
    <d v="2019-02-15T00:00:00"/>
    <n v="0"/>
    <n v="15"/>
  </r>
  <r>
    <n v="10178"/>
    <s v="Kramer Simard"/>
    <x v="1"/>
    <x v="1"/>
    <x v="0"/>
    <x v="1"/>
    <x v="5"/>
    <x v="1"/>
    <n v="87826"/>
    <x v="244"/>
    <d v="1970-02-08T00:00:00"/>
    <x v="0"/>
    <x v="0"/>
    <n v="2110"/>
    <x v="1"/>
    <s v="US Citizen"/>
    <s v="White"/>
    <x v="8"/>
    <s v="Not Terminated"/>
    <x v="0"/>
    <x v="0"/>
    <n v="1"/>
    <x v="0"/>
    <n v="0"/>
    <x v="3"/>
    <n v="3"/>
    <s v="Fully Meets"/>
    <n v="3.32"/>
    <s v="Neutral"/>
    <n v="7"/>
    <d v="2019-01-14T00:00:00"/>
    <n v="0"/>
    <n v="16"/>
  </r>
  <r>
    <n v="10039"/>
    <s v="Nan Singh"/>
    <x v="0"/>
    <x v="0"/>
    <x v="1"/>
    <x v="3"/>
    <x v="22"/>
    <x v="12"/>
    <n v="51920"/>
    <x v="245"/>
    <d v="1988-05-19T00:00:00"/>
    <x v="1"/>
    <x v="0"/>
    <n v="2330"/>
    <x v="0"/>
    <s v="US Citizen"/>
    <s v="White"/>
    <x v="84"/>
    <s v="Not Terminated"/>
    <x v="0"/>
    <x v="0"/>
    <n v="1"/>
    <x v="0"/>
    <n v="0"/>
    <x v="7"/>
    <n v="3"/>
    <s v="Fully Meets"/>
    <n v="5"/>
    <s v="Neutral"/>
    <n v="5"/>
    <d v="2019-01-15T00:00:00"/>
    <n v="0"/>
    <n v="2"/>
  </r>
  <r>
    <n v="10095"/>
    <s v="Constance Sloan"/>
    <x v="0"/>
    <x v="0"/>
    <x v="1"/>
    <x v="0"/>
    <x v="2"/>
    <x v="0"/>
    <n v="63878"/>
    <x v="246"/>
    <d v="1987-11-25T00:00:00"/>
    <x v="1"/>
    <x v="0"/>
    <n v="1851"/>
    <x v="0"/>
    <s v="US Citizen"/>
    <s v="White"/>
    <x v="85"/>
    <s v="2015-04-08"/>
    <x v="1"/>
    <x v="15"/>
    <n v="5"/>
    <x v="1"/>
    <n v="0"/>
    <x v="6"/>
    <n v="3"/>
    <s v="Fully Meets"/>
    <n v="4.68"/>
    <s v="Satisfied"/>
    <n v="0"/>
    <d v="2015-04-02T00:00:00"/>
    <n v="0"/>
    <n v="20"/>
  </r>
  <r>
    <n v="10027"/>
    <s v="Joe Smith"/>
    <x v="0"/>
    <x v="0"/>
    <x v="0"/>
    <x v="0"/>
    <x v="2"/>
    <x v="3"/>
    <n v="60656"/>
    <x v="247"/>
    <d v="1963-10-30T00:00:00"/>
    <x v="0"/>
    <x v="0"/>
    <n v="2045"/>
    <x v="0"/>
    <s v="US Citizen"/>
    <s v="White"/>
    <x v="28"/>
    <s v="Not Terminated"/>
    <x v="0"/>
    <x v="0"/>
    <n v="1"/>
    <x v="0"/>
    <n v="0"/>
    <x v="1"/>
    <n v="4"/>
    <s v="Exceeds"/>
    <n v="4.3"/>
    <s v="Neutral"/>
    <n v="0"/>
    <d v="2019-01-28T00:00:00"/>
    <n v="0"/>
    <n v="4"/>
  </r>
  <r>
    <n v="10291"/>
    <s v="John Smith"/>
    <x v="0"/>
    <x v="2"/>
    <x v="0"/>
    <x v="4"/>
    <x v="16"/>
    <x v="18"/>
    <n v="72992"/>
    <x v="248"/>
    <d v="1984-08-16T00:00:00"/>
    <x v="0"/>
    <x v="0"/>
    <n v="1886"/>
    <x v="0"/>
    <s v="US Citizen"/>
    <s v="Black or African American"/>
    <x v="86"/>
    <s v="Not Terminated"/>
    <x v="0"/>
    <x v="0"/>
    <n v="1"/>
    <x v="0"/>
    <n v="1"/>
    <x v="4"/>
    <n v="2"/>
    <s v="Needs Improvement"/>
    <n v="2.4"/>
    <s v="Satisfied"/>
    <n v="0"/>
    <d v="2019-01-16T00:00:00"/>
    <n v="2"/>
    <n v="16"/>
  </r>
  <r>
    <n v="10153"/>
    <s v="Leigh Ann Smith"/>
    <x v="1"/>
    <x v="1"/>
    <x v="1"/>
    <x v="3"/>
    <x v="22"/>
    <x v="12"/>
    <n v="55000"/>
    <x v="249"/>
    <d v="1987-06-14T00:00:00"/>
    <x v="1"/>
    <x v="0"/>
    <n v="1844"/>
    <x v="0"/>
    <s v="US Citizen"/>
    <s v="Black or African American"/>
    <x v="63"/>
    <s v="2013-09-25"/>
    <x v="1"/>
    <x v="1"/>
    <n v="5"/>
    <x v="1"/>
    <n v="1"/>
    <x v="4"/>
    <n v="3"/>
    <s v="Fully Meets"/>
    <n v="3.8"/>
    <s v="Satisfied"/>
    <n v="4"/>
    <d v="2013-08-15T00:00:00"/>
    <n v="0"/>
    <n v="17"/>
  </r>
  <r>
    <n v="10157"/>
    <s v="Sade Smith"/>
    <x v="0"/>
    <x v="0"/>
    <x v="1"/>
    <x v="0"/>
    <x v="0"/>
    <x v="7"/>
    <n v="58939"/>
    <x v="250"/>
    <d v="1965-02-02T00:00:00"/>
    <x v="1"/>
    <x v="0"/>
    <n v="2130"/>
    <x v="0"/>
    <s v="US Citizen"/>
    <s v="White"/>
    <x v="21"/>
    <s v="Not Terminated"/>
    <x v="0"/>
    <x v="0"/>
    <n v="1"/>
    <x v="0"/>
    <n v="0"/>
    <x v="3"/>
    <n v="3"/>
    <s v="Fully Meets"/>
    <n v="3.73"/>
    <s v="Neutral"/>
    <n v="0"/>
    <d v="2019-01-24T00:00:00"/>
    <n v="0"/>
    <n v="16"/>
  </r>
  <r>
    <n v="10119"/>
    <s v="Julia Soto"/>
    <x v="1"/>
    <x v="1"/>
    <x v="1"/>
    <x v="1"/>
    <x v="4"/>
    <x v="17"/>
    <n v="66593"/>
    <x v="251"/>
    <d v="1973-03-12T00:00:00"/>
    <x v="1"/>
    <x v="0"/>
    <n v="2360"/>
    <x v="0"/>
    <s v="US Citizen"/>
    <s v="Black or African American"/>
    <x v="87"/>
    <s v="Not Terminated"/>
    <x v="0"/>
    <x v="0"/>
    <n v="1"/>
    <x v="0"/>
    <n v="0"/>
    <x v="0"/>
    <n v="3"/>
    <s v="Fully Meets"/>
    <n v="4.3"/>
    <s v="Neutral"/>
    <n v="5"/>
    <d v="2019-02-08T00:00:00"/>
    <n v="0"/>
    <n v="19"/>
  </r>
  <r>
    <n v="10180"/>
    <s v="Keyser Soze"/>
    <x v="1"/>
    <x v="1"/>
    <x v="0"/>
    <x v="1"/>
    <x v="15"/>
    <x v="9"/>
    <n v="87565"/>
    <x v="252"/>
    <d v="1983-02-09T00:00:00"/>
    <x v="0"/>
    <x v="0"/>
    <n v="1545"/>
    <x v="0"/>
    <s v="US Citizen"/>
    <s v="Asian"/>
    <x v="26"/>
    <s v="Not Terminated"/>
    <x v="0"/>
    <x v="0"/>
    <n v="2"/>
    <x v="0"/>
    <n v="0"/>
    <x v="0"/>
    <n v="3"/>
    <s v="Fully Meets"/>
    <n v="3.27"/>
    <s v="Satisfied"/>
    <n v="5"/>
    <d v="2019-01-14T00:00:00"/>
    <n v="0"/>
    <n v="13"/>
  </r>
  <r>
    <n v="10302"/>
    <s v="Taylor Sparks"/>
    <x v="1"/>
    <x v="1"/>
    <x v="1"/>
    <x v="0"/>
    <x v="0"/>
    <x v="8"/>
    <n v="64021"/>
    <x v="253"/>
    <d v="1968-07-20T00:00:00"/>
    <x v="1"/>
    <x v="0"/>
    <n v="2093"/>
    <x v="0"/>
    <s v="US Citizen"/>
    <s v="White"/>
    <x v="11"/>
    <s v="Not Terminated"/>
    <x v="0"/>
    <x v="0"/>
    <n v="1"/>
    <x v="0"/>
    <n v="0"/>
    <x v="1"/>
    <n v="1"/>
    <s v="PIP"/>
    <n v="2.4"/>
    <s v="Dissatisfied"/>
    <n v="1"/>
    <d v="2019-02-25T00:00:00"/>
    <n v="6"/>
    <n v="20"/>
  </r>
  <r>
    <n v="10090"/>
    <s v="Kelley Spirea"/>
    <x v="1"/>
    <x v="1"/>
    <x v="1"/>
    <x v="0"/>
    <x v="9"/>
    <x v="13"/>
    <n v="65714"/>
    <x v="254"/>
    <d v="1975-09-30T00:00:00"/>
    <x v="1"/>
    <x v="0"/>
    <n v="2451"/>
    <x v="0"/>
    <s v="US Citizen"/>
    <s v="White"/>
    <x v="88"/>
    <s v="Not Terminated"/>
    <x v="0"/>
    <x v="0"/>
    <n v="1"/>
    <x v="0"/>
    <n v="0"/>
    <x v="0"/>
    <n v="3"/>
    <s v="Fully Meets"/>
    <n v="4.83"/>
    <s v="Very Satisfied"/>
    <n v="0"/>
    <d v="2019-02-14T00:00:00"/>
    <n v="0"/>
    <n v="15"/>
  </r>
  <r>
    <n v="10030"/>
    <s v="Kristen Squatrito"/>
    <x v="0"/>
    <x v="2"/>
    <x v="1"/>
    <x v="0"/>
    <x v="0"/>
    <x v="10"/>
    <n v="62425"/>
    <x v="255"/>
    <d v="1973-03-26T00:00:00"/>
    <x v="1"/>
    <x v="0"/>
    <n v="2359"/>
    <x v="0"/>
    <s v="US Citizen"/>
    <s v="White"/>
    <x v="73"/>
    <s v="2015-06-29"/>
    <x v="1"/>
    <x v="5"/>
    <n v="5"/>
    <x v="1"/>
    <n v="0"/>
    <x v="0"/>
    <n v="4"/>
    <s v="Exceeds"/>
    <n v="4.0999999999999996"/>
    <s v="Satisfied"/>
    <n v="0"/>
    <d v="2015-03-02T00:00:00"/>
    <n v="0"/>
    <n v="16"/>
  </r>
  <r>
    <n v="10278"/>
    <s v="Barbara Stanford"/>
    <x v="0"/>
    <x v="2"/>
    <x v="1"/>
    <x v="0"/>
    <x v="0"/>
    <x v="2"/>
    <n v="47961"/>
    <x v="256"/>
    <d v="1982-08-25T00:00:00"/>
    <x v="1"/>
    <x v="0"/>
    <n v="2050"/>
    <x v="0"/>
    <s v="US Citizen"/>
    <s v="Two or more races"/>
    <x v="9"/>
    <s v="Not Terminated"/>
    <x v="0"/>
    <x v="0"/>
    <n v="1"/>
    <x v="0"/>
    <n v="0"/>
    <x v="2"/>
    <n v="3"/>
    <s v="Fully Meets"/>
    <n v="4.0999999999999996"/>
    <s v="Satisfied"/>
    <n v="0"/>
    <d v="2019-02-07T00:00:00"/>
    <n v="0"/>
    <n v="9"/>
  </r>
  <r>
    <n v="10307"/>
    <s v="Norman Stansfield"/>
    <x v="1"/>
    <x v="1"/>
    <x v="0"/>
    <x v="4"/>
    <x v="11"/>
    <x v="16"/>
    <n v="58273"/>
    <x v="257"/>
    <d v="1974-05-09T00:00:00"/>
    <x v="0"/>
    <x v="22"/>
    <n v="89139"/>
    <x v="0"/>
    <s v="US Citizen"/>
    <s v="White"/>
    <x v="30"/>
    <s v="Not Terminated"/>
    <x v="0"/>
    <x v="0"/>
    <n v="1"/>
    <x v="0"/>
    <n v="0"/>
    <x v="7"/>
    <n v="1"/>
    <s v="PIP"/>
    <n v="1.81"/>
    <s v="Dissatisfied"/>
    <n v="0"/>
    <d v="2019-01-17T00:00:00"/>
    <n v="3"/>
    <n v="5"/>
  </r>
  <r>
    <n v="10147"/>
    <s v="Tyrone Steans"/>
    <x v="0"/>
    <x v="0"/>
    <x v="0"/>
    <x v="3"/>
    <x v="10"/>
    <x v="12"/>
    <n v="63003"/>
    <x v="258"/>
    <d v="1986-09-01T00:00:00"/>
    <x v="0"/>
    <x v="0"/>
    <n v="2703"/>
    <x v="0"/>
    <s v="US Citizen"/>
    <s v="White"/>
    <x v="28"/>
    <s v="Not Terminated"/>
    <x v="0"/>
    <x v="0"/>
    <n v="1"/>
    <x v="0"/>
    <n v="0"/>
    <x v="1"/>
    <n v="3"/>
    <s v="Fully Meets"/>
    <n v="3.9"/>
    <s v="Very Satisfied"/>
    <n v="5"/>
    <d v="2019-01-18T00:00:00"/>
    <n v="0"/>
    <n v="9"/>
  </r>
  <r>
    <n v="10266"/>
    <s v="Rick Stoica"/>
    <x v="1"/>
    <x v="1"/>
    <x v="0"/>
    <x v="0"/>
    <x v="0"/>
    <x v="11"/>
    <n v="61355"/>
    <x v="259"/>
    <d v="1985-03-14T00:00:00"/>
    <x v="0"/>
    <x v="0"/>
    <n v="2301"/>
    <x v="0"/>
    <s v="US Citizen"/>
    <s v="Asian"/>
    <x v="18"/>
    <s v="Not Terminated"/>
    <x v="0"/>
    <x v="0"/>
    <n v="1"/>
    <x v="0"/>
    <n v="0"/>
    <x v="0"/>
    <n v="3"/>
    <s v="Fully Meets"/>
    <n v="4.7"/>
    <s v="Neutral"/>
    <n v="0"/>
    <d v="2019-01-11T00:00:00"/>
    <n v="0"/>
    <n v="4"/>
  </r>
  <r>
    <n v="10241"/>
    <s v="Caitrin Strong"/>
    <x v="1"/>
    <x v="1"/>
    <x v="1"/>
    <x v="4"/>
    <x v="11"/>
    <x v="14"/>
    <n v="60120"/>
    <x v="260"/>
    <d v="1989-05-12T00:00:00"/>
    <x v="1"/>
    <x v="23"/>
    <n v="59102"/>
    <x v="0"/>
    <s v="US Citizen"/>
    <s v="Black or African American"/>
    <x v="89"/>
    <s v="Not Terminated"/>
    <x v="0"/>
    <x v="0"/>
    <n v="1"/>
    <x v="0"/>
    <n v="0"/>
    <x v="1"/>
    <n v="3"/>
    <s v="Fully Meets"/>
    <n v="4.0999999999999996"/>
    <s v="Satisfied"/>
    <n v="0"/>
    <d v="2019-01-31T00:00:00"/>
    <n v="0"/>
    <n v="18"/>
  </r>
  <r>
    <n v="10158"/>
    <s v="Kissy Sullivan"/>
    <x v="1"/>
    <x v="1"/>
    <x v="1"/>
    <x v="0"/>
    <x v="9"/>
    <x v="13"/>
    <n v="63682"/>
    <x v="261"/>
    <d v="1978-03-28T00:00:00"/>
    <x v="1"/>
    <x v="0"/>
    <n v="1776"/>
    <x v="0"/>
    <s v="US Citizen"/>
    <s v="Black or African American"/>
    <x v="90"/>
    <s v="Not Terminated"/>
    <x v="0"/>
    <x v="0"/>
    <n v="1"/>
    <x v="0"/>
    <n v="0"/>
    <x v="1"/>
    <n v="3"/>
    <s v="Fully Meets"/>
    <n v="3.73"/>
    <s v="Satisfied"/>
    <n v="0"/>
    <d v="2019-01-24T00:00:00"/>
    <n v="0"/>
    <n v="12"/>
  </r>
  <r>
    <n v="10117"/>
    <s v="Timothy Sullivan"/>
    <x v="1"/>
    <x v="1"/>
    <x v="0"/>
    <x v="0"/>
    <x v="0"/>
    <x v="0"/>
    <n v="63025"/>
    <x v="262"/>
    <d v="1982-10-07T00:00:00"/>
    <x v="0"/>
    <x v="0"/>
    <n v="2747"/>
    <x v="1"/>
    <s v="US Citizen"/>
    <s v="White"/>
    <x v="8"/>
    <s v="Not Terminated"/>
    <x v="0"/>
    <x v="0"/>
    <n v="1"/>
    <x v="0"/>
    <n v="0"/>
    <x v="2"/>
    <n v="3"/>
    <s v="Fully Meets"/>
    <n v="4.3600000000000003"/>
    <s v="Very Satisfied"/>
    <n v="0"/>
    <d v="2019-01-24T00:00:00"/>
    <n v="0"/>
    <n v="10"/>
  </r>
  <r>
    <n v="10209"/>
    <s v="Barbara Sutwell"/>
    <x v="0"/>
    <x v="0"/>
    <x v="1"/>
    <x v="0"/>
    <x v="0"/>
    <x v="3"/>
    <n v="59238"/>
    <x v="263"/>
    <d v="1968-08-15T00:00:00"/>
    <x v="1"/>
    <x v="0"/>
    <n v="2718"/>
    <x v="0"/>
    <s v="Eligible NonCitizen"/>
    <s v="Asian"/>
    <x v="31"/>
    <s v="Not Terminated"/>
    <x v="0"/>
    <x v="0"/>
    <n v="1"/>
    <x v="0"/>
    <n v="0"/>
    <x v="1"/>
    <n v="3"/>
    <s v="Fully Meets"/>
    <n v="3.4"/>
    <s v="Very Satisfied"/>
    <n v="0"/>
    <d v="2019-01-31T00:00:00"/>
    <n v="0"/>
    <n v="13"/>
  </r>
  <r>
    <n v="10024"/>
    <s v="Andrew Szabo"/>
    <x v="0"/>
    <x v="0"/>
    <x v="0"/>
    <x v="2"/>
    <x v="3"/>
    <x v="6"/>
    <n v="92989"/>
    <x v="264"/>
    <d v="1983-05-06T00:00:00"/>
    <x v="0"/>
    <x v="0"/>
    <n v="2140"/>
    <x v="0"/>
    <s v="US Citizen"/>
    <s v="White"/>
    <x v="16"/>
    <s v="Not Terminated"/>
    <x v="0"/>
    <x v="0"/>
    <n v="1"/>
    <x v="0"/>
    <n v="0"/>
    <x v="0"/>
    <n v="4"/>
    <s v="Exceeds"/>
    <n v="4.5"/>
    <s v="Very Satisfied"/>
    <n v="5"/>
    <d v="2019-02-18T00:00:00"/>
    <n v="0"/>
    <n v="1"/>
  </r>
  <r>
    <n v="10173"/>
    <s v="Biff Tannen"/>
    <x v="1"/>
    <x v="1"/>
    <x v="0"/>
    <x v="1"/>
    <x v="17"/>
    <x v="19"/>
    <n v="90100"/>
    <x v="265"/>
    <d v="1987-10-24T00:00:00"/>
    <x v="0"/>
    <x v="0"/>
    <n v="2134"/>
    <x v="0"/>
    <s v="US Citizen"/>
    <s v="White"/>
    <x v="56"/>
    <s v="Not Terminated"/>
    <x v="0"/>
    <x v="0"/>
    <n v="1"/>
    <x v="0"/>
    <n v="0"/>
    <x v="1"/>
    <n v="3"/>
    <s v="Fully Meets"/>
    <n v="3.4"/>
    <s v="Neutral"/>
    <n v="6"/>
    <d v="2019-01-02T00:00:00"/>
    <n v="0"/>
    <n v="14"/>
  </r>
  <r>
    <n v="10221"/>
    <s v="Desiree Tavares"/>
    <x v="1"/>
    <x v="1"/>
    <x v="1"/>
    <x v="0"/>
    <x v="0"/>
    <x v="4"/>
    <n v="60754"/>
    <x v="266"/>
    <d v="1975-04-03T00:00:00"/>
    <x v="1"/>
    <x v="0"/>
    <n v="1801"/>
    <x v="0"/>
    <s v="Non-Citizen"/>
    <s v="Black or African American"/>
    <x v="91"/>
    <s v="2013-04-01"/>
    <x v="1"/>
    <x v="4"/>
    <n v="5"/>
    <x v="1"/>
    <n v="1"/>
    <x v="4"/>
    <n v="3"/>
    <s v="Fully Meets"/>
    <n v="4.5"/>
    <s v="Very Satisfied"/>
    <n v="0"/>
    <d v="2012-02-15T00:00:00"/>
    <n v="0"/>
    <n v="11"/>
  </r>
  <r>
    <n v="10146"/>
    <s v="Lenora Tejeda"/>
    <x v="1"/>
    <x v="1"/>
    <x v="1"/>
    <x v="0"/>
    <x v="2"/>
    <x v="3"/>
    <n v="72202"/>
    <x v="267"/>
    <d v="1953-05-24T00:00:00"/>
    <x v="1"/>
    <x v="0"/>
    <n v="2129"/>
    <x v="0"/>
    <s v="US Citizen"/>
    <s v="White"/>
    <x v="35"/>
    <s v="2017-07-08"/>
    <x v="1"/>
    <x v="4"/>
    <n v="5"/>
    <x v="1"/>
    <n v="0"/>
    <x v="2"/>
    <n v="3"/>
    <s v="Fully Meets"/>
    <n v="3.93"/>
    <s v="Neutral"/>
    <n v="0"/>
    <d v="2017-04-18T00:00:00"/>
    <n v="0"/>
    <n v="3"/>
  </r>
  <r>
    <n v="10161"/>
    <s v="Sharlene Terry"/>
    <x v="0"/>
    <x v="0"/>
    <x v="1"/>
    <x v="4"/>
    <x v="11"/>
    <x v="16"/>
    <n v="58370"/>
    <x v="268"/>
    <d v="1965-05-07T00:00:00"/>
    <x v="1"/>
    <x v="24"/>
    <n v="97756"/>
    <x v="0"/>
    <s v="US Citizen"/>
    <s v="Black or African American"/>
    <x v="28"/>
    <s v="Not Terminated"/>
    <x v="0"/>
    <x v="0"/>
    <n v="1"/>
    <x v="0"/>
    <n v="0"/>
    <x v="1"/>
    <n v="3"/>
    <s v="Fully Meets"/>
    <n v="3.69"/>
    <s v="Neutral"/>
    <n v="0"/>
    <d v="2019-01-28T00:00:00"/>
    <n v="0"/>
    <n v="18"/>
  </r>
  <r>
    <n v="10141"/>
    <s v="Sophia Theamstern"/>
    <x v="0"/>
    <x v="0"/>
    <x v="1"/>
    <x v="0"/>
    <x v="0"/>
    <x v="5"/>
    <n v="48413"/>
    <x v="269"/>
    <d v="1965-05-09T00:00:00"/>
    <x v="1"/>
    <x v="0"/>
    <n v="2066"/>
    <x v="0"/>
    <s v="US Citizen"/>
    <s v="White"/>
    <x v="0"/>
    <s v="2016-09-05"/>
    <x v="1"/>
    <x v="3"/>
    <n v="5"/>
    <x v="1"/>
    <n v="0"/>
    <x v="1"/>
    <n v="3"/>
    <s v="Fully Meets"/>
    <n v="3.98"/>
    <s v="Satisfied"/>
    <n v="0"/>
    <d v="2016-03-02T00:00:00"/>
    <n v="0"/>
    <n v="1"/>
  </r>
  <r>
    <n v="10268"/>
    <s v="Kenneth Thibaud"/>
    <x v="0"/>
    <x v="3"/>
    <x v="0"/>
    <x v="0"/>
    <x v="2"/>
    <x v="4"/>
    <n v="67176"/>
    <x v="270"/>
    <d v="1975-09-16T00:00:00"/>
    <x v="0"/>
    <x v="0"/>
    <n v="2472"/>
    <x v="0"/>
    <s v="US Citizen"/>
    <s v="White"/>
    <x v="92"/>
    <s v="2010-08-30"/>
    <x v="1"/>
    <x v="12"/>
    <n v="5"/>
    <x v="1"/>
    <n v="0"/>
    <x v="8"/>
    <n v="3"/>
    <s v="Fully Meets"/>
    <n v="4.0999999999999996"/>
    <s v="Satisfied"/>
    <n v="0"/>
    <d v="2010-07-14T00:00:00"/>
    <n v="0"/>
    <n v="15"/>
  </r>
  <r>
    <n v="10123"/>
    <s v="Jeanette Tippett"/>
    <x v="0"/>
    <x v="2"/>
    <x v="1"/>
    <x v="0"/>
    <x v="0"/>
    <x v="8"/>
    <n v="56339"/>
    <x v="271"/>
    <d v="1967-06-05T00:00:00"/>
    <x v="1"/>
    <x v="0"/>
    <n v="2093"/>
    <x v="0"/>
    <s v="US Citizen"/>
    <s v="Black or African American"/>
    <x v="93"/>
    <s v="Not Terminated"/>
    <x v="0"/>
    <x v="0"/>
    <n v="1"/>
    <x v="0"/>
    <n v="0"/>
    <x v="1"/>
    <n v="3"/>
    <s v="Fully Meets"/>
    <n v="4.21"/>
    <s v="Very Satisfied"/>
    <n v="0"/>
    <d v="2019-01-14T00:00:00"/>
    <n v="0"/>
    <n v="4"/>
  </r>
  <r>
    <n v="10013"/>
    <s v="Jack Torrence"/>
    <x v="0"/>
    <x v="4"/>
    <x v="0"/>
    <x v="4"/>
    <x v="11"/>
    <x v="16"/>
    <n v="64397"/>
    <x v="272"/>
    <d v="1968-01-15T00:00:00"/>
    <x v="0"/>
    <x v="25"/>
    <n v="58782"/>
    <x v="0"/>
    <s v="US Citizen"/>
    <s v="White"/>
    <x v="94"/>
    <s v="Not Terminated"/>
    <x v="0"/>
    <x v="0"/>
    <n v="1"/>
    <x v="0"/>
    <n v="0"/>
    <x v="1"/>
    <n v="4"/>
    <s v="Exceeds"/>
    <n v="4.0999999999999996"/>
    <s v="Neutral"/>
    <n v="0"/>
    <d v="2019-01-04T00:00:00"/>
    <n v="0"/>
    <n v="6"/>
  </r>
  <r>
    <n v="10287"/>
    <s v="Mei Trang"/>
    <x v="0"/>
    <x v="0"/>
    <x v="1"/>
    <x v="0"/>
    <x v="0"/>
    <x v="10"/>
    <n v="63025"/>
    <x v="262"/>
    <d v="1983-05-16T00:00:00"/>
    <x v="1"/>
    <x v="0"/>
    <n v="2021"/>
    <x v="0"/>
    <s v="US Citizen"/>
    <s v="White"/>
    <x v="18"/>
    <s v="Not Terminated"/>
    <x v="0"/>
    <x v="0"/>
    <n v="1"/>
    <x v="0"/>
    <n v="0"/>
    <x v="0"/>
    <n v="2"/>
    <s v="Needs Improvement"/>
    <n v="2.44"/>
    <s v="Very Satisfied"/>
    <n v="0"/>
    <d v="2019-02-11T00:00:00"/>
    <n v="4"/>
    <n v="18"/>
  </r>
  <r>
    <n v="10044"/>
    <s v="Neville Tredinnick"/>
    <x v="1"/>
    <x v="1"/>
    <x v="0"/>
    <x v="1"/>
    <x v="19"/>
    <x v="9"/>
    <n v="75281"/>
    <x v="273"/>
    <d v="1988-05-05T00:00:00"/>
    <x v="0"/>
    <x v="0"/>
    <n v="1420"/>
    <x v="0"/>
    <s v="US Citizen"/>
    <s v="White"/>
    <x v="8"/>
    <s v="2016-02-12"/>
    <x v="1"/>
    <x v="16"/>
    <n v="5"/>
    <x v="1"/>
    <n v="0"/>
    <x v="6"/>
    <n v="3"/>
    <s v="Fully Meets"/>
    <n v="5"/>
    <s v="Neutral"/>
    <n v="5"/>
    <d v="2015-04-15T00:00:00"/>
    <n v="0"/>
    <n v="11"/>
  </r>
  <r>
    <n v="10102"/>
    <s v="Edward True"/>
    <x v="0"/>
    <x v="0"/>
    <x v="0"/>
    <x v="2"/>
    <x v="3"/>
    <x v="6"/>
    <n v="100416"/>
    <x v="274"/>
    <d v="1983-06-14T00:00:00"/>
    <x v="0"/>
    <x v="0"/>
    <n v="2451"/>
    <x v="0"/>
    <s v="Non-Citizen"/>
    <s v="Black or African American"/>
    <x v="93"/>
    <s v="2018-04-15"/>
    <x v="1"/>
    <x v="16"/>
    <n v="5"/>
    <x v="1"/>
    <n v="1"/>
    <x v="4"/>
    <n v="3"/>
    <s v="Fully Meets"/>
    <n v="4.5999999999999996"/>
    <s v="Neutral"/>
    <n v="4"/>
    <d v="2017-02-12T00:00:00"/>
    <n v="0"/>
    <n v="9"/>
  </r>
  <r>
    <n v="10270"/>
    <s v="Cybil Trzeciak"/>
    <x v="0"/>
    <x v="0"/>
    <x v="1"/>
    <x v="0"/>
    <x v="2"/>
    <x v="5"/>
    <n v="74813"/>
    <x v="275"/>
    <d v="1985-03-15T00:00:00"/>
    <x v="1"/>
    <x v="0"/>
    <n v="1778"/>
    <x v="0"/>
    <s v="US Citizen"/>
    <s v="White"/>
    <x v="9"/>
    <s v="2014-07-02"/>
    <x v="1"/>
    <x v="5"/>
    <n v="5"/>
    <x v="1"/>
    <n v="0"/>
    <x v="0"/>
    <n v="3"/>
    <s v="Fully Meets"/>
    <n v="4.4000000000000004"/>
    <s v="Neutral"/>
    <n v="0"/>
    <d v="2014-01-05T00:00:00"/>
    <n v="0"/>
    <n v="5"/>
  </r>
  <r>
    <n v="10045"/>
    <s v="Jumil Turpin"/>
    <x v="1"/>
    <x v="1"/>
    <x v="0"/>
    <x v="1"/>
    <x v="19"/>
    <x v="9"/>
    <n v="76029"/>
    <x v="276"/>
    <d v="1969-03-31T00:00:00"/>
    <x v="0"/>
    <x v="0"/>
    <n v="2343"/>
    <x v="0"/>
    <s v="Eligible NonCitizen"/>
    <s v="White"/>
    <x v="1"/>
    <s v="Not Terminated"/>
    <x v="0"/>
    <x v="0"/>
    <n v="1"/>
    <x v="0"/>
    <n v="0"/>
    <x v="3"/>
    <n v="3"/>
    <s v="Fully Meets"/>
    <n v="5"/>
    <s v="Satisfied"/>
    <n v="7"/>
    <d v="2019-01-14T00:00:00"/>
    <n v="0"/>
    <n v="8"/>
  </r>
  <r>
    <n v="10205"/>
    <s v="Jackie Valentin"/>
    <x v="1"/>
    <x v="1"/>
    <x v="1"/>
    <x v="4"/>
    <x v="11"/>
    <x v="14"/>
    <n v="57859"/>
    <x v="277"/>
    <d v="1991-05-23T00:00:00"/>
    <x v="1"/>
    <x v="26"/>
    <n v="85006"/>
    <x v="0"/>
    <s v="US Citizen"/>
    <s v="Two or more races"/>
    <x v="0"/>
    <s v="Not Terminated"/>
    <x v="0"/>
    <x v="0"/>
    <n v="1"/>
    <x v="0"/>
    <n v="0"/>
    <x v="1"/>
    <n v="3"/>
    <s v="Fully Meets"/>
    <n v="2.81"/>
    <s v="Neutral"/>
    <n v="0"/>
    <d v="2019-01-17T00:00:00"/>
    <n v="0"/>
    <n v="16"/>
  </r>
  <r>
    <n v="10014"/>
    <s v="Abdellah Veera"/>
    <x v="0"/>
    <x v="2"/>
    <x v="0"/>
    <x v="0"/>
    <x v="0"/>
    <x v="2"/>
    <n v="58523"/>
    <x v="278"/>
    <d v="1987-01-31T00:00:00"/>
    <x v="0"/>
    <x v="0"/>
    <n v="2171"/>
    <x v="0"/>
    <s v="US Citizen"/>
    <s v="White"/>
    <x v="59"/>
    <s v="2016-02-05"/>
    <x v="1"/>
    <x v="15"/>
    <n v="5"/>
    <x v="1"/>
    <n v="0"/>
    <x v="0"/>
    <n v="4"/>
    <s v="Exceeds"/>
    <n v="4.5"/>
    <s v="Very Satisfied"/>
    <n v="0"/>
    <d v="2016-02-01T00:00:00"/>
    <n v="0"/>
    <n v="15"/>
  </r>
  <r>
    <n v="10144"/>
    <s v="Vincent Vega"/>
    <x v="0"/>
    <x v="2"/>
    <x v="0"/>
    <x v="0"/>
    <x v="9"/>
    <x v="13"/>
    <n v="88976"/>
    <x v="279"/>
    <d v="1968-10-10T00:00:00"/>
    <x v="0"/>
    <x v="0"/>
    <n v="2169"/>
    <x v="0"/>
    <s v="US Citizen"/>
    <s v="White"/>
    <x v="95"/>
    <s v="Not Terminated"/>
    <x v="0"/>
    <x v="0"/>
    <n v="1"/>
    <x v="0"/>
    <n v="0"/>
    <x v="3"/>
    <n v="3"/>
    <s v="Fully Meets"/>
    <n v="3.93"/>
    <s v="Neutral"/>
    <n v="0"/>
    <d v="2019-02-27T00:00:00"/>
    <n v="0"/>
    <n v="19"/>
  </r>
  <r>
    <n v="10253"/>
    <s v="Noah Villanueva"/>
    <x v="0"/>
    <x v="0"/>
    <x v="0"/>
    <x v="4"/>
    <x v="11"/>
    <x v="14"/>
    <n v="55875"/>
    <x v="280"/>
    <d v="1989-07-11T00:00:00"/>
    <x v="0"/>
    <x v="27"/>
    <n v="4063"/>
    <x v="0"/>
    <s v="US Citizen"/>
    <s v="Asian"/>
    <x v="23"/>
    <s v="Not Terminated"/>
    <x v="0"/>
    <x v="0"/>
    <n v="1"/>
    <x v="0"/>
    <n v="0"/>
    <x v="7"/>
    <n v="3"/>
    <s v="Fully Meets"/>
    <n v="4.5"/>
    <s v="Satisfied"/>
    <n v="0"/>
    <d v="2019-01-18T00:00:00"/>
    <n v="0"/>
    <n v="11"/>
  </r>
  <r>
    <n v="10118"/>
    <s v="Lord Voldemort"/>
    <x v="1"/>
    <x v="1"/>
    <x v="0"/>
    <x v="1"/>
    <x v="6"/>
    <x v="1"/>
    <n v="113999"/>
    <x v="281"/>
    <d v="1986-08-07T00:00:00"/>
    <x v="0"/>
    <x v="0"/>
    <n v="1960"/>
    <x v="0"/>
    <s v="US Citizen"/>
    <s v="Black or African American"/>
    <x v="19"/>
    <s v="2017-02-22"/>
    <x v="1"/>
    <x v="13"/>
    <n v="4"/>
    <x v="2"/>
    <n v="0"/>
    <x v="3"/>
    <n v="3"/>
    <s v="Fully Meets"/>
    <n v="4.33"/>
    <s v="Neutral"/>
    <n v="7"/>
    <d v="2017-02-15T00:00:00"/>
    <n v="0"/>
    <n v="9"/>
  </r>
  <r>
    <n v="10022"/>
    <s v="Colleen Volk"/>
    <x v="1"/>
    <x v="1"/>
    <x v="1"/>
    <x v="0"/>
    <x v="0"/>
    <x v="11"/>
    <n v="49773"/>
    <x v="282"/>
    <d v="1986-06-03T00:00:00"/>
    <x v="1"/>
    <x v="0"/>
    <n v="2747"/>
    <x v="0"/>
    <s v="US Citizen"/>
    <s v="White"/>
    <x v="63"/>
    <s v="2016-02-08"/>
    <x v="1"/>
    <x v="17"/>
    <n v="4"/>
    <x v="2"/>
    <n v="0"/>
    <x v="2"/>
    <n v="4"/>
    <s v="Exceeds"/>
    <n v="4.3"/>
    <s v="Very Satisfied"/>
    <n v="0"/>
    <d v="2015-02-01T00:00:00"/>
    <n v="0"/>
    <n v="18"/>
  </r>
  <r>
    <n v="10183"/>
    <s v="Anna Von Massenbach"/>
    <x v="0"/>
    <x v="0"/>
    <x v="1"/>
    <x v="0"/>
    <x v="0"/>
    <x v="0"/>
    <n v="62068"/>
    <x v="283"/>
    <d v="1985-04-06T00:00:00"/>
    <x v="1"/>
    <x v="0"/>
    <n v="2124"/>
    <x v="0"/>
    <s v="US Citizen"/>
    <s v="White"/>
    <x v="96"/>
    <s v="Not Terminated"/>
    <x v="0"/>
    <x v="0"/>
    <n v="2"/>
    <x v="0"/>
    <n v="0"/>
    <x v="0"/>
    <n v="3"/>
    <s v="Fully Meets"/>
    <n v="3.21"/>
    <s v="Neutral"/>
    <n v="0"/>
    <d v="2019-01-29T00:00:00"/>
    <n v="0"/>
    <n v="7"/>
  </r>
  <r>
    <n v="10190"/>
    <s v="Roger Walker"/>
    <x v="0"/>
    <x v="0"/>
    <x v="0"/>
    <x v="0"/>
    <x v="2"/>
    <x v="7"/>
    <n v="66541"/>
    <x v="284"/>
    <d v="1976-02-10T00:00:00"/>
    <x v="0"/>
    <x v="0"/>
    <n v="2459"/>
    <x v="0"/>
    <s v="US Citizen"/>
    <s v="Black or African American"/>
    <x v="27"/>
    <s v="Not Terminated"/>
    <x v="0"/>
    <x v="0"/>
    <n v="1"/>
    <x v="0"/>
    <n v="0"/>
    <x v="3"/>
    <n v="3"/>
    <s v="Fully Meets"/>
    <n v="3.11"/>
    <s v="Very Satisfied"/>
    <n v="0"/>
    <d v="2019-02-12T00:00:00"/>
    <n v="0"/>
    <n v="4"/>
  </r>
  <r>
    <n v="10274"/>
    <s v="Courtney Wallace"/>
    <x v="1"/>
    <x v="1"/>
    <x v="1"/>
    <x v="0"/>
    <x v="9"/>
    <x v="13"/>
    <n v="80512"/>
    <x v="285"/>
    <d v="1955-11-14T00:00:00"/>
    <x v="1"/>
    <x v="0"/>
    <n v="2478"/>
    <x v="0"/>
    <s v="US Citizen"/>
    <s v="Black or African American"/>
    <x v="63"/>
    <s v="2012-01-02"/>
    <x v="1"/>
    <x v="4"/>
    <n v="5"/>
    <x v="1"/>
    <n v="1"/>
    <x v="4"/>
    <n v="3"/>
    <s v="Fully Meets"/>
    <n v="4.5"/>
    <s v="Neutral"/>
    <n v="0"/>
    <d v="2012-01-02T00:00:00"/>
    <n v="0"/>
    <n v="5"/>
  </r>
  <r>
    <n v="10293"/>
    <s v="Theresa Wallace"/>
    <x v="0"/>
    <x v="0"/>
    <x v="1"/>
    <x v="0"/>
    <x v="0"/>
    <x v="3"/>
    <n v="50274"/>
    <x v="286"/>
    <d v="1980-08-02T00:00:00"/>
    <x v="1"/>
    <x v="0"/>
    <n v="1887"/>
    <x v="0"/>
    <s v="US Citizen"/>
    <s v="White"/>
    <x v="59"/>
    <s v="2015-09-01"/>
    <x v="1"/>
    <x v="1"/>
    <n v="5"/>
    <x v="1"/>
    <n v="0"/>
    <x v="6"/>
    <n v="2"/>
    <s v="Needs Improvement"/>
    <n v="2.5"/>
    <s v="Neutral"/>
    <n v="0"/>
    <d v="2014-09-05T00:00:00"/>
    <n v="6"/>
    <n v="13"/>
  </r>
  <r>
    <n v="10172"/>
    <s v="Charlie Wang"/>
    <x v="0"/>
    <x v="0"/>
    <x v="0"/>
    <x v="1"/>
    <x v="24"/>
    <x v="19"/>
    <n v="84903"/>
    <x v="287"/>
    <d v="1981-07-08T00:00:00"/>
    <x v="0"/>
    <x v="0"/>
    <n v="1887"/>
    <x v="0"/>
    <s v="US Citizen"/>
    <s v="Asian"/>
    <x v="45"/>
    <s v="Not Terminated"/>
    <x v="0"/>
    <x v="0"/>
    <n v="1"/>
    <x v="0"/>
    <n v="0"/>
    <x v="1"/>
    <n v="3"/>
    <s v="Fully Meets"/>
    <n v="3.42"/>
    <s v="Satisfied"/>
    <n v="7"/>
    <d v="2019-01-04T00:00:00"/>
    <n v="0"/>
    <n v="17"/>
  </r>
  <r>
    <n v="10127"/>
    <s v="Sarah Warfield"/>
    <x v="0"/>
    <x v="3"/>
    <x v="1"/>
    <x v="1"/>
    <x v="15"/>
    <x v="9"/>
    <n v="107226"/>
    <x v="288"/>
    <d v="1978-05-02T00:00:00"/>
    <x v="1"/>
    <x v="0"/>
    <n v="2453"/>
    <x v="0"/>
    <s v="US Citizen"/>
    <s v="Asian"/>
    <x v="1"/>
    <s v="Not Terminated"/>
    <x v="0"/>
    <x v="0"/>
    <n v="1"/>
    <x v="0"/>
    <n v="0"/>
    <x v="3"/>
    <n v="3"/>
    <s v="Fully Meets"/>
    <n v="4.2"/>
    <s v="Satisfied"/>
    <n v="8"/>
    <d v="2019-02-05T00:00:00"/>
    <n v="0"/>
    <n v="7"/>
  </r>
  <r>
    <n v="10072"/>
    <s v="Scott Whittier"/>
    <x v="0"/>
    <x v="0"/>
    <x v="0"/>
    <x v="0"/>
    <x v="0"/>
    <x v="4"/>
    <n v="58371"/>
    <x v="289"/>
    <d v="1987-05-24T00:00:00"/>
    <x v="0"/>
    <x v="0"/>
    <n v="2030"/>
    <x v="1"/>
    <s v="US Citizen"/>
    <s v="White"/>
    <x v="9"/>
    <s v="2014-05-15"/>
    <x v="1"/>
    <x v="2"/>
    <n v="5"/>
    <x v="1"/>
    <n v="0"/>
    <x v="0"/>
    <n v="3"/>
    <s v="Fully Meets"/>
    <n v="5"/>
    <s v="Very Satisfied"/>
    <n v="0"/>
    <d v="2014-05-15T00:00:00"/>
    <n v="0"/>
    <n v="11"/>
  </r>
  <r>
    <n v="10048"/>
    <s v="Barry Wilber"/>
    <x v="1"/>
    <x v="1"/>
    <x v="0"/>
    <x v="0"/>
    <x v="0"/>
    <x v="5"/>
    <n v="55140"/>
    <x v="290"/>
    <d v="1965-09-09T00:00:00"/>
    <x v="0"/>
    <x v="0"/>
    <n v="2324"/>
    <x v="0"/>
    <s v="Eligible NonCitizen"/>
    <s v="White"/>
    <x v="35"/>
    <s v="2015-09-07"/>
    <x v="1"/>
    <x v="5"/>
    <n v="5"/>
    <x v="1"/>
    <n v="0"/>
    <x v="7"/>
    <n v="3"/>
    <s v="Fully Meets"/>
    <n v="5"/>
    <s v="Neutral"/>
    <n v="0"/>
    <d v="2015-02-15T00:00:00"/>
    <n v="0"/>
    <n v="7"/>
  </r>
  <r>
    <n v="10204"/>
    <s v="Annie Wilkes"/>
    <x v="0"/>
    <x v="2"/>
    <x v="1"/>
    <x v="0"/>
    <x v="0"/>
    <x v="7"/>
    <n v="58062"/>
    <x v="291"/>
    <d v="1983-07-30T00:00:00"/>
    <x v="1"/>
    <x v="0"/>
    <n v="1876"/>
    <x v="0"/>
    <s v="US Citizen"/>
    <s v="White"/>
    <x v="9"/>
    <s v="2012-05-14"/>
    <x v="1"/>
    <x v="4"/>
    <n v="5"/>
    <x v="1"/>
    <n v="0"/>
    <x v="2"/>
    <n v="3"/>
    <s v="Fully Meets"/>
    <n v="3.6"/>
    <s v="Very Satisfied"/>
    <n v="0"/>
    <d v="2011-02-06T00:00:00"/>
    <n v="0"/>
    <n v="9"/>
  </r>
  <r>
    <n v="10264"/>
    <s v="Jacquelyn Williams"/>
    <x v="0"/>
    <x v="0"/>
    <x v="1"/>
    <x v="0"/>
    <x v="0"/>
    <x v="7"/>
    <n v="59728"/>
    <x v="292"/>
    <d v="1969-10-02T00:00:00"/>
    <x v="1"/>
    <x v="0"/>
    <n v="2109"/>
    <x v="1"/>
    <s v="US Citizen"/>
    <s v="Black or African American"/>
    <x v="4"/>
    <s v="2015-06-27"/>
    <x v="1"/>
    <x v="10"/>
    <n v="5"/>
    <x v="1"/>
    <n v="1"/>
    <x v="4"/>
    <n v="3"/>
    <s v="Fully Meets"/>
    <n v="4.3"/>
    <s v="Satisfied"/>
    <n v="0"/>
    <d v="2014-06-02T00:00:00"/>
    <n v="0"/>
    <n v="16"/>
  </r>
  <r>
    <n v="10033"/>
    <s v="Jordan Winthrop"/>
    <x v="0"/>
    <x v="0"/>
    <x v="0"/>
    <x v="0"/>
    <x v="2"/>
    <x v="8"/>
    <n v="70507"/>
    <x v="293"/>
    <d v="1958-11-07T00:00:00"/>
    <x v="0"/>
    <x v="0"/>
    <n v="2045"/>
    <x v="0"/>
    <s v="US Citizen"/>
    <s v="White"/>
    <x v="46"/>
    <s v="2016-02-21"/>
    <x v="1"/>
    <x v="9"/>
    <n v="5"/>
    <x v="1"/>
    <n v="0"/>
    <x v="0"/>
    <n v="4"/>
    <s v="Exceeds"/>
    <n v="5"/>
    <s v="Neutral"/>
    <n v="0"/>
    <d v="2016-01-19T00:00:00"/>
    <n v="0"/>
    <n v="7"/>
  </r>
  <r>
    <n v="10174"/>
    <s v="Hang Wolk"/>
    <x v="0"/>
    <x v="0"/>
    <x v="1"/>
    <x v="0"/>
    <x v="2"/>
    <x v="10"/>
    <n v="60446"/>
    <x v="294"/>
    <d v="1985-04-20T00:00:00"/>
    <x v="1"/>
    <x v="0"/>
    <n v="2302"/>
    <x v="0"/>
    <s v="US Citizen"/>
    <s v="White"/>
    <x v="28"/>
    <s v="Not Terminated"/>
    <x v="0"/>
    <x v="0"/>
    <n v="1"/>
    <x v="0"/>
    <n v="0"/>
    <x v="0"/>
    <n v="3"/>
    <s v="Fully Meets"/>
    <n v="3.4"/>
    <s v="Satisfied"/>
    <n v="0"/>
    <d v="2019-02-21T00:00:00"/>
    <n v="0"/>
    <n v="14"/>
  </r>
  <r>
    <n v="10135"/>
    <s v="Jason Woodson"/>
    <x v="0"/>
    <x v="0"/>
    <x v="0"/>
    <x v="0"/>
    <x v="2"/>
    <x v="2"/>
    <n v="65893"/>
    <x v="295"/>
    <d v="1985-05-11T00:00:00"/>
    <x v="0"/>
    <x v="0"/>
    <n v="1810"/>
    <x v="0"/>
    <s v="US Citizen"/>
    <s v="White"/>
    <x v="16"/>
    <s v="Not Terminated"/>
    <x v="0"/>
    <x v="0"/>
    <n v="1"/>
    <x v="0"/>
    <n v="0"/>
    <x v="0"/>
    <n v="3"/>
    <s v="Fully Meets"/>
    <n v="4.07"/>
    <s v="Satisfied"/>
    <n v="0"/>
    <d v="2019-02-28T00:00:00"/>
    <n v="0"/>
    <n v="13"/>
  </r>
  <r>
    <n v="10301"/>
    <s v="Catherine Ybarra"/>
    <x v="0"/>
    <x v="0"/>
    <x v="1"/>
    <x v="0"/>
    <x v="0"/>
    <x v="8"/>
    <n v="48513"/>
    <x v="296"/>
    <d v="1982-05-04T00:00:00"/>
    <x v="1"/>
    <x v="0"/>
    <n v="2458"/>
    <x v="0"/>
    <s v="US Citizen"/>
    <s v="Asian"/>
    <x v="97"/>
    <s v="2015-09-29"/>
    <x v="1"/>
    <x v="4"/>
    <n v="5"/>
    <x v="1"/>
    <n v="0"/>
    <x v="2"/>
    <n v="1"/>
    <s v="PIP"/>
    <n v="3.2"/>
    <s v="Dissatisfied"/>
    <n v="0"/>
    <d v="2015-09-02T00:00:00"/>
    <n v="5"/>
    <n v="4"/>
  </r>
  <r>
    <n v="10010"/>
    <s v="Jennifer Zamora"/>
    <x v="0"/>
    <x v="0"/>
    <x v="1"/>
    <x v="1"/>
    <x v="31"/>
    <x v="13"/>
    <n v="220450"/>
    <x v="297"/>
    <d v="1979-08-30T00:00:00"/>
    <x v="1"/>
    <x v="0"/>
    <n v="2067"/>
    <x v="0"/>
    <s v="US Citizen"/>
    <s v="White"/>
    <x v="98"/>
    <s v="Not Terminated"/>
    <x v="0"/>
    <x v="0"/>
    <n v="1"/>
    <x v="0"/>
    <n v="0"/>
    <x v="3"/>
    <n v="4"/>
    <s v="Exceeds"/>
    <n v="4.5999999999999996"/>
    <s v="Very Satisfied"/>
    <n v="6"/>
    <d v="2019-02-21T00:00:00"/>
    <n v="0"/>
    <n v="16"/>
  </r>
  <r>
    <n v="10043"/>
    <s v="Julia Zhou"/>
    <x v="0"/>
    <x v="0"/>
    <x v="1"/>
    <x v="1"/>
    <x v="5"/>
    <x v="1"/>
    <n v="89292"/>
    <x v="298"/>
    <d v="1979-02-24T00:00:00"/>
    <x v="1"/>
    <x v="0"/>
    <n v="2148"/>
    <x v="0"/>
    <s v="US Citizen"/>
    <s v="White"/>
    <x v="1"/>
    <s v="Not Terminated"/>
    <x v="0"/>
    <x v="0"/>
    <n v="1"/>
    <x v="0"/>
    <n v="0"/>
    <x v="3"/>
    <n v="3"/>
    <s v="Fully Meets"/>
    <n v="5"/>
    <s v="Neutral"/>
    <n v="5"/>
    <d v="2019-02-01T00:00:00"/>
    <n v="0"/>
    <n v="11"/>
  </r>
  <r>
    <n v="10271"/>
    <s v="Colleen Zima"/>
    <x v="0"/>
    <x v="3"/>
    <x v="1"/>
    <x v="0"/>
    <x v="0"/>
    <x v="10"/>
    <n v="45046"/>
    <x v="299"/>
    <d v="1978-08-17T00:00:00"/>
    <x v="1"/>
    <x v="0"/>
    <n v="1730"/>
    <x v="0"/>
    <s v="US Citizen"/>
    <s v="Asian"/>
    <x v="28"/>
    <s v="Not Terminated"/>
    <x v="0"/>
    <x v="0"/>
    <n v="1"/>
    <x v="0"/>
    <n v="0"/>
    <x v="0"/>
    <n v="3"/>
    <s v="Fully Meets"/>
    <n v="4.5"/>
    <s v="Very Satisfied"/>
    <n v="0"/>
    <d v="2019-01-30T00:00:00"/>
    <n v="0"/>
    <n v="2"/>
  </r>
  <r>
    <n v="11002"/>
    <s v=" Samuel Barnes"/>
    <x v="0"/>
    <x v="0"/>
    <x v="0"/>
    <x v="4"/>
    <x v="3"/>
    <x v="21"/>
    <n v="97343"/>
    <x v="300"/>
    <d v="1971-11-22T00:00:00"/>
    <x v="2"/>
    <x v="7"/>
    <n v="97076"/>
    <x v="1"/>
    <s v="Non-Citizen"/>
    <s v="Other"/>
    <x v="99"/>
    <s v="2024-07-30"/>
    <x v="1"/>
    <x v="18"/>
    <n v="1"/>
    <x v="1"/>
    <n v="1"/>
    <x v="9"/>
    <n v="2"/>
    <s v="PIP"/>
    <n v="4.0999999999999996"/>
    <s v="Dissatisfied"/>
    <n v="5"/>
    <d v="2025-08-19T00:00:00"/>
    <n v="4"/>
    <n v="10"/>
  </r>
  <r>
    <n v="11003"/>
    <s v=" Robert Berry"/>
    <x v="1"/>
    <x v="2"/>
    <x v="1"/>
    <x v="6"/>
    <x v="32"/>
    <x v="22"/>
    <n v="100442"/>
    <x v="301"/>
    <d v="1971-12-20T00:00:00"/>
    <x v="2"/>
    <x v="18"/>
    <n v="2838"/>
    <x v="1"/>
    <s v="Non-Citizen"/>
    <s v="Black"/>
    <x v="100"/>
    <s v="Not Terminated"/>
    <x v="1"/>
    <x v="19"/>
    <n v="2"/>
    <x v="2"/>
    <n v="1"/>
    <x v="9"/>
    <n v="1"/>
    <s v="Fully Meets"/>
    <n v="3.5"/>
    <s v="Very Satisfied"/>
    <n v="2"/>
    <d v="2025-06-22T00:00:00"/>
    <n v="0"/>
    <n v="6"/>
  </r>
  <r>
    <n v="11004"/>
    <s v=" Amy Flores"/>
    <x v="1"/>
    <x v="1"/>
    <x v="1"/>
    <x v="7"/>
    <x v="0"/>
    <x v="23"/>
    <n v="105863"/>
    <x v="302"/>
    <d v="1993-05-17T00:00:00"/>
    <x v="1"/>
    <x v="15"/>
    <n v="97645"/>
    <x v="1"/>
    <s v="Non-Citizen"/>
    <s v="Black"/>
    <x v="101"/>
    <s v="Not Terminated"/>
    <x v="0"/>
    <x v="20"/>
    <n v="3"/>
    <x v="1"/>
    <n v="1"/>
    <x v="1"/>
    <n v="1"/>
    <s v="Exceeds Expectations"/>
    <n v="3.3"/>
    <s v="Very Dissatisfied"/>
    <n v="1"/>
    <d v="2025-12-07T00:00:00"/>
    <n v="0"/>
    <n v="5"/>
  </r>
  <r>
    <n v="10004"/>
    <s v=" Juan Gregory"/>
    <x v="0"/>
    <x v="0"/>
    <x v="0"/>
    <x v="8"/>
    <x v="33"/>
    <x v="24"/>
    <n v="57460"/>
    <x v="303"/>
    <d v="1965-10-26T00:00:00"/>
    <x v="1"/>
    <x v="7"/>
    <n v="99044"/>
    <x v="0"/>
    <s v="Non-Citizen"/>
    <s v="White"/>
    <x v="102"/>
    <s v="Not Terminated"/>
    <x v="0"/>
    <x v="18"/>
    <n v="1"/>
    <x v="2"/>
    <n v="1"/>
    <x v="10"/>
    <n v="4"/>
    <s v="Fully Meets"/>
    <n v="3.7"/>
    <s v="Dissatisfied"/>
    <n v="1"/>
    <d v="2025-04-22T00:00:00"/>
    <n v="4"/>
    <n v="9"/>
  </r>
  <r>
    <n v="10005"/>
    <s v=" James Gordon"/>
    <x v="1"/>
    <x v="1"/>
    <x v="0"/>
    <x v="7"/>
    <x v="32"/>
    <x v="25"/>
    <n v="70586"/>
    <x v="304"/>
    <d v="2001-07-13T00:00:00"/>
    <x v="1"/>
    <x v="15"/>
    <n v="72697"/>
    <x v="0"/>
    <s v="Non-Citizen"/>
    <s v="Hispanic"/>
    <x v="103"/>
    <s v="2024-11-28"/>
    <x v="0"/>
    <x v="19"/>
    <n v="2"/>
    <x v="1"/>
    <n v="1"/>
    <x v="1"/>
    <n v="1"/>
    <s v="Fully Meets"/>
    <n v="3.7"/>
    <s v="Very Dissatisfied"/>
    <n v="5"/>
    <d v="2025-04-05T00:00:00"/>
    <n v="5"/>
    <n v="0"/>
  </r>
  <r>
    <n v="10006"/>
    <s v=" Brian Browning"/>
    <x v="1"/>
    <x v="2"/>
    <x v="1"/>
    <x v="9"/>
    <x v="0"/>
    <x v="26"/>
    <n v="65545"/>
    <x v="305"/>
    <d v="1978-11-09T00:00:00"/>
    <x v="2"/>
    <x v="18"/>
    <n v="3644"/>
    <x v="0"/>
    <s v="US Citizen"/>
    <s v="White"/>
    <x v="104"/>
    <s v="Not Terminated"/>
    <x v="1"/>
    <x v="20"/>
    <n v="2"/>
    <x v="1"/>
    <n v="0"/>
    <x v="0"/>
    <n v="1"/>
    <s v="PIP"/>
    <n v="3.2"/>
    <s v="Dissatisfied"/>
    <n v="5"/>
    <d v="2025-04-18T00:00:00"/>
    <n v="1"/>
    <n v="5"/>
  </r>
  <r>
    <n v="10007"/>
    <s v=" Sarah Kim"/>
    <x v="1"/>
    <x v="0"/>
    <x v="0"/>
    <x v="4"/>
    <x v="0"/>
    <x v="27"/>
    <n v="99873"/>
    <x v="306"/>
    <d v="1974-10-28T00:00:00"/>
    <x v="1"/>
    <x v="18"/>
    <n v="18402"/>
    <x v="0"/>
    <s v="US Citizen"/>
    <s v="Other"/>
    <x v="105"/>
    <s v="Not Terminated"/>
    <x v="1"/>
    <x v="20"/>
    <n v="2"/>
    <x v="0"/>
    <n v="0"/>
    <x v="10"/>
    <n v="4"/>
    <s v="Fully Meets"/>
    <n v="4.7"/>
    <s v="Neutral"/>
    <n v="3"/>
    <d v="2025-09-09T00:00:00"/>
    <n v="2"/>
    <n v="4"/>
  </r>
  <r>
    <n v="10008"/>
    <s v=" Tyler Wright"/>
    <x v="1"/>
    <x v="0"/>
    <x v="1"/>
    <x v="4"/>
    <x v="32"/>
    <x v="28"/>
    <n v="87337"/>
    <x v="307"/>
    <d v="1977-05-27T00:00:00"/>
    <x v="1"/>
    <x v="15"/>
    <n v="13583"/>
    <x v="0"/>
    <s v="Non-Citizen"/>
    <s v="Black"/>
    <x v="106"/>
    <s v="2024-12-31"/>
    <x v="0"/>
    <x v="20"/>
    <n v="2"/>
    <x v="2"/>
    <n v="1"/>
    <x v="7"/>
    <n v="4"/>
    <s v="Needs Improvement"/>
    <n v="4.4000000000000004"/>
    <s v="Very Dissatisfied"/>
    <n v="0"/>
    <d v="2025-05-19T00:00:00"/>
    <n v="1"/>
    <n v="1"/>
  </r>
  <r>
    <n v="10009"/>
    <s v=" Scott Ibarra"/>
    <x v="0"/>
    <x v="1"/>
    <x v="0"/>
    <x v="10"/>
    <x v="3"/>
    <x v="29"/>
    <n v="40845"/>
    <x v="308"/>
    <d v="1975-01-28T00:00:00"/>
    <x v="2"/>
    <x v="0"/>
    <n v="32846"/>
    <x v="1"/>
    <s v="US Citizen"/>
    <s v="Hispanic"/>
    <x v="107"/>
    <s v="Not Terminated"/>
    <x v="0"/>
    <x v="19"/>
    <n v="1"/>
    <x v="0"/>
    <n v="0"/>
    <x v="1"/>
    <n v="3"/>
    <s v="Exceeds Expectations"/>
    <n v="3.3"/>
    <s v="Very Satisfied"/>
    <n v="5"/>
    <d v="2025-05-22T00:00:00"/>
    <n v="2"/>
    <n v="7"/>
  </r>
  <r>
    <n v="10010"/>
    <s v=" Keith Alvarez"/>
    <x v="1"/>
    <x v="1"/>
    <x v="1"/>
    <x v="6"/>
    <x v="32"/>
    <x v="30"/>
    <n v="74799"/>
    <x v="309"/>
    <d v="1989-09-26T00:00:00"/>
    <x v="1"/>
    <x v="1"/>
    <n v="35331"/>
    <x v="1"/>
    <s v="US Citizen"/>
    <s v="Other"/>
    <x v="108"/>
    <s v="Not Terminated"/>
    <x v="1"/>
    <x v="21"/>
    <n v="2"/>
    <x v="1"/>
    <n v="0"/>
    <x v="1"/>
    <n v="4"/>
    <s v="Needs Improvement"/>
    <n v="4.8"/>
    <s v="Neutral"/>
    <n v="0"/>
    <d v="2025-07-10T00:00:00"/>
    <n v="1"/>
    <n v="7"/>
  </r>
  <r>
    <n v="10011"/>
    <s v=" Glenn Leach"/>
    <x v="1"/>
    <x v="1"/>
    <x v="1"/>
    <x v="9"/>
    <x v="3"/>
    <x v="31"/>
    <n v="49658"/>
    <x v="310"/>
    <d v="1968-06-01T00:00:00"/>
    <x v="2"/>
    <x v="7"/>
    <n v="10205"/>
    <x v="0"/>
    <s v="US Citizen"/>
    <s v="Hispanic"/>
    <x v="109"/>
    <s v="Not Terminated"/>
    <x v="1"/>
    <x v="21"/>
    <n v="1"/>
    <x v="2"/>
    <n v="0"/>
    <x v="7"/>
    <n v="3"/>
    <s v="Fully Meets"/>
    <n v="3.1"/>
    <s v="Neutral"/>
    <n v="4"/>
    <d v="2024-12-11T00:00:00"/>
    <n v="4"/>
    <n v="2"/>
  </r>
  <r>
    <n v="10012"/>
    <s v=" Jennifer Wilson"/>
    <x v="0"/>
    <x v="0"/>
    <x v="0"/>
    <x v="10"/>
    <x v="32"/>
    <x v="32"/>
    <n v="93103"/>
    <x v="311"/>
    <d v="2000-03-06T00:00:00"/>
    <x v="1"/>
    <x v="15"/>
    <n v="27893"/>
    <x v="0"/>
    <s v="US Citizen"/>
    <s v="White"/>
    <x v="110"/>
    <s v="Not Terminated"/>
    <x v="1"/>
    <x v="21"/>
    <n v="3"/>
    <x v="1"/>
    <n v="0"/>
    <x v="10"/>
    <n v="2"/>
    <s v="PIP"/>
    <n v="2.7"/>
    <s v="Dissatisfied"/>
    <n v="2"/>
    <d v="2025-10-30T00:00:00"/>
    <n v="2"/>
    <n v="3"/>
  </r>
  <r>
    <n v="10013"/>
    <s v=" Kimberly Adams"/>
    <x v="1"/>
    <x v="0"/>
    <x v="0"/>
    <x v="7"/>
    <x v="34"/>
    <x v="33"/>
    <n v="72400"/>
    <x v="312"/>
    <d v="2003-06-17T00:00:00"/>
    <x v="2"/>
    <x v="18"/>
    <n v="27247"/>
    <x v="1"/>
    <s v="Non-Citizen"/>
    <s v="Other"/>
    <x v="111"/>
    <s v="2021-10-05"/>
    <x v="0"/>
    <x v="18"/>
    <n v="1"/>
    <x v="1"/>
    <n v="0"/>
    <x v="7"/>
    <n v="4"/>
    <s v="Exceeds Expectations"/>
    <n v="2.6"/>
    <s v="Neutral"/>
    <n v="3"/>
    <d v="2025-05-02T00:00:00"/>
    <n v="0"/>
    <n v="4"/>
  </r>
  <r>
    <n v="10014"/>
    <s v=" Alison Gordon"/>
    <x v="0"/>
    <x v="0"/>
    <x v="0"/>
    <x v="9"/>
    <x v="0"/>
    <x v="34"/>
    <n v="54680"/>
    <x v="313"/>
    <d v="1969-07-16T00:00:00"/>
    <x v="1"/>
    <x v="7"/>
    <n v="2350"/>
    <x v="1"/>
    <s v="Non-Citizen"/>
    <s v="Hispanic"/>
    <x v="112"/>
    <s v="Not Terminated"/>
    <x v="1"/>
    <x v="20"/>
    <n v="1"/>
    <x v="2"/>
    <n v="1"/>
    <x v="1"/>
    <n v="2"/>
    <s v="Needs Improvement"/>
    <n v="4.3"/>
    <s v="Very Satisfied"/>
    <n v="4"/>
    <d v="2025-03-09T00:00:00"/>
    <n v="2"/>
    <n v="10"/>
  </r>
  <r>
    <n v="10015"/>
    <s v=" Stephanie Mccullough"/>
    <x v="0"/>
    <x v="0"/>
    <x v="0"/>
    <x v="4"/>
    <x v="32"/>
    <x v="35"/>
    <n v="76916"/>
    <x v="314"/>
    <d v="1994-10-05T00:00:00"/>
    <x v="2"/>
    <x v="7"/>
    <n v="47880"/>
    <x v="1"/>
    <s v="US Citizen"/>
    <s v="Hispanic"/>
    <x v="113"/>
    <s v="Not Terminated"/>
    <x v="0"/>
    <x v="22"/>
    <n v="1"/>
    <x v="2"/>
    <n v="1"/>
    <x v="1"/>
    <n v="2"/>
    <s v="Exceeds Expectations"/>
    <n v="5"/>
    <s v="Very Satisfied"/>
    <n v="2"/>
    <d v="2025-03-30T00:00:00"/>
    <n v="4"/>
    <n v="3"/>
  </r>
  <r>
    <n v="10016"/>
    <s v=" David Lara"/>
    <x v="1"/>
    <x v="1"/>
    <x v="1"/>
    <x v="8"/>
    <x v="32"/>
    <x v="36"/>
    <n v="69480"/>
    <x v="315"/>
    <d v="1982-05-05T00:00:00"/>
    <x v="1"/>
    <x v="1"/>
    <n v="67353"/>
    <x v="1"/>
    <s v="US Citizen"/>
    <s v="White"/>
    <x v="114"/>
    <s v="Not Terminated"/>
    <x v="0"/>
    <x v="20"/>
    <n v="3"/>
    <x v="2"/>
    <n v="0"/>
    <x v="0"/>
    <n v="4"/>
    <s v="Fully Meets"/>
    <n v="3.7"/>
    <s v="Neutral"/>
    <n v="0"/>
    <d v="2025-01-17T00:00:00"/>
    <n v="2"/>
    <n v="1"/>
  </r>
  <r>
    <n v="10017"/>
    <s v=" James Dunn"/>
    <x v="1"/>
    <x v="2"/>
    <x v="0"/>
    <x v="6"/>
    <x v="32"/>
    <x v="37"/>
    <n v="74100"/>
    <x v="316"/>
    <d v="1975-11-25T00:00:00"/>
    <x v="1"/>
    <x v="0"/>
    <n v="58601"/>
    <x v="0"/>
    <s v="US Citizen"/>
    <s v="Other"/>
    <x v="115"/>
    <s v="Not Terminated"/>
    <x v="1"/>
    <x v="18"/>
    <n v="2"/>
    <x v="1"/>
    <n v="1"/>
    <x v="10"/>
    <n v="4"/>
    <s v="Fully Meets"/>
    <n v="4.8"/>
    <s v="Very Satisfied"/>
    <n v="1"/>
    <d v="2024-12-25T00:00:00"/>
    <n v="1"/>
    <n v="3"/>
  </r>
  <r>
    <n v="10018"/>
    <s v=" Joshua Griffin"/>
    <x v="1"/>
    <x v="1"/>
    <x v="1"/>
    <x v="6"/>
    <x v="3"/>
    <x v="38"/>
    <n v="93999"/>
    <x v="317"/>
    <d v="1971-06-25T00:00:00"/>
    <x v="2"/>
    <x v="15"/>
    <n v="61388"/>
    <x v="0"/>
    <s v="US Citizen"/>
    <s v="Other"/>
    <x v="116"/>
    <s v="Not Terminated"/>
    <x v="1"/>
    <x v="18"/>
    <n v="3"/>
    <x v="1"/>
    <n v="0"/>
    <x v="10"/>
    <n v="3"/>
    <s v="Needs Improvement"/>
    <n v="4.9000000000000004"/>
    <s v="Very Satisfied"/>
    <n v="5"/>
    <d v="2025-07-31T00:00:00"/>
    <n v="4"/>
    <n v="7"/>
  </r>
  <r>
    <n v="10019"/>
    <s v=" Jessica Novak"/>
    <x v="0"/>
    <x v="2"/>
    <x v="0"/>
    <x v="7"/>
    <x v="34"/>
    <x v="39"/>
    <n v="34551"/>
    <x v="318"/>
    <d v="1978-09-27T00:00:00"/>
    <x v="1"/>
    <x v="0"/>
    <n v="94035"/>
    <x v="0"/>
    <s v="US Citizen"/>
    <s v="Black"/>
    <x v="117"/>
    <s v="Not Terminated"/>
    <x v="0"/>
    <x v="20"/>
    <n v="3"/>
    <x v="0"/>
    <n v="1"/>
    <x v="9"/>
    <n v="4"/>
    <s v="Fully Meets"/>
    <n v="3.3"/>
    <s v="Very Satisfied"/>
    <n v="4"/>
    <d v="2025-01-17T00:00:00"/>
    <n v="4"/>
    <n v="3"/>
  </r>
  <r>
    <n v="10020"/>
    <s v=" Lauren White"/>
    <x v="0"/>
    <x v="2"/>
    <x v="0"/>
    <x v="8"/>
    <x v="33"/>
    <x v="40"/>
    <n v="63841"/>
    <x v="319"/>
    <d v="1981-04-02T00:00:00"/>
    <x v="2"/>
    <x v="1"/>
    <n v="41938"/>
    <x v="0"/>
    <s v="US Citizen"/>
    <s v="Asian"/>
    <x v="118"/>
    <s v="Not Terminated"/>
    <x v="1"/>
    <x v="22"/>
    <n v="3"/>
    <x v="1"/>
    <n v="0"/>
    <x v="9"/>
    <n v="3"/>
    <s v="Exceeds Expectations"/>
    <n v="2.7"/>
    <s v="Satisfied"/>
    <n v="2"/>
    <d v="2025-06-09T00:00:00"/>
    <n v="3"/>
    <n v="3"/>
  </r>
  <r>
    <n v="10021"/>
    <s v=" Timothy Hamilton"/>
    <x v="0"/>
    <x v="0"/>
    <x v="0"/>
    <x v="4"/>
    <x v="0"/>
    <x v="41"/>
    <n v="103343"/>
    <x v="320"/>
    <d v="1991-10-21T00:00:00"/>
    <x v="2"/>
    <x v="18"/>
    <n v="14766"/>
    <x v="0"/>
    <s v="Non-Citizen"/>
    <s v="Asian"/>
    <x v="119"/>
    <s v="Not Terminated"/>
    <x v="0"/>
    <x v="21"/>
    <n v="1"/>
    <x v="0"/>
    <n v="1"/>
    <x v="1"/>
    <n v="3"/>
    <s v="PIP"/>
    <n v="3.9"/>
    <s v="Satisfied"/>
    <n v="5"/>
    <d v="2024-07-11T00:00:00"/>
    <n v="3"/>
    <n v="1"/>
  </r>
  <r>
    <n v="10022"/>
    <s v=" Annette Carpenter"/>
    <x v="0"/>
    <x v="2"/>
    <x v="0"/>
    <x v="6"/>
    <x v="33"/>
    <x v="42"/>
    <n v="90755"/>
    <x v="321"/>
    <d v="1991-01-11T00:00:00"/>
    <x v="1"/>
    <x v="7"/>
    <n v="68533"/>
    <x v="1"/>
    <s v="US Citizen"/>
    <s v="Other"/>
    <x v="120"/>
    <s v="Not Terminated"/>
    <x v="0"/>
    <x v="21"/>
    <n v="3"/>
    <x v="1"/>
    <n v="1"/>
    <x v="9"/>
    <n v="3"/>
    <s v="Fully Meets"/>
    <n v="2.8"/>
    <s v="Very Satisfied"/>
    <n v="1"/>
    <d v="2025-02-18T00:00:00"/>
    <n v="1"/>
    <n v="4"/>
  </r>
  <r>
    <n v="10023"/>
    <s v=" Dominique Chavez"/>
    <x v="0"/>
    <x v="2"/>
    <x v="1"/>
    <x v="7"/>
    <x v="34"/>
    <x v="43"/>
    <n v="99192"/>
    <x v="322"/>
    <d v="1987-03-19T00:00:00"/>
    <x v="2"/>
    <x v="18"/>
    <n v="18832"/>
    <x v="1"/>
    <s v="Non-Citizen"/>
    <s v="White"/>
    <x v="121"/>
    <s v="Not Terminated"/>
    <x v="0"/>
    <x v="20"/>
    <n v="2"/>
    <x v="1"/>
    <n v="0"/>
    <x v="10"/>
    <n v="4"/>
    <s v="Fully Meets"/>
    <n v="3.2"/>
    <s v="Very Dissatisfied"/>
    <n v="3"/>
    <d v="2025-10-30T00:00:00"/>
    <n v="3"/>
    <n v="0"/>
  </r>
  <r>
    <n v="10024"/>
    <s v=" Kathleen Hansen"/>
    <x v="0"/>
    <x v="1"/>
    <x v="1"/>
    <x v="4"/>
    <x v="33"/>
    <x v="44"/>
    <n v="54042"/>
    <x v="323"/>
    <d v="2003-09-19T00:00:00"/>
    <x v="2"/>
    <x v="0"/>
    <n v="35501"/>
    <x v="0"/>
    <s v="US Citizen"/>
    <s v="Other"/>
    <x v="122"/>
    <s v="2022-06-14"/>
    <x v="0"/>
    <x v="22"/>
    <n v="3"/>
    <x v="2"/>
    <n v="1"/>
    <x v="7"/>
    <n v="1"/>
    <s v="Fully Meets"/>
    <n v="4.9000000000000004"/>
    <s v="Very Dissatisfied"/>
    <n v="4"/>
    <d v="2024-12-12T00:00:00"/>
    <n v="4"/>
    <n v="3"/>
  </r>
  <r>
    <n v="10025"/>
    <s v=" Stephen Mendez"/>
    <x v="1"/>
    <x v="0"/>
    <x v="0"/>
    <x v="7"/>
    <x v="0"/>
    <x v="45"/>
    <n v="84232"/>
    <x v="324"/>
    <d v="1998-08-17T00:00:00"/>
    <x v="1"/>
    <x v="1"/>
    <n v="55846"/>
    <x v="0"/>
    <s v="US Citizen"/>
    <s v="White"/>
    <x v="123"/>
    <s v="2024-01-18"/>
    <x v="1"/>
    <x v="19"/>
    <n v="2"/>
    <x v="0"/>
    <n v="0"/>
    <x v="1"/>
    <n v="2"/>
    <s v="Fully Meets"/>
    <n v="2.7"/>
    <s v="Satisfied"/>
    <n v="1"/>
    <d v="2025-10-19T00:00:00"/>
    <n v="5"/>
    <n v="6"/>
  </r>
  <r>
    <n v="10026"/>
    <s v=" Joshua Davidson"/>
    <x v="1"/>
    <x v="0"/>
    <x v="1"/>
    <x v="7"/>
    <x v="0"/>
    <x v="46"/>
    <n v="61041"/>
    <x v="325"/>
    <d v="1981-02-26T00:00:00"/>
    <x v="1"/>
    <x v="1"/>
    <n v="93091"/>
    <x v="0"/>
    <s v="US Citizen"/>
    <s v="Asian"/>
    <x v="124"/>
    <s v="Not Terminated"/>
    <x v="0"/>
    <x v="18"/>
    <n v="3"/>
    <x v="1"/>
    <n v="0"/>
    <x v="1"/>
    <n v="4"/>
    <s v="Needs Improvement"/>
    <n v="3.6"/>
    <s v="Satisfied"/>
    <n v="2"/>
    <d v="2025-01-19T00:00:00"/>
    <n v="4"/>
    <n v="1"/>
  </r>
  <r>
    <n v="10027"/>
    <s v=" Mark Kennedy"/>
    <x v="1"/>
    <x v="2"/>
    <x v="1"/>
    <x v="8"/>
    <x v="33"/>
    <x v="47"/>
    <n v="33985"/>
    <x v="326"/>
    <d v="1970-03-11T00:00:00"/>
    <x v="2"/>
    <x v="15"/>
    <n v="16825"/>
    <x v="1"/>
    <s v="US Citizen"/>
    <s v="Hispanic"/>
    <x v="125"/>
    <s v="Not Terminated"/>
    <x v="0"/>
    <x v="22"/>
    <n v="1"/>
    <x v="0"/>
    <n v="1"/>
    <x v="9"/>
    <n v="1"/>
    <s v="PIP"/>
    <n v="3.4"/>
    <s v="Very Dissatisfied"/>
    <n v="0"/>
    <d v="2025-08-31T00:00:00"/>
    <n v="0"/>
    <n v="0"/>
  </r>
  <r>
    <n v="10028"/>
    <s v=" Anthony Moore"/>
    <x v="1"/>
    <x v="0"/>
    <x v="1"/>
    <x v="9"/>
    <x v="32"/>
    <x v="48"/>
    <n v="43190"/>
    <x v="327"/>
    <d v="1984-12-21T00:00:00"/>
    <x v="1"/>
    <x v="7"/>
    <n v="77329"/>
    <x v="1"/>
    <s v="Non-Citizen"/>
    <s v="Black"/>
    <x v="126"/>
    <s v="Not Terminated"/>
    <x v="1"/>
    <x v="21"/>
    <n v="2"/>
    <x v="0"/>
    <n v="1"/>
    <x v="10"/>
    <n v="2"/>
    <s v="Exceeds Expectations"/>
    <n v="3.2"/>
    <s v="Neutral"/>
    <n v="4"/>
    <d v="2024-01-12T00:00:00"/>
    <n v="5"/>
    <n v="0"/>
  </r>
  <r>
    <n v="10029"/>
    <s v=" Renee Gonzales MD"/>
    <x v="1"/>
    <x v="2"/>
    <x v="0"/>
    <x v="6"/>
    <x v="3"/>
    <x v="49"/>
    <n v="66536"/>
    <x v="328"/>
    <d v="2000-09-05T00:00:00"/>
    <x v="1"/>
    <x v="7"/>
    <n v="27951"/>
    <x v="1"/>
    <s v="US Citizen"/>
    <s v="Hispanic"/>
    <x v="127"/>
    <s v="Not Terminated"/>
    <x v="0"/>
    <x v="18"/>
    <n v="1"/>
    <x v="1"/>
    <n v="0"/>
    <x v="0"/>
    <n v="2"/>
    <s v="Exceeds Expectations"/>
    <n v="4.9000000000000004"/>
    <s v="Neutral"/>
    <n v="5"/>
    <d v="2025-03-19T00:00:00"/>
    <n v="4"/>
    <n v="9"/>
  </r>
  <r>
    <n v="10030"/>
    <s v=" Katrina Norton"/>
    <x v="1"/>
    <x v="1"/>
    <x v="0"/>
    <x v="7"/>
    <x v="3"/>
    <x v="50"/>
    <n v="68925"/>
    <x v="329"/>
    <d v="1991-01-12T00:00:00"/>
    <x v="1"/>
    <x v="0"/>
    <n v="11225"/>
    <x v="0"/>
    <s v="Non-Citizen"/>
    <s v="Asian"/>
    <x v="128"/>
    <s v="Not Terminated"/>
    <x v="1"/>
    <x v="21"/>
    <n v="2"/>
    <x v="0"/>
    <n v="0"/>
    <x v="7"/>
    <n v="2"/>
    <s v="Needs Improvement"/>
    <n v="2.9"/>
    <s v="Very Satisfied"/>
    <n v="0"/>
    <d v="2025-02-11T00:00:00"/>
    <n v="4"/>
    <n v="10"/>
  </r>
  <r>
    <n v="10031"/>
    <s v=" Eric Smith"/>
    <x v="0"/>
    <x v="2"/>
    <x v="0"/>
    <x v="7"/>
    <x v="0"/>
    <x v="51"/>
    <n v="49725"/>
    <x v="330"/>
    <d v="1977-07-05T00:00:00"/>
    <x v="1"/>
    <x v="15"/>
    <n v="33790"/>
    <x v="1"/>
    <s v="US Citizen"/>
    <s v="Hispanic"/>
    <x v="129"/>
    <s v="2024-05-01"/>
    <x v="1"/>
    <x v="19"/>
    <n v="3"/>
    <x v="2"/>
    <n v="0"/>
    <x v="9"/>
    <n v="1"/>
    <s v="Exceeds Expectations"/>
    <n v="3.1"/>
    <s v="Dissatisfied"/>
    <n v="4"/>
    <d v="2025-06-13T00:00:00"/>
    <n v="5"/>
    <n v="0"/>
  </r>
  <r>
    <n v="10032"/>
    <s v=" Sabrina Norris"/>
    <x v="0"/>
    <x v="2"/>
    <x v="1"/>
    <x v="4"/>
    <x v="34"/>
    <x v="52"/>
    <n v="31855"/>
    <x v="331"/>
    <d v="1984-08-20T00:00:00"/>
    <x v="1"/>
    <x v="1"/>
    <n v="93340"/>
    <x v="0"/>
    <s v="US Citizen"/>
    <s v="Hispanic"/>
    <x v="130"/>
    <s v="Not Terminated"/>
    <x v="0"/>
    <x v="18"/>
    <n v="2"/>
    <x v="1"/>
    <n v="1"/>
    <x v="1"/>
    <n v="2"/>
    <s v="Needs Improvement"/>
    <n v="4.9000000000000004"/>
    <s v="Neutral"/>
    <n v="5"/>
    <d v="2025-02-20T00:00:00"/>
    <n v="5"/>
    <n v="9"/>
  </r>
  <r>
    <n v="10033"/>
    <s v=" Amy Gray"/>
    <x v="0"/>
    <x v="0"/>
    <x v="0"/>
    <x v="7"/>
    <x v="34"/>
    <x v="53"/>
    <n v="39161"/>
    <x v="332"/>
    <d v="1971-05-18T00:00:00"/>
    <x v="2"/>
    <x v="1"/>
    <n v="71820"/>
    <x v="1"/>
    <s v="Non-Citizen"/>
    <s v="Other"/>
    <x v="131"/>
    <s v="Not Terminated"/>
    <x v="0"/>
    <x v="21"/>
    <n v="1"/>
    <x v="2"/>
    <n v="1"/>
    <x v="10"/>
    <n v="4"/>
    <s v="PIP"/>
    <n v="3.8"/>
    <s v="Neutral"/>
    <n v="5"/>
    <d v="2025-05-17T00:00:00"/>
    <n v="0"/>
    <n v="4"/>
  </r>
  <r>
    <n v="10034"/>
    <s v=" Ashley Garcia"/>
    <x v="1"/>
    <x v="1"/>
    <x v="0"/>
    <x v="9"/>
    <x v="3"/>
    <x v="54"/>
    <n v="111417"/>
    <x v="333"/>
    <d v="1981-10-09T00:00:00"/>
    <x v="1"/>
    <x v="1"/>
    <n v="59714"/>
    <x v="0"/>
    <s v="US Citizen"/>
    <s v="White"/>
    <x v="132"/>
    <s v="Not Terminated"/>
    <x v="1"/>
    <x v="19"/>
    <n v="2"/>
    <x v="2"/>
    <n v="1"/>
    <x v="7"/>
    <n v="2"/>
    <s v="Fully Meets"/>
    <n v="2.6"/>
    <s v="Very Dissatisfied"/>
    <n v="2"/>
    <d v="2025-05-08T00:00:00"/>
    <n v="1"/>
    <n v="8"/>
  </r>
  <r>
    <n v="10035"/>
    <s v=" Denise Yang"/>
    <x v="1"/>
    <x v="0"/>
    <x v="0"/>
    <x v="9"/>
    <x v="33"/>
    <x v="55"/>
    <n v="60053"/>
    <x v="334"/>
    <d v="1989-09-21T00:00:00"/>
    <x v="2"/>
    <x v="15"/>
    <n v="9458"/>
    <x v="1"/>
    <s v="US Citizen"/>
    <s v="Black"/>
    <x v="133"/>
    <s v="2024-08-20"/>
    <x v="0"/>
    <x v="18"/>
    <n v="2"/>
    <x v="2"/>
    <n v="0"/>
    <x v="1"/>
    <n v="1"/>
    <s v="Needs Improvement"/>
    <n v="4.5"/>
    <s v="Very Dissatisfied"/>
    <n v="3"/>
    <d v="2025-10-07T00:00:00"/>
    <n v="2"/>
    <n v="4"/>
  </r>
  <r>
    <n v="10036"/>
    <s v=" Jeffery Wong"/>
    <x v="0"/>
    <x v="1"/>
    <x v="0"/>
    <x v="9"/>
    <x v="34"/>
    <x v="56"/>
    <n v="76683"/>
    <x v="335"/>
    <d v="1984-05-13T00:00:00"/>
    <x v="1"/>
    <x v="7"/>
    <n v="96937"/>
    <x v="1"/>
    <s v="Non-Citizen"/>
    <s v="Black"/>
    <x v="134"/>
    <s v="Not Terminated"/>
    <x v="0"/>
    <x v="18"/>
    <n v="3"/>
    <x v="0"/>
    <n v="1"/>
    <x v="0"/>
    <n v="4"/>
    <s v="Fully Meets"/>
    <n v="4.2"/>
    <s v="Satisfied"/>
    <n v="1"/>
    <d v="2025-08-26T00:00:00"/>
    <n v="2"/>
    <n v="9"/>
  </r>
  <r>
    <n v="10037"/>
    <s v=" Mary Case"/>
    <x v="1"/>
    <x v="0"/>
    <x v="0"/>
    <x v="9"/>
    <x v="32"/>
    <x v="57"/>
    <n v="58521"/>
    <x v="336"/>
    <d v="2002-01-26T00:00:00"/>
    <x v="2"/>
    <x v="1"/>
    <n v="50902"/>
    <x v="0"/>
    <s v="Non-Citizen"/>
    <s v="Asian"/>
    <x v="135"/>
    <s v="Not Terminated"/>
    <x v="0"/>
    <x v="20"/>
    <n v="3"/>
    <x v="1"/>
    <n v="0"/>
    <x v="7"/>
    <n v="3"/>
    <s v="Fully Meets"/>
    <n v="4.0999999999999996"/>
    <s v="Satisfied"/>
    <n v="2"/>
    <d v="2025-12-07T00:00:00"/>
    <n v="5"/>
    <n v="6"/>
  </r>
  <r>
    <n v="10038"/>
    <s v=" James Vargas"/>
    <x v="1"/>
    <x v="2"/>
    <x v="0"/>
    <x v="9"/>
    <x v="3"/>
    <x v="58"/>
    <n v="86985"/>
    <x v="337"/>
    <d v="1993-06-29T00:00:00"/>
    <x v="2"/>
    <x v="7"/>
    <n v="5893"/>
    <x v="0"/>
    <s v="US Citizen"/>
    <s v="Other"/>
    <x v="136"/>
    <s v="2022-09-19"/>
    <x v="1"/>
    <x v="22"/>
    <n v="1"/>
    <x v="2"/>
    <n v="0"/>
    <x v="9"/>
    <n v="1"/>
    <s v="PIP"/>
    <n v="2.7"/>
    <s v="Very Dissatisfied"/>
    <n v="5"/>
    <d v="2025-07-10T00:00:00"/>
    <n v="3"/>
    <n v="7"/>
  </r>
  <r>
    <n v="10039"/>
    <s v=" Alexander Simmons"/>
    <x v="0"/>
    <x v="0"/>
    <x v="0"/>
    <x v="7"/>
    <x v="0"/>
    <x v="59"/>
    <n v="47674"/>
    <x v="338"/>
    <d v="1966-11-23T00:00:00"/>
    <x v="1"/>
    <x v="1"/>
    <n v="21756"/>
    <x v="0"/>
    <s v="US Citizen"/>
    <s v="White"/>
    <x v="137"/>
    <s v="Not Terminated"/>
    <x v="1"/>
    <x v="20"/>
    <n v="2"/>
    <x v="1"/>
    <n v="1"/>
    <x v="10"/>
    <n v="3"/>
    <s v="Exceeds Expectations"/>
    <n v="4"/>
    <s v="Very Dissatisfied"/>
    <n v="5"/>
    <d v="2025-03-31T00:00:00"/>
    <n v="5"/>
    <n v="10"/>
  </r>
  <r>
    <n v="10040"/>
    <s v=" Albert Rasmussen"/>
    <x v="0"/>
    <x v="2"/>
    <x v="0"/>
    <x v="4"/>
    <x v="34"/>
    <x v="60"/>
    <n v="69106"/>
    <x v="339"/>
    <d v="1980-11-30T00:00:00"/>
    <x v="2"/>
    <x v="0"/>
    <n v="3921"/>
    <x v="1"/>
    <s v="Non-Citizen"/>
    <s v="Other"/>
    <x v="138"/>
    <s v="Not Terminated"/>
    <x v="0"/>
    <x v="21"/>
    <n v="1"/>
    <x v="1"/>
    <n v="1"/>
    <x v="0"/>
    <n v="2"/>
    <s v="Exceeds Expectations"/>
    <n v="4"/>
    <s v="Dissatisfied"/>
    <n v="1"/>
    <d v="2025-05-06T00:00:00"/>
    <n v="1"/>
    <n v="7"/>
  </r>
  <r>
    <n v="10041"/>
    <s v=" Brian Alvarado"/>
    <x v="0"/>
    <x v="2"/>
    <x v="1"/>
    <x v="7"/>
    <x v="34"/>
    <x v="61"/>
    <n v="54424"/>
    <x v="340"/>
    <d v="1997-12-07T00:00:00"/>
    <x v="2"/>
    <x v="15"/>
    <n v="60341"/>
    <x v="1"/>
    <s v="Non-Citizen"/>
    <s v="Hispanic"/>
    <x v="139"/>
    <s v="Not Terminated"/>
    <x v="1"/>
    <x v="22"/>
    <n v="2"/>
    <x v="2"/>
    <n v="0"/>
    <x v="0"/>
    <n v="1"/>
    <s v="Exceeds Expectations"/>
    <n v="2.9"/>
    <s v="Very Satisfied"/>
    <n v="0"/>
    <d v="2025-01-15T00:00:00"/>
    <n v="2"/>
    <n v="3"/>
  </r>
  <r>
    <n v="10042"/>
    <s v=" Michael Preston"/>
    <x v="0"/>
    <x v="1"/>
    <x v="0"/>
    <x v="9"/>
    <x v="33"/>
    <x v="62"/>
    <n v="30243"/>
    <x v="341"/>
    <d v="1994-02-05T00:00:00"/>
    <x v="1"/>
    <x v="7"/>
    <n v="33115"/>
    <x v="0"/>
    <s v="US Citizen"/>
    <s v="Black"/>
    <x v="140"/>
    <s v="2021-08-05"/>
    <x v="1"/>
    <x v="21"/>
    <n v="3"/>
    <x v="2"/>
    <n v="0"/>
    <x v="1"/>
    <n v="3"/>
    <s v="Needs Improvement"/>
    <n v="4.0999999999999996"/>
    <s v="Neutral"/>
    <n v="0"/>
    <d v="2024-12-23T00:00:00"/>
    <n v="4"/>
    <n v="4"/>
  </r>
  <r>
    <n v="10043"/>
    <s v=" Alan Gonzalez"/>
    <x v="1"/>
    <x v="1"/>
    <x v="1"/>
    <x v="6"/>
    <x v="3"/>
    <x v="63"/>
    <n v="93989"/>
    <x v="342"/>
    <d v="1971-03-23T00:00:00"/>
    <x v="2"/>
    <x v="15"/>
    <n v="22848"/>
    <x v="1"/>
    <s v="Non-Citizen"/>
    <s v="Black"/>
    <x v="141"/>
    <s v="2022-03-25"/>
    <x v="0"/>
    <x v="21"/>
    <n v="3"/>
    <x v="1"/>
    <n v="1"/>
    <x v="10"/>
    <n v="4"/>
    <s v="Needs Improvement"/>
    <n v="4.5999999999999996"/>
    <s v="Neutral"/>
    <n v="2"/>
    <d v="2025-06-21T00:00:00"/>
    <n v="1"/>
    <n v="4"/>
  </r>
  <r>
    <n v="10044"/>
    <s v=" Erin Kennedy"/>
    <x v="0"/>
    <x v="1"/>
    <x v="1"/>
    <x v="8"/>
    <x v="0"/>
    <x v="64"/>
    <n v="67574"/>
    <x v="343"/>
    <d v="1987-07-20T00:00:00"/>
    <x v="1"/>
    <x v="1"/>
    <n v="44739"/>
    <x v="0"/>
    <s v="US Citizen"/>
    <s v="White"/>
    <x v="142"/>
    <s v="Not Terminated"/>
    <x v="1"/>
    <x v="18"/>
    <n v="2"/>
    <x v="2"/>
    <n v="1"/>
    <x v="0"/>
    <n v="3"/>
    <s v="Needs Improvement"/>
    <n v="3.7"/>
    <s v="Neutral"/>
    <n v="0"/>
    <d v="2025-04-08T00:00:00"/>
    <n v="1"/>
    <n v="9"/>
  </r>
  <r>
    <n v="10045"/>
    <s v=" Connor Hill"/>
    <x v="1"/>
    <x v="2"/>
    <x v="1"/>
    <x v="6"/>
    <x v="33"/>
    <x v="65"/>
    <n v="45748"/>
    <x v="344"/>
    <d v="1995-12-12T00:00:00"/>
    <x v="2"/>
    <x v="15"/>
    <n v="88985"/>
    <x v="0"/>
    <s v="US Citizen"/>
    <s v="Black"/>
    <x v="143"/>
    <s v="Not Terminated"/>
    <x v="1"/>
    <x v="21"/>
    <n v="3"/>
    <x v="1"/>
    <n v="0"/>
    <x v="10"/>
    <n v="3"/>
    <s v="Needs Improvement"/>
    <n v="3.9"/>
    <s v="Very Dissatisfied"/>
    <n v="1"/>
    <d v="2025-12-06T00:00:00"/>
    <n v="5"/>
    <n v="7"/>
  </r>
  <r>
    <n v="10046"/>
    <s v=" Nathan Anderson"/>
    <x v="0"/>
    <x v="1"/>
    <x v="1"/>
    <x v="9"/>
    <x v="3"/>
    <x v="66"/>
    <n v="48187"/>
    <x v="345"/>
    <d v="1997-11-03T00:00:00"/>
    <x v="1"/>
    <x v="7"/>
    <n v="95779"/>
    <x v="1"/>
    <s v="US Citizen"/>
    <s v="Other"/>
    <x v="144"/>
    <s v="Not Terminated"/>
    <x v="0"/>
    <x v="21"/>
    <n v="3"/>
    <x v="2"/>
    <n v="0"/>
    <x v="1"/>
    <n v="2"/>
    <s v="PIP"/>
    <n v="3.3"/>
    <s v="Dissatisfied"/>
    <n v="4"/>
    <d v="2024-12-24T00:00:00"/>
    <n v="0"/>
    <n v="6"/>
  </r>
  <r>
    <n v="10047"/>
    <s v=" Ashley Acevedo"/>
    <x v="0"/>
    <x v="2"/>
    <x v="0"/>
    <x v="8"/>
    <x v="0"/>
    <x v="67"/>
    <n v="101288"/>
    <x v="346"/>
    <d v="1996-11-12T00:00:00"/>
    <x v="2"/>
    <x v="18"/>
    <n v="6658"/>
    <x v="1"/>
    <s v="US Citizen"/>
    <s v="Other"/>
    <x v="145"/>
    <s v="Not Terminated"/>
    <x v="0"/>
    <x v="20"/>
    <n v="2"/>
    <x v="0"/>
    <n v="0"/>
    <x v="9"/>
    <n v="3"/>
    <s v="Fully Meets"/>
    <n v="2.8"/>
    <s v="Very Dissatisfied"/>
    <n v="5"/>
    <d v="2025-04-04T00:00:00"/>
    <n v="4"/>
    <n v="6"/>
  </r>
  <r>
    <n v="10048"/>
    <s v=" Keith Clements"/>
    <x v="1"/>
    <x v="0"/>
    <x v="0"/>
    <x v="10"/>
    <x v="32"/>
    <x v="68"/>
    <n v="33180"/>
    <x v="347"/>
    <d v="1983-05-29T00:00:00"/>
    <x v="1"/>
    <x v="0"/>
    <n v="23148"/>
    <x v="0"/>
    <s v="US Citizen"/>
    <s v="White"/>
    <x v="146"/>
    <s v="Not Terminated"/>
    <x v="0"/>
    <x v="21"/>
    <n v="2"/>
    <x v="2"/>
    <n v="0"/>
    <x v="9"/>
    <n v="2"/>
    <s v="Exceeds Expectations"/>
    <n v="3.4"/>
    <s v="Neutral"/>
    <n v="0"/>
    <d v="2025-06-26T00:00:00"/>
    <n v="4"/>
    <n v="1"/>
  </r>
  <r>
    <n v="10049"/>
    <s v=" Calvin Buck"/>
    <x v="0"/>
    <x v="1"/>
    <x v="1"/>
    <x v="8"/>
    <x v="0"/>
    <x v="69"/>
    <n v="87922"/>
    <x v="348"/>
    <d v="1965-10-30T00:00:00"/>
    <x v="1"/>
    <x v="18"/>
    <n v="73776"/>
    <x v="1"/>
    <s v="US Citizen"/>
    <s v="White"/>
    <x v="147"/>
    <s v="Not Terminated"/>
    <x v="0"/>
    <x v="20"/>
    <n v="2"/>
    <x v="2"/>
    <n v="1"/>
    <x v="7"/>
    <n v="4"/>
    <s v="Fully Meets"/>
    <n v="3.7"/>
    <s v="Dissatisfied"/>
    <n v="0"/>
    <d v="2024-07-11T00:00:00"/>
    <n v="2"/>
    <n v="7"/>
  </r>
  <r>
    <n v="10050"/>
    <s v=" Justin Cruz"/>
    <x v="0"/>
    <x v="1"/>
    <x v="0"/>
    <x v="6"/>
    <x v="34"/>
    <x v="70"/>
    <n v="85827"/>
    <x v="349"/>
    <d v="1981-06-27T00:00:00"/>
    <x v="2"/>
    <x v="18"/>
    <n v="48964"/>
    <x v="1"/>
    <s v="Non-Citizen"/>
    <s v="Other"/>
    <x v="148"/>
    <s v="Not Terminated"/>
    <x v="0"/>
    <x v="19"/>
    <n v="3"/>
    <x v="1"/>
    <n v="1"/>
    <x v="9"/>
    <n v="3"/>
    <s v="PIP"/>
    <n v="3.7"/>
    <s v="Neutral"/>
    <n v="1"/>
    <d v="2025-05-21T00:00:00"/>
    <n v="0"/>
    <n v="2"/>
  </r>
  <r>
    <n v="10051"/>
    <s v=" Anthony Baker"/>
    <x v="1"/>
    <x v="2"/>
    <x v="1"/>
    <x v="8"/>
    <x v="0"/>
    <x v="71"/>
    <n v="52452"/>
    <x v="350"/>
    <d v="1979-08-11T00:00:00"/>
    <x v="1"/>
    <x v="1"/>
    <n v="86522"/>
    <x v="0"/>
    <s v="Non-Citizen"/>
    <s v="Other"/>
    <x v="149"/>
    <s v="Not Terminated"/>
    <x v="0"/>
    <x v="21"/>
    <n v="3"/>
    <x v="1"/>
    <n v="0"/>
    <x v="0"/>
    <n v="4"/>
    <s v="Needs Improvement"/>
    <n v="2.6"/>
    <s v="Neutral"/>
    <n v="2"/>
    <d v="2024-08-11T00:00:00"/>
    <n v="4"/>
    <n v="8"/>
  </r>
  <r>
    <n v="10052"/>
    <s v=" Donna Baker"/>
    <x v="0"/>
    <x v="2"/>
    <x v="1"/>
    <x v="7"/>
    <x v="34"/>
    <x v="72"/>
    <n v="111720"/>
    <x v="351"/>
    <d v="1995-11-19T00:00:00"/>
    <x v="1"/>
    <x v="1"/>
    <n v="13753"/>
    <x v="1"/>
    <s v="Non-Citizen"/>
    <s v="White"/>
    <x v="150"/>
    <s v="Not Terminated"/>
    <x v="1"/>
    <x v="19"/>
    <n v="1"/>
    <x v="0"/>
    <n v="0"/>
    <x v="7"/>
    <n v="3"/>
    <s v="Fully Meets"/>
    <n v="4.4000000000000004"/>
    <s v="Very Dissatisfied"/>
    <n v="4"/>
    <d v="2025-08-28T00:00:00"/>
    <n v="2"/>
    <n v="9"/>
  </r>
  <r>
    <n v="10053"/>
    <s v=" Krystal Cook"/>
    <x v="1"/>
    <x v="2"/>
    <x v="1"/>
    <x v="8"/>
    <x v="33"/>
    <x v="73"/>
    <n v="66916"/>
    <x v="352"/>
    <d v="1974-05-24T00:00:00"/>
    <x v="1"/>
    <x v="1"/>
    <n v="6956"/>
    <x v="1"/>
    <s v="US Citizen"/>
    <s v="White"/>
    <x v="151"/>
    <s v="Not Terminated"/>
    <x v="0"/>
    <x v="19"/>
    <n v="2"/>
    <x v="0"/>
    <n v="0"/>
    <x v="1"/>
    <n v="1"/>
    <s v="PIP"/>
    <n v="2.6"/>
    <s v="Very Dissatisfied"/>
    <n v="4"/>
    <d v="2025-12-09T00:00:00"/>
    <n v="3"/>
    <n v="9"/>
  </r>
  <r>
    <n v="10054"/>
    <s v=" Lynn Harris"/>
    <x v="0"/>
    <x v="0"/>
    <x v="1"/>
    <x v="7"/>
    <x v="3"/>
    <x v="74"/>
    <n v="34095"/>
    <x v="353"/>
    <d v="1967-11-16T00:00:00"/>
    <x v="2"/>
    <x v="18"/>
    <n v="34062"/>
    <x v="0"/>
    <s v="Non-Citizen"/>
    <s v="White"/>
    <x v="152"/>
    <s v="Not Terminated"/>
    <x v="1"/>
    <x v="22"/>
    <n v="3"/>
    <x v="0"/>
    <n v="1"/>
    <x v="7"/>
    <n v="3"/>
    <s v="Fully Meets"/>
    <n v="3"/>
    <s v="Very Dissatisfied"/>
    <n v="3"/>
    <d v="2024-12-21T00:00:00"/>
    <n v="3"/>
    <n v="6"/>
  </r>
  <r>
    <n v="10055"/>
    <s v=" Stacy Franco"/>
    <x v="1"/>
    <x v="2"/>
    <x v="1"/>
    <x v="10"/>
    <x v="32"/>
    <x v="75"/>
    <n v="103821"/>
    <x v="354"/>
    <d v="1976-10-18T00:00:00"/>
    <x v="2"/>
    <x v="15"/>
    <n v="95984"/>
    <x v="1"/>
    <s v="US Citizen"/>
    <s v="Asian"/>
    <x v="153"/>
    <s v="Not Terminated"/>
    <x v="0"/>
    <x v="18"/>
    <n v="3"/>
    <x v="1"/>
    <n v="0"/>
    <x v="7"/>
    <n v="4"/>
    <s v="Exceeds Expectations"/>
    <n v="2.6"/>
    <s v="Dissatisfied"/>
    <n v="2"/>
    <d v="2025-02-15T00:00:00"/>
    <n v="1"/>
    <n v="1"/>
  </r>
  <r>
    <n v="10056"/>
    <s v=" Connor Williams"/>
    <x v="0"/>
    <x v="0"/>
    <x v="0"/>
    <x v="4"/>
    <x v="34"/>
    <x v="76"/>
    <n v="93092"/>
    <x v="355"/>
    <d v="1992-01-10T00:00:00"/>
    <x v="1"/>
    <x v="15"/>
    <n v="55699"/>
    <x v="1"/>
    <s v="Non-Citizen"/>
    <s v="Black"/>
    <x v="154"/>
    <s v="2024-07-13"/>
    <x v="0"/>
    <x v="18"/>
    <n v="2"/>
    <x v="1"/>
    <n v="1"/>
    <x v="10"/>
    <n v="2"/>
    <s v="Needs Improvement"/>
    <n v="5"/>
    <s v="Very Satisfied"/>
    <n v="3"/>
    <d v="2024-09-11T00:00:00"/>
    <n v="3"/>
    <n v="4"/>
  </r>
  <r>
    <n v="10057"/>
    <s v=" Felicia King"/>
    <x v="0"/>
    <x v="1"/>
    <x v="1"/>
    <x v="9"/>
    <x v="34"/>
    <x v="77"/>
    <n v="30862"/>
    <x v="356"/>
    <d v="1967-01-20T00:00:00"/>
    <x v="2"/>
    <x v="0"/>
    <n v="68579"/>
    <x v="0"/>
    <s v="US Citizen"/>
    <s v="Black"/>
    <x v="155"/>
    <s v="Not Terminated"/>
    <x v="1"/>
    <x v="20"/>
    <n v="3"/>
    <x v="0"/>
    <n v="0"/>
    <x v="7"/>
    <n v="2"/>
    <s v="Needs Improvement"/>
    <n v="4.0999999999999996"/>
    <s v="Very Satisfied"/>
    <n v="0"/>
    <d v="2024-11-12T00:00:00"/>
    <n v="2"/>
    <n v="2"/>
  </r>
  <r>
    <n v="10058"/>
    <s v=" William James"/>
    <x v="0"/>
    <x v="2"/>
    <x v="1"/>
    <x v="8"/>
    <x v="0"/>
    <x v="78"/>
    <n v="64873"/>
    <x v="357"/>
    <d v="1994-01-05T00:00:00"/>
    <x v="1"/>
    <x v="7"/>
    <n v="94156"/>
    <x v="0"/>
    <s v="US Citizen"/>
    <s v="Black"/>
    <x v="156"/>
    <s v="Not Terminated"/>
    <x v="1"/>
    <x v="19"/>
    <n v="3"/>
    <x v="2"/>
    <n v="0"/>
    <x v="0"/>
    <n v="2"/>
    <s v="Exceeds Expectations"/>
    <n v="3.8"/>
    <s v="Very Satisfied"/>
    <n v="2"/>
    <d v="2025-06-07T00:00:00"/>
    <n v="0"/>
    <n v="10"/>
  </r>
  <r>
    <n v="10059"/>
    <s v=" Diane Jones"/>
    <x v="0"/>
    <x v="2"/>
    <x v="0"/>
    <x v="4"/>
    <x v="3"/>
    <x v="79"/>
    <n v="43979"/>
    <x v="358"/>
    <d v="1966-03-29T00:00:00"/>
    <x v="2"/>
    <x v="1"/>
    <n v="55347"/>
    <x v="0"/>
    <s v="US Citizen"/>
    <s v="White"/>
    <x v="157"/>
    <s v="2022-11-10"/>
    <x v="1"/>
    <x v="19"/>
    <n v="3"/>
    <x v="0"/>
    <n v="0"/>
    <x v="10"/>
    <n v="2"/>
    <s v="Exceeds Expectations"/>
    <n v="4.7"/>
    <s v="Very Satisfied"/>
    <n v="3"/>
    <d v="2025-12-07T00:00:00"/>
    <n v="3"/>
    <n v="3"/>
  </r>
  <r>
    <n v="10060"/>
    <s v=" Rodney Richards"/>
    <x v="1"/>
    <x v="0"/>
    <x v="0"/>
    <x v="4"/>
    <x v="0"/>
    <x v="80"/>
    <n v="73539"/>
    <x v="359"/>
    <d v="1999-11-20T00:00:00"/>
    <x v="1"/>
    <x v="7"/>
    <n v="76192"/>
    <x v="0"/>
    <s v="US Citizen"/>
    <s v="Other"/>
    <x v="158"/>
    <s v="Not Terminated"/>
    <x v="1"/>
    <x v="22"/>
    <n v="2"/>
    <x v="1"/>
    <n v="1"/>
    <x v="7"/>
    <n v="2"/>
    <s v="Exceeds Expectations"/>
    <n v="2.9"/>
    <s v="Dissatisfied"/>
    <n v="1"/>
    <d v="2025-09-30T00:00:00"/>
    <n v="0"/>
    <n v="3"/>
  </r>
  <r>
    <n v="10061"/>
    <s v=" Robert Lewis"/>
    <x v="1"/>
    <x v="0"/>
    <x v="1"/>
    <x v="8"/>
    <x v="0"/>
    <x v="81"/>
    <n v="112900"/>
    <x v="360"/>
    <d v="1971-10-10T00:00:00"/>
    <x v="1"/>
    <x v="0"/>
    <n v="60927"/>
    <x v="1"/>
    <s v="US Citizen"/>
    <s v="Hispanic"/>
    <x v="159"/>
    <s v="Not Terminated"/>
    <x v="1"/>
    <x v="22"/>
    <n v="2"/>
    <x v="2"/>
    <n v="0"/>
    <x v="9"/>
    <n v="2"/>
    <s v="Needs Improvement"/>
    <n v="2.6"/>
    <s v="Very Satisfied"/>
    <n v="1"/>
    <d v="2025-01-09T00:00:00"/>
    <n v="2"/>
    <n v="4"/>
  </r>
  <r>
    <n v="10062"/>
    <s v=" Jacqueline Miller"/>
    <x v="0"/>
    <x v="0"/>
    <x v="1"/>
    <x v="7"/>
    <x v="0"/>
    <x v="82"/>
    <n v="119512"/>
    <x v="361"/>
    <d v="1969-03-18T00:00:00"/>
    <x v="2"/>
    <x v="1"/>
    <n v="15967"/>
    <x v="0"/>
    <s v="Non-Citizen"/>
    <s v="Other"/>
    <x v="160"/>
    <s v="2025-07-26"/>
    <x v="0"/>
    <x v="18"/>
    <n v="2"/>
    <x v="0"/>
    <n v="1"/>
    <x v="1"/>
    <n v="1"/>
    <s v="Needs Improvement"/>
    <n v="4.0999999999999996"/>
    <s v="Dissatisfied"/>
    <n v="4"/>
    <d v="2025-01-18T00:00:00"/>
    <n v="3"/>
    <n v="10"/>
  </r>
  <r>
    <n v="10063"/>
    <s v=" John Robles"/>
    <x v="0"/>
    <x v="0"/>
    <x v="0"/>
    <x v="8"/>
    <x v="32"/>
    <x v="83"/>
    <n v="31561"/>
    <x v="362"/>
    <d v="1982-11-27T00:00:00"/>
    <x v="1"/>
    <x v="18"/>
    <n v="96133"/>
    <x v="1"/>
    <s v="Non-Citizen"/>
    <s v="White"/>
    <x v="161"/>
    <s v="Not Terminated"/>
    <x v="1"/>
    <x v="20"/>
    <n v="3"/>
    <x v="1"/>
    <n v="1"/>
    <x v="1"/>
    <n v="3"/>
    <s v="Needs Improvement"/>
    <n v="4.3"/>
    <s v="Dissatisfied"/>
    <n v="2"/>
    <d v="2025-04-02T00:00:00"/>
    <n v="0"/>
    <n v="3"/>
  </r>
  <r>
    <n v="10064"/>
    <s v=" Tami Wilson"/>
    <x v="1"/>
    <x v="1"/>
    <x v="0"/>
    <x v="7"/>
    <x v="0"/>
    <x v="84"/>
    <n v="94156"/>
    <x v="363"/>
    <d v="1986-04-23T00:00:00"/>
    <x v="1"/>
    <x v="15"/>
    <n v="66304"/>
    <x v="1"/>
    <s v="Non-Citizen"/>
    <s v="Black"/>
    <x v="162"/>
    <s v="2022-09-20"/>
    <x v="0"/>
    <x v="18"/>
    <n v="3"/>
    <x v="2"/>
    <n v="1"/>
    <x v="9"/>
    <n v="3"/>
    <s v="Exceeds Expectations"/>
    <n v="2.8"/>
    <s v="Very Satisfied"/>
    <n v="1"/>
    <d v="2025-06-23T00:00:00"/>
    <n v="4"/>
    <n v="1"/>
  </r>
  <r>
    <n v="10065"/>
    <s v=" Mrs. Jaime Thomas"/>
    <x v="1"/>
    <x v="1"/>
    <x v="1"/>
    <x v="10"/>
    <x v="3"/>
    <x v="85"/>
    <n v="80849"/>
    <x v="364"/>
    <d v="1967-06-29T00:00:00"/>
    <x v="1"/>
    <x v="1"/>
    <n v="87796"/>
    <x v="0"/>
    <s v="US Citizen"/>
    <s v="Asian"/>
    <x v="163"/>
    <s v="Not Terminated"/>
    <x v="0"/>
    <x v="20"/>
    <n v="2"/>
    <x v="0"/>
    <n v="0"/>
    <x v="7"/>
    <n v="3"/>
    <s v="Needs Improvement"/>
    <n v="3.6"/>
    <s v="Neutral"/>
    <n v="4"/>
    <d v="2025-03-11T00:00:00"/>
    <n v="1"/>
    <n v="6"/>
  </r>
  <r>
    <n v="10066"/>
    <s v=" Sandra Jimenez"/>
    <x v="1"/>
    <x v="0"/>
    <x v="0"/>
    <x v="6"/>
    <x v="3"/>
    <x v="86"/>
    <n v="111169"/>
    <x v="365"/>
    <d v="1993-11-29T00:00:00"/>
    <x v="1"/>
    <x v="0"/>
    <n v="57603"/>
    <x v="0"/>
    <s v="US Citizen"/>
    <s v="Asian"/>
    <x v="164"/>
    <s v="2025-05-16"/>
    <x v="1"/>
    <x v="21"/>
    <n v="3"/>
    <x v="2"/>
    <n v="0"/>
    <x v="9"/>
    <n v="2"/>
    <s v="Fully Meets"/>
    <n v="3.8"/>
    <s v="Very Satisfied"/>
    <n v="2"/>
    <d v="2025-04-23T00:00:00"/>
    <n v="3"/>
    <n v="9"/>
  </r>
  <r>
    <n v="10067"/>
    <s v=" Susan Smith"/>
    <x v="1"/>
    <x v="1"/>
    <x v="0"/>
    <x v="7"/>
    <x v="33"/>
    <x v="87"/>
    <n v="84792"/>
    <x v="366"/>
    <d v="1988-12-05T00:00:00"/>
    <x v="2"/>
    <x v="7"/>
    <n v="85347"/>
    <x v="0"/>
    <s v="US Citizen"/>
    <s v="Hispanic"/>
    <x v="165"/>
    <s v="Not Terminated"/>
    <x v="1"/>
    <x v="21"/>
    <n v="3"/>
    <x v="1"/>
    <n v="1"/>
    <x v="1"/>
    <n v="4"/>
    <s v="Fully Meets"/>
    <n v="3.9"/>
    <s v="Dissatisfied"/>
    <n v="0"/>
    <d v="2025-03-16T00:00:00"/>
    <n v="4"/>
    <n v="0"/>
  </r>
  <r>
    <n v="10068"/>
    <s v=" Ryan Santos"/>
    <x v="0"/>
    <x v="2"/>
    <x v="1"/>
    <x v="9"/>
    <x v="3"/>
    <x v="88"/>
    <n v="78176"/>
    <x v="367"/>
    <d v="1971-08-04T00:00:00"/>
    <x v="1"/>
    <x v="0"/>
    <n v="53561"/>
    <x v="1"/>
    <s v="Non-Citizen"/>
    <s v="Asian"/>
    <x v="166"/>
    <s v="Not Terminated"/>
    <x v="1"/>
    <x v="20"/>
    <n v="3"/>
    <x v="1"/>
    <n v="1"/>
    <x v="1"/>
    <n v="4"/>
    <s v="Fully Meets"/>
    <n v="4.7"/>
    <s v="Very Satisfied"/>
    <n v="4"/>
    <d v="2025-10-26T00:00:00"/>
    <n v="3"/>
    <n v="4"/>
  </r>
  <r>
    <n v="10069"/>
    <s v=" Sandra Simon"/>
    <x v="0"/>
    <x v="1"/>
    <x v="0"/>
    <x v="6"/>
    <x v="3"/>
    <x v="89"/>
    <n v="111685"/>
    <x v="368"/>
    <d v="1985-01-03T00:00:00"/>
    <x v="1"/>
    <x v="0"/>
    <n v="85388"/>
    <x v="0"/>
    <s v="US Citizen"/>
    <s v="Black"/>
    <x v="167"/>
    <s v="Not Terminated"/>
    <x v="0"/>
    <x v="18"/>
    <n v="3"/>
    <x v="0"/>
    <n v="1"/>
    <x v="0"/>
    <n v="4"/>
    <s v="PIP"/>
    <n v="2.8"/>
    <s v="Dissatisfied"/>
    <n v="5"/>
    <d v="2024-12-13T00:00:00"/>
    <n v="2"/>
    <n v="4"/>
  </r>
  <r>
    <n v="10070"/>
    <s v=" Brittany Mcgee"/>
    <x v="0"/>
    <x v="2"/>
    <x v="1"/>
    <x v="6"/>
    <x v="0"/>
    <x v="90"/>
    <n v="94679"/>
    <x v="369"/>
    <d v="2003-10-10T00:00:00"/>
    <x v="2"/>
    <x v="7"/>
    <n v="1439"/>
    <x v="1"/>
    <s v="US Citizen"/>
    <s v="Black"/>
    <x v="168"/>
    <s v="Not Terminated"/>
    <x v="1"/>
    <x v="22"/>
    <n v="3"/>
    <x v="1"/>
    <n v="0"/>
    <x v="7"/>
    <n v="3"/>
    <s v="PIP"/>
    <n v="4.9000000000000004"/>
    <s v="Dissatisfied"/>
    <n v="5"/>
    <d v="2025-03-23T00:00:00"/>
    <n v="4"/>
    <n v="5"/>
  </r>
  <r>
    <n v="10071"/>
    <s v=" Christina Morgan"/>
    <x v="0"/>
    <x v="2"/>
    <x v="1"/>
    <x v="10"/>
    <x v="3"/>
    <x v="91"/>
    <n v="62417"/>
    <x v="370"/>
    <d v="2000-04-22T00:00:00"/>
    <x v="1"/>
    <x v="1"/>
    <n v="44083"/>
    <x v="1"/>
    <s v="US Citizen"/>
    <s v="Black"/>
    <x v="169"/>
    <s v="Not Terminated"/>
    <x v="0"/>
    <x v="19"/>
    <n v="2"/>
    <x v="0"/>
    <n v="0"/>
    <x v="1"/>
    <n v="1"/>
    <s v="Exceeds Expectations"/>
    <n v="3.2"/>
    <s v="Neutral"/>
    <n v="2"/>
    <d v="2025-06-25T00:00:00"/>
    <n v="5"/>
    <n v="8"/>
  </r>
  <r>
    <n v="10072"/>
    <s v=" Dana Richards"/>
    <x v="1"/>
    <x v="1"/>
    <x v="0"/>
    <x v="4"/>
    <x v="0"/>
    <x v="92"/>
    <n v="47818"/>
    <x v="371"/>
    <d v="1988-04-30T00:00:00"/>
    <x v="1"/>
    <x v="1"/>
    <n v="15996"/>
    <x v="1"/>
    <s v="Non-Citizen"/>
    <s v="Hispanic"/>
    <x v="170"/>
    <s v="2023-09-08"/>
    <x v="0"/>
    <x v="22"/>
    <n v="1"/>
    <x v="1"/>
    <n v="1"/>
    <x v="0"/>
    <n v="4"/>
    <s v="Needs Improvement"/>
    <n v="4"/>
    <s v="Neutral"/>
    <n v="1"/>
    <d v="2025-11-06T00:00:00"/>
    <n v="0"/>
    <n v="6"/>
  </r>
  <r>
    <n v="10073"/>
    <s v=" Karen Cooke"/>
    <x v="0"/>
    <x v="0"/>
    <x v="1"/>
    <x v="9"/>
    <x v="0"/>
    <x v="93"/>
    <n v="91567"/>
    <x v="372"/>
    <d v="1988-06-30T00:00:00"/>
    <x v="2"/>
    <x v="7"/>
    <n v="82464"/>
    <x v="1"/>
    <s v="US Citizen"/>
    <s v="White"/>
    <x v="171"/>
    <s v="Not Terminated"/>
    <x v="0"/>
    <x v="21"/>
    <n v="1"/>
    <x v="2"/>
    <n v="0"/>
    <x v="7"/>
    <n v="3"/>
    <s v="Fully Meets"/>
    <n v="3.8"/>
    <s v="Very Dissatisfied"/>
    <n v="4"/>
    <d v="2025-04-09T00:00:00"/>
    <n v="1"/>
    <n v="2"/>
  </r>
  <r>
    <n v="10074"/>
    <s v=" Lauren Hardy"/>
    <x v="0"/>
    <x v="1"/>
    <x v="1"/>
    <x v="10"/>
    <x v="3"/>
    <x v="94"/>
    <n v="36559"/>
    <x v="373"/>
    <d v="1969-04-17T00:00:00"/>
    <x v="2"/>
    <x v="18"/>
    <n v="12538"/>
    <x v="1"/>
    <s v="Non-Citizen"/>
    <s v="Black"/>
    <x v="172"/>
    <s v="Not Terminated"/>
    <x v="1"/>
    <x v="22"/>
    <n v="2"/>
    <x v="2"/>
    <n v="1"/>
    <x v="7"/>
    <n v="3"/>
    <s v="Exceeds Expectations"/>
    <n v="3.4"/>
    <s v="Neutral"/>
    <n v="2"/>
    <d v="2025-02-24T00:00:00"/>
    <n v="5"/>
    <n v="8"/>
  </r>
  <r>
    <n v="10075"/>
    <s v=" Desiree Jacobs"/>
    <x v="1"/>
    <x v="2"/>
    <x v="0"/>
    <x v="10"/>
    <x v="3"/>
    <x v="95"/>
    <n v="75993"/>
    <x v="374"/>
    <d v="1969-04-08T00:00:00"/>
    <x v="1"/>
    <x v="18"/>
    <n v="16466"/>
    <x v="1"/>
    <s v="US Citizen"/>
    <s v="Black"/>
    <x v="173"/>
    <s v="Not Terminated"/>
    <x v="0"/>
    <x v="18"/>
    <n v="2"/>
    <x v="0"/>
    <n v="0"/>
    <x v="1"/>
    <n v="4"/>
    <s v="Exceeds Expectations"/>
    <n v="4.2"/>
    <s v="Satisfied"/>
    <n v="0"/>
    <d v="2025-05-17T00:00:00"/>
    <n v="5"/>
    <n v="6"/>
  </r>
  <r>
    <n v="10076"/>
    <s v=" Susan Rivera"/>
    <x v="1"/>
    <x v="0"/>
    <x v="0"/>
    <x v="10"/>
    <x v="34"/>
    <x v="96"/>
    <n v="68909"/>
    <x v="375"/>
    <d v="1991-05-02T00:00:00"/>
    <x v="1"/>
    <x v="15"/>
    <n v="93989"/>
    <x v="0"/>
    <s v="Non-Citizen"/>
    <s v="White"/>
    <x v="174"/>
    <s v="Not Terminated"/>
    <x v="1"/>
    <x v="22"/>
    <n v="3"/>
    <x v="1"/>
    <n v="1"/>
    <x v="0"/>
    <n v="2"/>
    <s v="Fully Meets"/>
    <n v="3.8"/>
    <s v="Very Dissatisfied"/>
    <n v="1"/>
    <d v="2024-05-12T00:00:00"/>
    <n v="4"/>
    <n v="9"/>
  </r>
  <r>
    <n v="10077"/>
    <s v=" Kevin Orozco"/>
    <x v="0"/>
    <x v="0"/>
    <x v="0"/>
    <x v="8"/>
    <x v="0"/>
    <x v="97"/>
    <n v="63610"/>
    <x v="376"/>
    <d v="1997-06-01T00:00:00"/>
    <x v="2"/>
    <x v="1"/>
    <n v="32084"/>
    <x v="0"/>
    <s v="US Citizen"/>
    <s v="Other"/>
    <x v="175"/>
    <s v="Not Terminated"/>
    <x v="1"/>
    <x v="21"/>
    <n v="1"/>
    <x v="0"/>
    <n v="1"/>
    <x v="7"/>
    <n v="3"/>
    <s v="Exceeds Expectations"/>
    <n v="3.5"/>
    <s v="Very Dissatisfied"/>
    <n v="4"/>
    <d v="2024-11-24T00:00:00"/>
    <n v="5"/>
    <n v="6"/>
  </r>
  <r>
    <n v="10078"/>
    <s v=" Douglas Smith"/>
    <x v="0"/>
    <x v="2"/>
    <x v="1"/>
    <x v="8"/>
    <x v="34"/>
    <x v="98"/>
    <n v="75401"/>
    <x v="377"/>
    <d v="1985-02-22T00:00:00"/>
    <x v="2"/>
    <x v="1"/>
    <n v="30564"/>
    <x v="1"/>
    <s v="US Citizen"/>
    <s v="Asian"/>
    <x v="176"/>
    <s v="2022-05-04"/>
    <x v="1"/>
    <x v="21"/>
    <n v="3"/>
    <x v="1"/>
    <n v="1"/>
    <x v="10"/>
    <n v="2"/>
    <s v="PIP"/>
    <n v="4.4000000000000004"/>
    <s v="Satisfied"/>
    <n v="3"/>
    <d v="2025-03-03T00:00:00"/>
    <n v="2"/>
    <n v="1"/>
  </r>
  <r>
    <n v="10079"/>
    <s v=" Casey Mejia"/>
    <x v="1"/>
    <x v="1"/>
    <x v="0"/>
    <x v="4"/>
    <x v="34"/>
    <x v="99"/>
    <n v="51227"/>
    <x v="378"/>
    <d v="1997-11-01T00:00:00"/>
    <x v="1"/>
    <x v="7"/>
    <n v="2415"/>
    <x v="0"/>
    <s v="US Citizen"/>
    <s v="White"/>
    <x v="44"/>
    <s v="Not Terminated"/>
    <x v="1"/>
    <x v="21"/>
    <n v="1"/>
    <x v="2"/>
    <n v="1"/>
    <x v="10"/>
    <n v="2"/>
    <s v="Fully Meets"/>
    <n v="3.3"/>
    <s v="Very Satisfied"/>
    <n v="3"/>
    <d v="2025-10-16T00:00:00"/>
    <n v="2"/>
    <n v="7"/>
  </r>
  <r>
    <n v="10080"/>
    <s v=" Bradley Navarro"/>
    <x v="0"/>
    <x v="1"/>
    <x v="0"/>
    <x v="8"/>
    <x v="3"/>
    <x v="100"/>
    <n v="54732"/>
    <x v="379"/>
    <d v="2002-02-14T00:00:00"/>
    <x v="2"/>
    <x v="1"/>
    <n v="13867"/>
    <x v="0"/>
    <s v="Non-Citizen"/>
    <s v="Hispanic"/>
    <x v="177"/>
    <s v="Not Terminated"/>
    <x v="0"/>
    <x v="22"/>
    <n v="3"/>
    <x v="2"/>
    <n v="0"/>
    <x v="10"/>
    <n v="2"/>
    <s v="Needs Improvement"/>
    <n v="2.8"/>
    <s v="Satisfied"/>
    <n v="4"/>
    <d v="2025-09-01T00:00:00"/>
    <n v="5"/>
    <n v="1"/>
  </r>
  <r>
    <n v="10081"/>
    <s v=" Samuel Owens"/>
    <x v="0"/>
    <x v="1"/>
    <x v="1"/>
    <x v="7"/>
    <x v="0"/>
    <x v="101"/>
    <n v="70248"/>
    <x v="380"/>
    <d v="1979-08-31T00:00:00"/>
    <x v="2"/>
    <x v="15"/>
    <n v="30591"/>
    <x v="1"/>
    <s v="US Citizen"/>
    <s v="Hispanic"/>
    <x v="178"/>
    <s v="Not Terminated"/>
    <x v="0"/>
    <x v="18"/>
    <n v="2"/>
    <x v="0"/>
    <n v="1"/>
    <x v="7"/>
    <n v="1"/>
    <s v="PIP"/>
    <n v="4.7"/>
    <s v="Very Dissatisfied"/>
    <n v="0"/>
    <d v="2025-04-03T00:00:00"/>
    <n v="5"/>
    <n v="5"/>
  </r>
  <r>
    <n v="10082"/>
    <s v=" Ashley Soto"/>
    <x v="1"/>
    <x v="2"/>
    <x v="0"/>
    <x v="9"/>
    <x v="32"/>
    <x v="102"/>
    <n v="91850"/>
    <x v="381"/>
    <d v="1975-05-08T00:00:00"/>
    <x v="1"/>
    <x v="18"/>
    <n v="16495"/>
    <x v="0"/>
    <s v="US Citizen"/>
    <s v="Asian"/>
    <x v="179"/>
    <s v="Not Terminated"/>
    <x v="0"/>
    <x v="19"/>
    <n v="2"/>
    <x v="2"/>
    <n v="0"/>
    <x v="0"/>
    <n v="3"/>
    <s v="Needs Improvement"/>
    <n v="2.5"/>
    <s v="Dissatisfied"/>
    <n v="1"/>
    <d v="2025-07-24T00:00:00"/>
    <n v="1"/>
    <n v="9"/>
  </r>
  <r>
    <n v="10083"/>
    <s v=" Sean Allison"/>
    <x v="1"/>
    <x v="1"/>
    <x v="1"/>
    <x v="10"/>
    <x v="0"/>
    <x v="103"/>
    <n v="72600"/>
    <x v="382"/>
    <d v="1979-07-26T00:00:00"/>
    <x v="1"/>
    <x v="0"/>
    <n v="50684"/>
    <x v="1"/>
    <s v="US Citizen"/>
    <s v="Asian"/>
    <x v="180"/>
    <s v="Not Terminated"/>
    <x v="1"/>
    <x v="21"/>
    <n v="2"/>
    <x v="2"/>
    <n v="0"/>
    <x v="7"/>
    <n v="4"/>
    <s v="Exceeds Expectations"/>
    <n v="4"/>
    <s v="Very Satisfied"/>
    <n v="4"/>
    <d v="2024-06-11T00:00:00"/>
    <n v="4"/>
    <n v="0"/>
  </r>
  <r>
    <n v="10084"/>
    <s v=" Victor Fields"/>
    <x v="1"/>
    <x v="2"/>
    <x v="1"/>
    <x v="6"/>
    <x v="33"/>
    <x v="104"/>
    <n v="81439"/>
    <x v="383"/>
    <d v="1972-11-07T00:00:00"/>
    <x v="2"/>
    <x v="7"/>
    <n v="45386"/>
    <x v="1"/>
    <s v="Non-Citizen"/>
    <s v="Other"/>
    <x v="181"/>
    <s v="Not Terminated"/>
    <x v="0"/>
    <x v="20"/>
    <n v="1"/>
    <x v="0"/>
    <n v="0"/>
    <x v="0"/>
    <n v="4"/>
    <s v="Needs Improvement"/>
    <n v="4.5"/>
    <s v="Very Dissatisfied"/>
    <n v="0"/>
    <d v="2024-09-11T00:00:00"/>
    <n v="2"/>
    <n v="5"/>
  </r>
  <r>
    <n v="10085"/>
    <s v=" John Baker"/>
    <x v="0"/>
    <x v="1"/>
    <x v="0"/>
    <x v="8"/>
    <x v="33"/>
    <x v="105"/>
    <n v="51706"/>
    <x v="384"/>
    <d v="1987-07-05T00:00:00"/>
    <x v="2"/>
    <x v="0"/>
    <n v="60060"/>
    <x v="1"/>
    <s v="Non-Citizen"/>
    <s v="Black"/>
    <x v="182"/>
    <s v="Not Terminated"/>
    <x v="1"/>
    <x v="22"/>
    <n v="2"/>
    <x v="2"/>
    <n v="1"/>
    <x v="1"/>
    <n v="3"/>
    <s v="Exceeds Expectations"/>
    <n v="2.7"/>
    <s v="Very Dissatisfied"/>
    <n v="0"/>
    <d v="2025-06-02T00:00:00"/>
    <n v="1"/>
    <n v="6"/>
  </r>
  <r>
    <n v="10086"/>
    <s v=" Benjamin Mcmahon"/>
    <x v="1"/>
    <x v="0"/>
    <x v="0"/>
    <x v="6"/>
    <x v="32"/>
    <x v="106"/>
    <n v="116487"/>
    <x v="385"/>
    <d v="1984-10-07T00:00:00"/>
    <x v="1"/>
    <x v="1"/>
    <n v="47921"/>
    <x v="0"/>
    <s v="US Citizen"/>
    <s v="White"/>
    <x v="183"/>
    <s v="2025-09-23"/>
    <x v="0"/>
    <x v="22"/>
    <n v="2"/>
    <x v="1"/>
    <n v="1"/>
    <x v="10"/>
    <n v="1"/>
    <s v="Fully Meets"/>
    <n v="3.8"/>
    <s v="Satisfied"/>
    <n v="4"/>
    <d v="2024-07-11T00:00:00"/>
    <n v="2"/>
    <n v="2"/>
  </r>
  <r>
    <n v="10087"/>
    <s v=" Jo Baker"/>
    <x v="1"/>
    <x v="0"/>
    <x v="1"/>
    <x v="8"/>
    <x v="34"/>
    <x v="107"/>
    <n v="112553"/>
    <x v="386"/>
    <d v="1990-10-12T00:00:00"/>
    <x v="1"/>
    <x v="18"/>
    <n v="97149"/>
    <x v="0"/>
    <s v="Non-Citizen"/>
    <s v="Other"/>
    <x v="184"/>
    <s v="Not Terminated"/>
    <x v="1"/>
    <x v="19"/>
    <n v="3"/>
    <x v="1"/>
    <n v="1"/>
    <x v="0"/>
    <n v="2"/>
    <s v="PIP"/>
    <n v="3.1"/>
    <s v="Satisfied"/>
    <n v="2"/>
    <d v="2025-10-14T00:00:00"/>
    <n v="1"/>
    <n v="10"/>
  </r>
  <r>
    <n v="10088"/>
    <s v=" Melinda Mosley"/>
    <x v="0"/>
    <x v="2"/>
    <x v="1"/>
    <x v="4"/>
    <x v="33"/>
    <x v="108"/>
    <n v="63068"/>
    <x v="387"/>
    <d v="1999-09-25T00:00:00"/>
    <x v="2"/>
    <x v="1"/>
    <n v="38595"/>
    <x v="1"/>
    <s v="US Citizen"/>
    <s v="Black"/>
    <x v="185"/>
    <s v="2021-03-03"/>
    <x v="0"/>
    <x v="21"/>
    <n v="3"/>
    <x v="1"/>
    <n v="0"/>
    <x v="9"/>
    <n v="2"/>
    <s v="Fully Meets"/>
    <n v="2.8"/>
    <s v="Dissatisfied"/>
    <n v="3"/>
    <d v="2025-03-17T00:00:00"/>
    <n v="5"/>
    <n v="5"/>
  </r>
  <r>
    <n v="10089"/>
    <s v=" Mark Barron"/>
    <x v="0"/>
    <x v="2"/>
    <x v="0"/>
    <x v="8"/>
    <x v="32"/>
    <x v="109"/>
    <n v="47460"/>
    <x v="388"/>
    <d v="1987-02-21T00:00:00"/>
    <x v="2"/>
    <x v="1"/>
    <n v="60202"/>
    <x v="0"/>
    <s v="Non-Citizen"/>
    <s v="Hispanic"/>
    <x v="186"/>
    <s v="2022-06-13"/>
    <x v="0"/>
    <x v="18"/>
    <n v="1"/>
    <x v="1"/>
    <n v="1"/>
    <x v="0"/>
    <n v="2"/>
    <s v="Needs Improvement"/>
    <n v="3.9"/>
    <s v="Very Satisfied"/>
    <n v="3"/>
    <d v="2024-12-22T00:00:00"/>
    <n v="5"/>
    <n v="6"/>
  </r>
  <r>
    <n v="10090"/>
    <s v=" Douglas Sullivan"/>
    <x v="0"/>
    <x v="2"/>
    <x v="1"/>
    <x v="10"/>
    <x v="32"/>
    <x v="110"/>
    <n v="108281"/>
    <x v="389"/>
    <d v="1967-04-27T00:00:00"/>
    <x v="2"/>
    <x v="15"/>
    <n v="34287"/>
    <x v="0"/>
    <s v="US Citizen"/>
    <s v="Asian"/>
    <x v="187"/>
    <s v="Not Terminated"/>
    <x v="1"/>
    <x v="18"/>
    <n v="1"/>
    <x v="1"/>
    <n v="0"/>
    <x v="9"/>
    <n v="4"/>
    <s v="PIP"/>
    <n v="3.1"/>
    <s v="Satisfied"/>
    <n v="1"/>
    <d v="2025-01-29T00:00:00"/>
    <n v="5"/>
    <n v="4"/>
  </r>
  <r>
    <n v="10091"/>
    <s v=" Hunter Harding"/>
    <x v="1"/>
    <x v="1"/>
    <x v="0"/>
    <x v="10"/>
    <x v="32"/>
    <x v="111"/>
    <n v="112894"/>
    <x v="390"/>
    <d v="1991-03-07T00:00:00"/>
    <x v="2"/>
    <x v="15"/>
    <n v="4873"/>
    <x v="1"/>
    <s v="US Citizen"/>
    <s v="White"/>
    <x v="188"/>
    <s v="Not Terminated"/>
    <x v="1"/>
    <x v="18"/>
    <n v="2"/>
    <x v="1"/>
    <n v="1"/>
    <x v="7"/>
    <n v="4"/>
    <s v="PIP"/>
    <n v="3"/>
    <s v="Neutral"/>
    <n v="2"/>
    <d v="2025-02-05T00:00:00"/>
    <n v="3"/>
    <n v="9"/>
  </r>
  <r>
    <n v="10092"/>
    <s v=" Dana Henderson"/>
    <x v="0"/>
    <x v="0"/>
    <x v="1"/>
    <x v="8"/>
    <x v="34"/>
    <x v="112"/>
    <n v="82567"/>
    <x v="391"/>
    <d v="1983-10-02T00:00:00"/>
    <x v="1"/>
    <x v="18"/>
    <n v="85455"/>
    <x v="1"/>
    <s v="US Citizen"/>
    <s v="White"/>
    <x v="189"/>
    <s v="Not Terminated"/>
    <x v="1"/>
    <x v="19"/>
    <n v="3"/>
    <x v="2"/>
    <n v="1"/>
    <x v="0"/>
    <n v="1"/>
    <s v="Exceeds Expectations"/>
    <n v="3.8"/>
    <s v="Dissatisfied"/>
    <n v="1"/>
    <d v="2025-09-22T00:00:00"/>
    <n v="1"/>
    <n v="9"/>
  </r>
  <r>
    <n v="10093"/>
    <s v=" John Carpenter"/>
    <x v="0"/>
    <x v="0"/>
    <x v="1"/>
    <x v="9"/>
    <x v="3"/>
    <x v="113"/>
    <n v="95972"/>
    <x v="392"/>
    <d v="2003-07-15T00:00:00"/>
    <x v="1"/>
    <x v="0"/>
    <n v="45928"/>
    <x v="0"/>
    <s v="Non-Citizen"/>
    <s v="Hispanic"/>
    <x v="190"/>
    <s v="Not Terminated"/>
    <x v="0"/>
    <x v="19"/>
    <n v="1"/>
    <x v="2"/>
    <n v="0"/>
    <x v="9"/>
    <n v="2"/>
    <s v="Needs Improvement"/>
    <n v="3"/>
    <s v="Neutral"/>
    <n v="0"/>
    <d v="2025-05-02T00:00:00"/>
    <n v="1"/>
    <n v="8"/>
  </r>
  <r>
    <n v="10094"/>
    <s v=" Pamela Vaughan"/>
    <x v="1"/>
    <x v="1"/>
    <x v="0"/>
    <x v="10"/>
    <x v="32"/>
    <x v="114"/>
    <n v="114723"/>
    <x v="393"/>
    <d v="1981-09-13T00:00:00"/>
    <x v="2"/>
    <x v="18"/>
    <n v="82668"/>
    <x v="0"/>
    <s v="US Citizen"/>
    <s v="White"/>
    <x v="191"/>
    <s v="2021-11-13"/>
    <x v="1"/>
    <x v="20"/>
    <n v="1"/>
    <x v="0"/>
    <n v="1"/>
    <x v="9"/>
    <n v="1"/>
    <s v="Fully Meets"/>
    <n v="2.5"/>
    <s v="Very Dissatisfied"/>
    <n v="0"/>
    <d v="2025-01-03T00:00:00"/>
    <n v="3"/>
    <n v="0"/>
  </r>
  <r>
    <n v="10095"/>
    <s v=" Nicole Morgan"/>
    <x v="0"/>
    <x v="2"/>
    <x v="1"/>
    <x v="6"/>
    <x v="32"/>
    <x v="115"/>
    <n v="36768"/>
    <x v="394"/>
    <d v="1988-04-21T00:00:00"/>
    <x v="1"/>
    <x v="0"/>
    <n v="47676"/>
    <x v="0"/>
    <s v="US Citizen"/>
    <s v="Other"/>
    <x v="192"/>
    <s v="2023-11-16"/>
    <x v="1"/>
    <x v="18"/>
    <n v="2"/>
    <x v="1"/>
    <n v="0"/>
    <x v="1"/>
    <n v="1"/>
    <s v="Needs Improvement"/>
    <n v="3.9"/>
    <s v="Satisfied"/>
    <n v="0"/>
    <d v="2025-08-21T00:00:00"/>
    <n v="2"/>
    <n v="1"/>
  </r>
  <r>
    <n v="10096"/>
    <s v=" Jennifer Le"/>
    <x v="1"/>
    <x v="0"/>
    <x v="1"/>
    <x v="6"/>
    <x v="33"/>
    <x v="116"/>
    <n v="61006"/>
    <x v="395"/>
    <d v="1994-12-02T00:00:00"/>
    <x v="2"/>
    <x v="7"/>
    <n v="42921"/>
    <x v="0"/>
    <s v="Non-Citizen"/>
    <s v="Hispanic"/>
    <x v="193"/>
    <s v="2021-11-14"/>
    <x v="0"/>
    <x v="18"/>
    <n v="3"/>
    <x v="0"/>
    <n v="1"/>
    <x v="9"/>
    <n v="2"/>
    <s v="Fully Meets"/>
    <n v="3"/>
    <s v="Satisfied"/>
    <n v="5"/>
    <d v="2025-10-08T00:00:00"/>
    <n v="2"/>
    <n v="1"/>
  </r>
  <r>
    <n v="10097"/>
    <s v=" James Jimenez"/>
    <x v="0"/>
    <x v="2"/>
    <x v="1"/>
    <x v="7"/>
    <x v="33"/>
    <x v="117"/>
    <n v="115094"/>
    <x v="396"/>
    <d v="1996-02-23T00:00:00"/>
    <x v="1"/>
    <x v="15"/>
    <n v="64552"/>
    <x v="1"/>
    <s v="US Citizen"/>
    <s v="Other"/>
    <x v="194"/>
    <s v="Not Terminated"/>
    <x v="0"/>
    <x v="21"/>
    <n v="1"/>
    <x v="0"/>
    <n v="0"/>
    <x v="9"/>
    <n v="3"/>
    <s v="PIP"/>
    <n v="4.9000000000000004"/>
    <s v="Dissatisfied"/>
    <n v="2"/>
    <d v="2024-11-29T00:00:00"/>
    <n v="5"/>
    <n v="0"/>
  </r>
  <r>
    <n v="10098"/>
    <s v=" John Ward"/>
    <x v="1"/>
    <x v="1"/>
    <x v="0"/>
    <x v="4"/>
    <x v="0"/>
    <x v="118"/>
    <n v="90083"/>
    <x v="397"/>
    <d v="1971-08-17T00:00:00"/>
    <x v="2"/>
    <x v="18"/>
    <n v="93382"/>
    <x v="0"/>
    <s v="Non-Citizen"/>
    <s v="Hispanic"/>
    <x v="195"/>
    <s v="Not Terminated"/>
    <x v="1"/>
    <x v="19"/>
    <n v="3"/>
    <x v="1"/>
    <n v="1"/>
    <x v="7"/>
    <n v="1"/>
    <s v="Fully Meets"/>
    <n v="2.8"/>
    <s v="Satisfied"/>
    <n v="2"/>
    <d v="2025-07-17T00:00:00"/>
    <n v="1"/>
    <n v="10"/>
  </r>
  <r>
    <n v="10099"/>
    <s v=" Denise Cabrera"/>
    <x v="0"/>
    <x v="1"/>
    <x v="0"/>
    <x v="7"/>
    <x v="34"/>
    <x v="119"/>
    <n v="105586"/>
    <x v="398"/>
    <d v="1979-11-16T00:00:00"/>
    <x v="2"/>
    <x v="15"/>
    <n v="21838"/>
    <x v="0"/>
    <s v="US Citizen"/>
    <s v="Black"/>
    <x v="196"/>
    <s v="Not Terminated"/>
    <x v="1"/>
    <x v="21"/>
    <n v="1"/>
    <x v="2"/>
    <n v="1"/>
    <x v="7"/>
    <n v="2"/>
    <s v="Exceeds Expectations"/>
    <n v="4.7"/>
    <s v="Satisfied"/>
    <n v="5"/>
    <d v="2025-05-15T00:00:00"/>
    <n v="0"/>
    <n v="10"/>
  </r>
  <r>
    <n v="10100"/>
    <s v=" Brent Henderson"/>
    <x v="0"/>
    <x v="2"/>
    <x v="1"/>
    <x v="9"/>
    <x v="0"/>
    <x v="120"/>
    <n v="75305"/>
    <x v="399"/>
    <d v="1992-05-30T00:00:00"/>
    <x v="1"/>
    <x v="1"/>
    <n v="87079"/>
    <x v="1"/>
    <s v="US Citizen"/>
    <s v="Hispanic"/>
    <x v="197"/>
    <s v="Not Terminated"/>
    <x v="0"/>
    <x v="21"/>
    <n v="2"/>
    <x v="0"/>
    <n v="1"/>
    <x v="1"/>
    <n v="2"/>
    <s v="Fully Meets"/>
    <n v="2.7"/>
    <s v="Dissatisfied"/>
    <n v="1"/>
    <d v="2025-08-17T00:00:00"/>
    <n v="4"/>
    <n v="10"/>
  </r>
  <r>
    <n v="10101"/>
    <s v=" Dr. David Sampson"/>
    <x v="0"/>
    <x v="1"/>
    <x v="1"/>
    <x v="10"/>
    <x v="34"/>
    <x v="121"/>
    <n v="83910"/>
    <x v="400"/>
    <d v="1987-05-21T00:00:00"/>
    <x v="2"/>
    <x v="7"/>
    <n v="37762"/>
    <x v="1"/>
    <s v="US Citizen"/>
    <s v="Other"/>
    <x v="198"/>
    <s v="2022-01-31"/>
    <x v="0"/>
    <x v="18"/>
    <n v="3"/>
    <x v="1"/>
    <n v="0"/>
    <x v="9"/>
    <n v="4"/>
    <s v="Exceeds Expectations"/>
    <n v="5"/>
    <s v="Very Dissatisfied"/>
    <n v="1"/>
    <d v="2025-05-21T00:00:00"/>
    <n v="1"/>
    <n v="0"/>
  </r>
  <r>
    <n v="10102"/>
    <s v=" Benjamin Coleman MD"/>
    <x v="1"/>
    <x v="1"/>
    <x v="1"/>
    <x v="6"/>
    <x v="32"/>
    <x v="122"/>
    <n v="68347"/>
    <x v="401"/>
    <d v="1966-09-15T00:00:00"/>
    <x v="2"/>
    <x v="0"/>
    <n v="11153"/>
    <x v="1"/>
    <s v="US Citizen"/>
    <s v="Other"/>
    <x v="199"/>
    <s v="Not Terminated"/>
    <x v="1"/>
    <x v="21"/>
    <n v="1"/>
    <x v="0"/>
    <n v="0"/>
    <x v="7"/>
    <n v="2"/>
    <s v="Needs Improvement"/>
    <n v="3.2"/>
    <s v="Neutral"/>
    <n v="3"/>
    <d v="2025-08-03T00:00:00"/>
    <n v="1"/>
    <n v="1"/>
  </r>
  <r>
    <n v="10103"/>
    <s v=" Darren Lopez"/>
    <x v="1"/>
    <x v="0"/>
    <x v="0"/>
    <x v="9"/>
    <x v="3"/>
    <x v="123"/>
    <n v="117105"/>
    <x v="402"/>
    <d v="1987-02-04T00:00:00"/>
    <x v="1"/>
    <x v="1"/>
    <n v="72576"/>
    <x v="1"/>
    <s v="US Citizen"/>
    <s v="Asian"/>
    <x v="200"/>
    <s v="Not Terminated"/>
    <x v="0"/>
    <x v="18"/>
    <n v="2"/>
    <x v="1"/>
    <n v="0"/>
    <x v="10"/>
    <n v="3"/>
    <s v="Fully Meets"/>
    <n v="4.7"/>
    <s v="Very Dissatisfied"/>
    <n v="4"/>
    <d v="2025-08-18T00:00:00"/>
    <n v="3"/>
    <n v="10"/>
  </r>
  <r>
    <n v="10104"/>
    <s v=" Patricia Herrera"/>
    <x v="0"/>
    <x v="2"/>
    <x v="0"/>
    <x v="7"/>
    <x v="32"/>
    <x v="124"/>
    <n v="43331"/>
    <x v="403"/>
    <d v="1972-11-19T00:00:00"/>
    <x v="2"/>
    <x v="15"/>
    <n v="28055"/>
    <x v="0"/>
    <s v="Non-Citizen"/>
    <s v="Asian"/>
    <x v="201"/>
    <s v="2023-05-07"/>
    <x v="1"/>
    <x v="19"/>
    <n v="1"/>
    <x v="1"/>
    <n v="0"/>
    <x v="0"/>
    <n v="3"/>
    <s v="PIP"/>
    <n v="2.6"/>
    <s v="Dissatisfied"/>
    <n v="5"/>
    <d v="2025-10-18T00:00:00"/>
    <n v="0"/>
    <n v="2"/>
  </r>
  <r>
    <n v="10105"/>
    <s v=" Timothy Rodriguez"/>
    <x v="0"/>
    <x v="1"/>
    <x v="0"/>
    <x v="7"/>
    <x v="32"/>
    <x v="125"/>
    <n v="40992"/>
    <x v="404"/>
    <d v="1971-11-23T00:00:00"/>
    <x v="2"/>
    <x v="15"/>
    <n v="36236"/>
    <x v="0"/>
    <s v="Non-Citizen"/>
    <s v="Black"/>
    <x v="202"/>
    <s v="Not Terminated"/>
    <x v="1"/>
    <x v="22"/>
    <n v="1"/>
    <x v="1"/>
    <n v="1"/>
    <x v="1"/>
    <n v="1"/>
    <s v="PIP"/>
    <n v="2.8"/>
    <s v="Very Dissatisfied"/>
    <n v="5"/>
    <d v="2025-11-08T00:00:00"/>
    <n v="2"/>
    <n v="5"/>
  </r>
  <r>
    <n v="10106"/>
    <s v=" Brian Ross"/>
    <x v="0"/>
    <x v="2"/>
    <x v="1"/>
    <x v="10"/>
    <x v="34"/>
    <x v="126"/>
    <n v="111345"/>
    <x v="405"/>
    <d v="1984-01-28T00:00:00"/>
    <x v="2"/>
    <x v="18"/>
    <n v="7655"/>
    <x v="0"/>
    <s v="Non-Citizen"/>
    <s v="Hispanic"/>
    <x v="203"/>
    <s v="2025-03-18"/>
    <x v="1"/>
    <x v="20"/>
    <n v="3"/>
    <x v="1"/>
    <n v="1"/>
    <x v="0"/>
    <n v="1"/>
    <s v="Exceeds Expectations"/>
    <n v="4.5999999999999996"/>
    <s v="Neutral"/>
    <n v="4"/>
    <d v="2025-06-23T00:00:00"/>
    <n v="3"/>
    <n v="6"/>
  </r>
  <r>
    <n v="10107"/>
    <s v=" Paul Williams"/>
    <x v="0"/>
    <x v="1"/>
    <x v="0"/>
    <x v="10"/>
    <x v="34"/>
    <x v="127"/>
    <n v="63998"/>
    <x v="406"/>
    <d v="2001-09-02T00:00:00"/>
    <x v="2"/>
    <x v="15"/>
    <n v="51998"/>
    <x v="0"/>
    <s v="US Citizen"/>
    <s v="Hispanic"/>
    <x v="204"/>
    <s v="2021-01-20"/>
    <x v="1"/>
    <x v="18"/>
    <n v="1"/>
    <x v="2"/>
    <n v="1"/>
    <x v="9"/>
    <n v="3"/>
    <s v="Exceeds Expectations"/>
    <n v="4.4000000000000004"/>
    <s v="Very Dissatisfied"/>
    <n v="2"/>
    <d v="2025-10-29T00:00:00"/>
    <n v="2"/>
    <n v="8"/>
  </r>
  <r>
    <n v="10108"/>
    <s v=" Alexander Avila"/>
    <x v="1"/>
    <x v="1"/>
    <x v="0"/>
    <x v="8"/>
    <x v="0"/>
    <x v="128"/>
    <n v="94543"/>
    <x v="407"/>
    <d v="1968-01-23T00:00:00"/>
    <x v="2"/>
    <x v="18"/>
    <n v="49775"/>
    <x v="0"/>
    <s v="US Citizen"/>
    <s v="Asian"/>
    <x v="205"/>
    <s v="Not Terminated"/>
    <x v="1"/>
    <x v="18"/>
    <n v="3"/>
    <x v="0"/>
    <n v="0"/>
    <x v="1"/>
    <n v="1"/>
    <s v="Fully Meets"/>
    <n v="4.2"/>
    <s v="Very Dissatisfied"/>
    <n v="0"/>
    <d v="2025-03-19T00:00:00"/>
    <n v="0"/>
    <n v="5"/>
  </r>
  <r>
    <n v="10109"/>
    <s v=" Katherine Manning"/>
    <x v="1"/>
    <x v="2"/>
    <x v="0"/>
    <x v="7"/>
    <x v="3"/>
    <x v="129"/>
    <n v="48043"/>
    <x v="408"/>
    <d v="1990-07-08T00:00:00"/>
    <x v="2"/>
    <x v="18"/>
    <n v="1499"/>
    <x v="1"/>
    <s v="Non-Citizen"/>
    <s v="Asian"/>
    <x v="206"/>
    <s v="Not Terminated"/>
    <x v="0"/>
    <x v="18"/>
    <n v="3"/>
    <x v="1"/>
    <n v="1"/>
    <x v="10"/>
    <n v="1"/>
    <s v="Needs Improvement"/>
    <n v="4.9000000000000004"/>
    <s v="Very Satisfied"/>
    <n v="4"/>
    <d v="2025-07-03T00:00:00"/>
    <n v="1"/>
    <n v="2"/>
  </r>
  <r>
    <n v="10110"/>
    <s v=" Emily Robinson"/>
    <x v="0"/>
    <x v="0"/>
    <x v="0"/>
    <x v="4"/>
    <x v="32"/>
    <x v="130"/>
    <n v="78245"/>
    <x v="409"/>
    <d v="1993-08-18T00:00:00"/>
    <x v="2"/>
    <x v="15"/>
    <n v="8550"/>
    <x v="0"/>
    <s v="US Citizen"/>
    <s v="Asian"/>
    <x v="192"/>
    <s v="2021-10-31"/>
    <x v="1"/>
    <x v="20"/>
    <n v="3"/>
    <x v="2"/>
    <n v="0"/>
    <x v="10"/>
    <n v="2"/>
    <s v="Needs Improvement"/>
    <n v="4.0999999999999996"/>
    <s v="Satisfied"/>
    <n v="0"/>
    <d v="2025-08-24T00:00:00"/>
    <n v="2"/>
    <n v="2"/>
  </r>
  <r>
    <n v="10111"/>
    <s v=" Douglas White"/>
    <x v="0"/>
    <x v="0"/>
    <x v="1"/>
    <x v="9"/>
    <x v="3"/>
    <x v="131"/>
    <n v="78219"/>
    <x v="410"/>
    <d v="1991-11-27T00:00:00"/>
    <x v="2"/>
    <x v="15"/>
    <n v="1718"/>
    <x v="1"/>
    <s v="US Citizen"/>
    <s v="Other"/>
    <x v="207"/>
    <s v="Not Terminated"/>
    <x v="0"/>
    <x v="20"/>
    <n v="1"/>
    <x v="1"/>
    <n v="0"/>
    <x v="1"/>
    <n v="4"/>
    <s v="PIP"/>
    <n v="2.6"/>
    <s v="Very Dissatisfied"/>
    <n v="0"/>
    <d v="2025-07-26T00:00:00"/>
    <n v="5"/>
    <n v="7"/>
  </r>
  <r>
    <n v="10112"/>
    <s v=" Dawn Bell"/>
    <x v="1"/>
    <x v="2"/>
    <x v="0"/>
    <x v="9"/>
    <x v="0"/>
    <x v="132"/>
    <n v="98795"/>
    <x v="411"/>
    <d v="2002-03-13T00:00:00"/>
    <x v="2"/>
    <x v="15"/>
    <n v="43163"/>
    <x v="0"/>
    <s v="US Citizen"/>
    <s v="White"/>
    <x v="208"/>
    <s v="Not Terminated"/>
    <x v="1"/>
    <x v="21"/>
    <n v="1"/>
    <x v="1"/>
    <n v="0"/>
    <x v="7"/>
    <n v="2"/>
    <s v="PIP"/>
    <n v="4.7"/>
    <s v="Satisfied"/>
    <n v="1"/>
    <d v="2025-12-05T00:00:00"/>
    <n v="1"/>
    <n v="9"/>
  </r>
  <r>
    <n v="10113"/>
    <s v=" Marcus Foster"/>
    <x v="1"/>
    <x v="2"/>
    <x v="1"/>
    <x v="7"/>
    <x v="32"/>
    <x v="133"/>
    <n v="82672"/>
    <x v="412"/>
    <d v="1972-02-06T00:00:00"/>
    <x v="2"/>
    <x v="1"/>
    <n v="94286"/>
    <x v="1"/>
    <s v="Non-Citizen"/>
    <s v="Black"/>
    <x v="209"/>
    <s v="Not Terminated"/>
    <x v="1"/>
    <x v="22"/>
    <n v="1"/>
    <x v="1"/>
    <n v="1"/>
    <x v="9"/>
    <n v="2"/>
    <s v="Exceeds Expectations"/>
    <n v="3.4"/>
    <s v="Very Dissatisfied"/>
    <n v="0"/>
    <d v="2024-10-11T00:00:00"/>
    <n v="1"/>
    <n v="5"/>
  </r>
  <r>
    <n v="10114"/>
    <s v=" Jessica Ramirez"/>
    <x v="1"/>
    <x v="1"/>
    <x v="0"/>
    <x v="6"/>
    <x v="32"/>
    <x v="134"/>
    <n v="93988"/>
    <x v="413"/>
    <d v="1990-07-11T00:00:00"/>
    <x v="2"/>
    <x v="15"/>
    <n v="61428"/>
    <x v="0"/>
    <s v="Non-Citizen"/>
    <s v="Hispanic"/>
    <x v="210"/>
    <s v="2022-06-17"/>
    <x v="1"/>
    <x v="22"/>
    <n v="1"/>
    <x v="1"/>
    <n v="0"/>
    <x v="7"/>
    <n v="2"/>
    <s v="Fully Meets"/>
    <n v="3.9"/>
    <s v="Dissatisfied"/>
    <n v="5"/>
    <d v="2025-04-24T00:00:00"/>
    <n v="2"/>
    <n v="2"/>
  </r>
  <r>
    <n v="10115"/>
    <s v=" Michael Young"/>
    <x v="1"/>
    <x v="2"/>
    <x v="1"/>
    <x v="6"/>
    <x v="0"/>
    <x v="135"/>
    <n v="35287"/>
    <x v="414"/>
    <d v="1966-11-09T00:00:00"/>
    <x v="1"/>
    <x v="15"/>
    <n v="32826"/>
    <x v="0"/>
    <s v="US Citizen"/>
    <s v="Asian"/>
    <x v="211"/>
    <s v="Not Terminated"/>
    <x v="0"/>
    <x v="21"/>
    <n v="2"/>
    <x v="2"/>
    <n v="1"/>
    <x v="0"/>
    <n v="2"/>
    <s v="PIP"/>
    <n v="3.7"/>
    <s v="Satisfied"/>
    <n v="0"/>
    <d v="2025-05-13T00:00:00"/>
    <n v="2"/>
    <n v="8"/>
  </r>
  <r>
    <n v="10116"/>
    <s v=" Jessica Smith"/>
    <x v="1"/>
    <x v="2"/>
    <x v="1"/>
    <x v="10"/>
    <x v="33"/>
    <x v="136"/>
    <n v="107101"/>
    <x v="415"/>
    <d v="1973-05-05T00:00:00"/>
    <x v="1"/>
    <x v="15"/>
    <n v="38395"/>
    <x v="0"/>
    <s v="US Citizen"/>
    <s v="Asian"/>
    <x v="212"/>
    <s v="Not Terminated"/>
    <x v="0"/>
    <x v="20"/>
    <n v="1"/>
    <x v="1"/>
    <n v="0"/>
    <x v="9"/>
    <n v="3"/>
    <s v="PIP"/>
    <n v="3.1"/>
    <s v="Neutral"/>
    <n v="2"/>
    <d v="2024-11-21T00:00:00"/>
    <n v="5"/>
    <n v="10"/>
  </r>
  <r>
    <n v="10117"/>
    <s v=" Christopher Mendoza"/>
    <x v="0"/>
    <x v="0"/>
    <x v="1"/>
    <x v="6"/>
    <x v="33"/>
    <x v="137"/>
    <n v="97976"/>
    <x v="416"/>
    <d v="1976-07-07T00:00:00"/>
    <x v="2"/>
    <x v="7"/>
    <n v="36276"/>
    <x v="1"/>
    <s v="Non-Citizen"/>
    <s v="Hispanic"/>
    <x v="213"/>
    <s v="Not Terminated"/>
    <x v="1"/>
    <x v="22"/>
    <n v="1"/>
    <x v="1"/>
    <n v="0"/>
    <x v="0"/>
    <n v="3"/>
    <s v="Exceeds Expectations"/>
    <n v="2.9"/>
    <s v="Dissatisfied"/>
    <n v="2"/>
    <d v="2025-07-27T00:00:00"/>
    <n v="2"/>
    <n v="3"/>
  </r>
  <r>
    <n v="10118"/>
    <s v=" Tyler Harper"/>
    <x v="1"/>
    <x v="1"/>
    <x v="0"/>
    <x v="4"/>
    <x v="3"/>
    <x v="138"/>
    <n v="92441"/>
    <x v="417"/>
    <d v="1971-03-15T00:00:00"/>
    <x v="1"/>
    <x v="7"/>
    <n v="71695"/>
    <x v="1"/>
    <s v="US Citizen"/>
    <s v="Asian"/>
    <x v="214"/>
    <s v="2024-06-17"/>
    <x v="1"/>
    <x v="22"/>
    <n v="2"/>
    <x v="0"/>
    <n v="1"/>
    <x v="10"/>
    <n v="1"/>
    <s v="PIP"/>
    <n v="3.4"/>
    <s v="Very Satisfied"/>
    <n v="0"/>
    <d v="2025-11-01T00:00:00"/>
    <n v="4"/>
    <n v="7"/>
  </r>
  <r>
    <n v="10119"/>
    <s v=" Cynthia Simmons"/>
    <x v="1"/>
    <x v="0"/>
    <x v="0"/>
    <x v="10"/>
    <x v="34"/>
    <x v="139"/>
    <n v="32102"/>
    <x v="418"/>
    <d v="1978-06-03T00:00:00"/>
    <x v="1"/>
    <x v="18"/>
    <n v="50558"/>
    <x v="1"/>
    <s v="US Citizen"/>
    <s v="Other"/>
    <x v="215"/>
    <s v="Not Terminated"/>
    <x v="1"/>
    <x v="20"/>
    <n v="3"/>
    <x v="0"/>
    <n v="0"/>
    <x v="10"/>
    <n v="1"/>
    <s v="Exceeds Expectations"/>
    <n v="4"/>
    <s v="Very Dissatisfied"/>
    <n v="5"/>
    <d v="2024-01-12T00:00:00"/>
    <n v="0"/>
    <n v="9"/>
  </r>
  <r>
    <n v="10120"/>
    <s v=" Wendy Hayes"/>
    <x v="1"/>
    <x v="0"/>
    <x v="1"/>
    <x v="6"/>
    <x v="34"/>
    <x v="140"/>
    <n v="85322"/>
    <x v="419"/>
    <d v="1977-12-23T00:00:00"/>
    <x v="1"/>
    <x v="7"/>
    <n v="74796"/>
    <x v="0"/>
    <s v="US Citizen"/>
    <s v="Other"/>
    <x v="216"/>
    <s v="2023-11-16"/>
    <x v="1"/>
    <x v="20"/>
    <n v="1"/>
    <x v="0"/>
    <n v="1"/>
    <x v="7"/>
    <n v="4"/>
    <s v="PIP"/>
    <n v="4.5999999999999996"/>
    <s v="Neutral"/>
    <n v="0"/>
    <d v="2025-03-22T00:00:00"/>
    <n v="0"/>
    <n v="0"/>
  </r>
  <r>
    <n v="10121"/>
    <s v=" John Long"/>
    <x v="0"/>
    <x v="1"/>
    <x v="1"/>
    <x v="10"/>
    <x v="3"/>
    <x v="141"/>
    <n v="86729"/>
    <x v="420"/>
    <d v="1965-01-08T00:00:00"/>
    <x v="1"/>
    <x v="1"/>
    <n v="87992"/>
    <x v="1"/>
    <s v="US Citizen"/>
    <s v="White"/>
    <x v="217"/>
    <s v="Not Terminated"/>
    <x v="1"/>
    <x v="21"/>
    <n v="3"/>
    <x v="2"/>
    <n v="1"/>
    <x v="7"/>
    <n v="4"/>
    <s v="Fully Meets"/>
    <n v="4.5999999999999996"/>
    <s v="Neutral"/>
    <n v="2"/>
    <d v="2025-01-03T00:00:00"/>
    <n v="4"/>
    <n v="2"/>
  </r>
  <r>
    <n v="10122"/>
    <s v=" Kristina Owen"/>
    <x v="1"/>
    <x v="1"/>
    <x v="1"/>
    <x v="7"/>
    <x v="33"/>
    <x v="142"/>
    <n v="109096"/>
    <x v="421"/>
    <d v="1969-12-31T00:00:00"/>
    <x v="1"/>
    <x v="7"/>
    <n v="54980"/>
    <x v="0"/>
    <s v="Non-Citizen"/>
    <s v="White"/>
    <x v="218"/>
    <s v="2024-08-25"/>
    <x v="1"/>
    <x v="19"/>
    <n v="2"/>
    <x v="1"/>
    <n v="1"/>
    <x v="1"/>
    <n v="1"/>
    <s v="PIP"/>
    <n v="3.1"/>
    <s v="Neutral"/>
    <n v="3"/>
    <d v="2025-06-27T00:00:00"/>
    <n v="2"/>
    <n v="9"/>
  </r>
  <r>
    <n v="10123"/>
    <s v=" Thomas Smith"/>
    <x v="1"/>
    <x v="0"/>
    <x v="1"/>
    <x v="6"/>
    <x v="33"/>
    <x v="143"/>
    <n v="79023"/>
    <x v="422"/>
    <d v="1998-08-05T00:00:00"/>
    <x v="2"/>
    <x v="0"/>
    <n v="67503"/>
    <x v="1"/>
    <s v="Non-Citizen"/>
    <s v="Asian"/>
    <x v="219"/>
    <s v="2023-10-29"/>
    <x v="0"/>
    <x v="19"/>
    <n v="3"/>
    <x v="2"/>
    <n v="1"/>
    <x v="0"/>
    <n v="4"/>
    <s v="Exceeds Expectations"/>
    <n v="3.1"/>
    <s v="Satisfied"/>
    <n v="0"/>
    <d v="2025-09-13T00:00:00"/>
    <n v="4"/>
    <n v="6"/>
  </r>
  <r>
    <n v="10124"/>
    <s v=" Ashley Hayden"/>
    <x v="1"/>
    <x v="1"/>
    <x v="0"/>
    <x v="4"/>
    <x v="32"/>
    <x v="144"/>
    <n v="97550"/>
    <x v="423"/>
    <d v="1991-09-16T00:00:00"/>
    <x v="1"/>
    <x v="7"/>
    <n v="860"/>
    <x v="1"/>
    <s v="Non-Citizen"/>
    <s v="White"/>
    <x v="220"/>
    <s v="Not Terminated"/>
    <x v="1"/>
    <x v="20"/>
    <n v="3"/>
    <x v="0"/>
    <n v="1"/>
    <x v="10"/>
    <n v="3"/>
    <s v="Fully Meets"/>
    <n v="3.8"/>
    <s v="Satisfied"/>
    <n v="5"/>
    <d v="2024-12-30T00:00:00"/>
    <n v="4"/>
    <n v="8"/>
  </r>
  <r>
    <n v="10125"/>
    <s v=" Melissa Green"/>
    <x v="1"/>
    <x v="2"/>
    <x v="0"/>
    <x v="9"/>
    <x v="0"/>
    <x v="145"/>
    <n v="115257"/>
    <x v="424"/>
    <d v="1997-03-13T00:00:00"/>
    <x v="2"/>
    <x v="18"/>
    <n v="31374"/>
    <x v="0"/>
    <s v="Non-Citizen"/>
    <s v="Black"/>
    <x v="221"/>
    <s v="Not Terminated"/>
    <x v="1"/>
    <x v="22"/>
    <n v="2"/>
    <x v="1"/>
    <n v="0"/>
    <x v="7"/>
    <n v="1"/>
    <s v="Fully Meets"/>
    <n v="3.9"/>
    <s v="Dissatisfied"/>
    <n v="4"/>
    <d v="2025-05-17T00:00:00"/>
    <n v="2"/>
    <n v="10"/>
  </r>
  <r>
    <n v="10126"/>
    <s v=" Joseph Sandoval"/>
    <x v="1"/>
    <x v="1"/>
    <x v="1"/>
    <x v="9"/>
    <x v="34"/>
    <x v="146"/>
    <n v="75043"/>
    <x v="425"/>
    <d v="1998-05-04T00:00:00"/>
    <x v="1"/>
    <x v="15"/>
    <n v="67147"/>
    <x v="1"/>
    <s v="Non-Citizen"/>
    <s v="Asian"/>
    <x v="222"/>
    <s v="2022-03-03"/>
    <x v="1"/>
    <x v="19"/>
    <n v="1"/>
    <x v="0"/>
    <n v="1"/>
    <x v="0"/>
    <n v="4"/>
    <s v="PIP"/>
    <n v="3.7"/>
    <s v="Satisfied"/>
    <n v="2"/>
    <d v="2025-01-14T00:00:00"/>
    <n v="4"/>
    <n v="5"/>
  </r>
  <r>
    <n v="10127"/>
    <s v=" Patricia Mora"/>
    <x v="1"/>
    <x v="0"/>
    <x v="1"/>
    <x v="7"/>
    <x v="34"/>
    <x v="147"/>
    <n v="30752"/>
    <x v="426"/>
    <d v="1999-03-14T00:00:00"/>
    <x v="2"/>
    <x v="0"/>
    <n v="21520"/>
    <x v="0"/>
    <s v="Non-Citizen"/>
    <s v="White"/>
    <x v="223"/>
    <s v="Not Terminated"/>
    <x v="1"/>
    <x v="22"/>
    <n v="3"/>
    <x v="1"/>
    <n v="0"/>
    <x v="1"/>
    <n v="4"/>
    <s v="Needs Improvement"/>
    <n v="3.4"/>
    <s v="Neutral"/>
    <n v="0"/>
    <d v="2025-09-06T00:00:00"/>
    <n v="4"/>
    <n v="9"/>
  </r>
  <r>
    <n v="10128"/>
    <s v=" Justin Coleman"/>
    <x v="1"/>
    <x v="2"/>
    <x v="0"/>
    <x v="10"/>
    <x v="3"/>
    <x v="148"/>
    <n v="111191"/>
    <x v="427"/>
    <d v="1997-07-19T00:00:00"/>
    <x v="2"/>
    <x v="18"/>
    <n v="29373"/>
    <x v="0"/>
    <s v="Non-Citizen"/>
    <s v="Other"/>
    <x v="224"/>
    <s v="Not Terminated"/>
    <x v="1"/>
    <x v="19"/>
    <n v="3"/>
    <x v="1"/>
    <n v="0"/>
    <x v="0"/>
    <n v="1"/>
    <s v="Exceeds Expectations"/>
    <n v="4.0999999999999996"/>
    <s v="Satisfied"/>
    <n v="0"/>
    <d v="2024-12-17T00:00:00"/>
    <n v="0"/>
    <n v="5"/>
  </r>
  <r>
    <n v="10129"/>
    <s v=" Jake Sims"/>
    <x v="1"/>
    <x v="0"/>
    <x v="0"/>
    <x v="7"/>
    <x v="3"/>
    <x v="149"/>
    <n v="84492"/>
    <x v="428"/>
    <d v="1975-09-15T00:00:00"/>
    <x v="2"/>
    <x v="15"/>
    <n v="42443"/>
    <x v="0"/>
    <s v="Non-Citizen"/>
    <s v="White"/>
    <x v="225"/>
    <s v="2024-05-16"/>
    <x v="0"/>
    <x v="19"/>
    <n v="3"/>
    <x v="2"/>
    <n v="0"/>
    <x v="9"/>
    <n v="2"/>
    <s v="Needs Improvement"/>
    <n v="4.3"/>
    <s v="Satisfied"/>
    <n v="1"/>
    <d v="2025-08-20T00:00:00"/>
    <n v="4"/>
    <n v="3"/>
  </r>
  <r>
    <n v="10130"/>
    <s v=" Daniel Barker"/>
    <x v="0"/>
    <x v="1"/>
    <x v="0"/>
    <x v="4"/>
    <x v="32"/>
    <x v="150"/>
    <n v="116821"/>
    <x v="429"/>
    <d v="1994-08-18T00:00:00"/>
    <x v="2"/>
    <x v="15"/>
    <n v="89141"/>
    <x v="0"/>
    <s v="Non-Citizen"/>
    <s v="White"/>
    <x v="226"/>
    <s v="Not Terminated"/>
    <x v="0"/>
    <x v="18"/>
    <n v="3"/>
    <x v="2"/>
    <n v="1"/>
    <x v="0"/>
    <n v="3"/>
    <s v="PIP"/>
    <n v="3.5"/>
    <s v="Satisfied"/>
    <n v="4"/>
    <d v="2025-10-19T00:00:00"/>
    <n v="1"/>
    <n v="1"/>
  </r>
  <r>
    <n v="10131"/>
    <s v=" Daniel Garcia"/>
    <x v="1"/>
    <x v="1"/>
    <x v="0"/>
    <x v="8"/>
    <x v="33"/>
    <x v="151"/>
    <n v="44656"/>
    <x v="430"/>
    <d v="1989-09-25T00:00:00"/>
    <x v="1"/>
    <x v="0"/>
    <n v="65472"/>
    <x v="1"/>
    <s v="US Citizen"/>
    <s v="Black"/>
    <x v="227"/>
    <s v="Not Terminated"/>
    <x v="0"/>
    <x v="19"/>
    <n v="1"/>
    <x v="1"/>
    <n v="0"/>
    <x v="9"/>
    <n v="3"/>
    <s v="Fully Meets"/>
    <n v="3"/>
    <s v="Very Dissatisfied"/>
    <n v="5"/>
    <d v="2025-06-27T00:00:00"/>
    <n v="2"/>
    <n v="2"/>
  </r>
  <r>
    <n v="10132"/>
    <s v=" Beverly Kaiser"/>
    <x v="1"/>
    <x v="2"/>
    <x v="1"/>
    <x v="6"/>
    <x v="32"/>
    <x v="152"/>
    <n v="88939"/>
    <x v="431"/>
    <d v="1971-01-19T00:00:00"/>
    <x v="2"/>
    <x v="1"/>
    <n v="9338"/>
    <x v="0"/>
    <s v="US Citizen"/>
    <s v="White"/>
    <x v="228"/>
    <s v="Not Terminated"/>
    <x v="1"/>
    <x v="22"/>
    <n v="1"/>
    <x v="1"/>
    <n v="1"/>
    <x v="9"/>
    <n v="1"/>
    <s v="Exceeds Expectations"/>
    <n v="4.8"/>
    <s v="Dissatisfied"/>
    <n v="3"/>
    <d v="2025-01-27T00:00:00"/>
    <n v="0"/>
    <n v="5"/>
  </r>
  <r>
    <n v="10133"/>
    <s v=" Gordon Knox"/>
    <x v="1"/>
    <x v="0"/>
    <x v="0"/>
    <x v="7"/>
    <x v="0"/>
    <x v="153"/>
    <n v="102431"/>
    <x v="432"/>
    <d v="1976-12-22T00:00:00"/>
    <x v="2"/>
    <x v="0"/>
    <n v="11701"/>
    <x v="1"/>
    <s v="Non-Citizen"/>
    <s v="Other"/>
    <x v="229"/>
    <s v="Not Terminated"/>
    <x v="0"/>
    <x v="22"/>
    <n v="1"/>
    <x v="2"/>
    <n v="0"/>
    <x v="1"/>
    <n v="4"/>
    <s v="PIP"/>
    <n v="3.1"/>
    <s v="Satisfied"/>
    <n v="3"/>
    <d v="2025-03-01T00:00:00"/>
    <n v="3"/>
    <n v="4"/>
  </r>
  <r>
    <n v="10134"/>
    <s v=" Jessica Moore"/>
    <x v="1"/>
    <x v="0"/>
    <x v="0"/>
    <x v="7"/>
    <x v="33"/>
    <x v="154"/>
    <n v="59998"/>
    <x v="433"/>
    <d v="1971-11-19T00:00:00"/>
    <x v="1"/>
    <x v="15"/>
    <n v="66599"/>
    <x v="1"/>
    <s v="Non-Citizen"/>
    <s v="Other"/>
    <x v="230"/>
    <s v="Not Terminated"/>
    <x v="0"/>
    <x v="19"/>
    <n v="1"/>
    <x v="0"/>
    <n v="1"/>
    <x v="10"/>
    <n v="2"/>
    <s v="PIP"/>
    <n v="2.9"/>
    <s v="Satisfied"/>
    <n v="3"/>
    <d v="2024-03-12T00:00:00"/>
    <n v="5"/>
    <n v="1"/>
  </r>
  <r>
    <n v="10135"/>
    <s v=" Rebecca Cunningham"/>
    <x v="0"/>
    <x v="2"/>
    <x v="1"/>
    <x v="9"/>
    <x v="32"/>
    <x v="155"/>
    <n v="74099"/>
    <x v="434"/>
    <d v="1990-05-04T00:00:00"/>
    <x v="2"/>
    <x v="15"/>
    <n v="59464"/>
    <x v="0"/>
    <s v="US Citizen"/>
    <s v="Hispanic"/>
    <x v="109"/>
    <s v="2023-08-13"/>
    <x v="0"/>
    <x v="22"/>
    <n v="1"/>
    <x v="1"/>
    <n v="1"/>
    <x v="0"/>
    <n v="4"/>
    <s v="PIP"/>
    <n v="3.5"/>
    <s v="Neutral"/>
    <n v="3"/>
    <d v="2025-08-17T00:00:00"/>
    <n v="4"/>
    <n v="8"/>
  </r>
  <r>
    <n v="10136"/>
    <s v=" Jordan Steele"/>
    <x v="1"/>
    <x v="1"/>
    <x v="0"/>
    <x v="6"/>
    <x v="34"/>
    <x v="156"/>
    <n v="76480"/>
    <x v="435"/>
    <d v="2003-02-04T00:00:00"/>
    <x v="1"/>
    <x v="0"/>
    <n v="68934"/>
    <x v="1"/>
    <s v="Non-Citizen"/>
    <s v="Black"/>
    <x v="231"/>
    <s v="Not Terminated"/>
    <x v="1"/>
    <x v="18"/>
    <n v="2"/>
    <x v="1"/>
    <n v="0"/>
    <x v="7"/>
    <n v="3"/>
    <s v="Exceeds Expectations"/>
    <n v="3"/>
    <s v="Neutral"/>
    <n v="1"/>
    <d v="2025-06-22T00:00:00"/>
    <n v="1"/>
    <n v="1"/>
  </r>
  <r>
    <n v="10137"/>
    <s v=" Bobby Bowman"/>
    <x v="0"/>
    <x v="0"/>
    <x v="1"/>
    <x v="6"/>
    <x v="0"/>
    <x v="157"/>
    <n v="33082"/>
    <x v="436"/>
    <d v="1966-04-27T00:00:00"/>
    <x v="2"/>
    <x v="1"/>
    <n v="68434"/>
    <x v="0"/>
    <s v="US Citizen"/>
    <s v="Other"/>
    <x v="232"/>
    <s v="Not Terminated"/>
    <x v="1"/>
    <x v="21"/>
    <n v="1"/>
    <x v="1"/>
    <n v="1"/>
    <x v="10"/>
    <n v="4"/>
    <s v="Needs Improvement"/>
    <n v="4.5"/>
    <s v="Satisfied"/>
    <n v="4"/>
    <d v="2025-07-26T00:00:00"/>
    <n v="2"/>
    <n v="10"/>
  </r>
  <r>
    <n v="10138"/>
    <s v=" Samuel Johnson"/>
    <x v="0"/>
    <x v="0"/>
    <x v="0"/>
    <x v="8"/>
    <x v="32"/>
    <x v="158"/>
    <n v="68511"/>
    <x v="437"/>
    <d v="1983-06-15T00:00:00"/>
    <x v="2"/>
    <x v="15"/>
    <n v="13467"/>
    <x v="0"/>
    <s v="US Citizen"/>
    <s v="Black"/>
    <x v="233"/>
    <s v="Not Terminated"/>
    <x v="0"/>
    <x v="20"/>
    <n v="3"/>
    <x v="2"/>
    <n v="0"/>
    <x v="10"/>
    <n v="1"/>
    <s v="PIP"/>
    <n v="2.5"/>
    <s v="Very Satisfied"/>
    <n v="3"/>
    <d v="2025-05-31T00:00:00"/>
    <n v="0"/>
    <n v="8"/>
  </r>
  <r>
    <n v="10139"/>
    <s v=" Angela Bartlett"/>
    <x v="0"/>
    <x v="2"/>
    <x v="0"/>
    <x v="6"/>
    <x v="3"/>
    <x v="159"/>
    <n v="116414"/>
    <x v="438"/>
    <d v="1978-09-25T00:00:00"/>
    <x v="1"/>
    <x v="1"/>
    <n v="48468"/>
    <x v="0"/>
    <s v="US Citizen"/>
    <s v="Other"/>
    <x v="234"/>
    <s v="Not Terminated"/>
    <x v="0"/>
    <x v="19"/>
    <n v="1"/>
    <x v="2"/>
    <n v="0"/>
    <x v="10"/>
    <n v="2"/>
    <s v="Fully Meets"/>
    <n v="3.9"/>
    <s v="Dissatisfied"/>
    <n v="4"/>
    <d v="2025-04-20T00:00:00"/>
    <n v="1"/>
    <n v="0"/>
  </r>
  <r>
    <n v="10140"/>
    <s v=" James Brown"/>
    <x v="1"/>
    <x v="1"/>
    <x v="0"/>
    <x v="8"/>
    <x v="33"/>
    <x v="160"/>
    <n v="69895"/>
    <x v="439"/>
    <d v="1987-03-19T00:00:00"/>
    <x v="2"/>
    <x v="0"/>
    <n v="68614"/>
    <x v="1"/>
    <s v="Non-Citizen"/>
    <s v="Hispanic"/>
    <x v="235"/>
    <s v="Not Terminated"/>
    <x v="1"/>
    <x v="22"/>
    <n v="1"/>
    <x v="0"/>
    <n v="1"/>
    <x v="0"/>
    <n v="4"/>
    <s v="Fully Meets"/>
    <n v="4.5999999999999996"/>
    <s v="Neutral"/>
    <n v="0"/>
    <d v="2025-10-24T00:00:00"/>
    <n v="5"/>
    <n v="6"/>
  </r>
  <r>
    <n v="10141"/>
    <s v=" Timothy Fletcher"/>
    <x v="0"/>
    <x v="0"/>
    <x v="0"/>
    <x v="8"/>
    <x v="0"/>
    <x v="161"/>
    <n v="90038"/>
    <x v="440"/>
    <d v="1992-08-17T00:00:00"/>
    <x v="1"/>
    <x v="1"/>
    <n v="49266"/>
    <x v="1"/>
    <s v="US Citizen"/>
    <s v="Black"/>
    <x v="236"/>
    <s v="Not Terminated"/>
    <x v="1"/>
    <x v="22"/>
    <n v="2"/>
    <x v="1"/>
    <n v="1"/>
    <x v="9"/>
    <n v="2"/>
    <s v="PIP"/>
    <n v="4.7"/>
    <s v="Dissatisfied"/>
    <n v="5"/>
    <d v="2024-07-12T00:00:00"/>
    <n v="2"/>
    <n v="1"/>
  </r>
  <r>
    <n v="10142"/>
    <s v=" Luis Mcdaniel"/>
    <x v="1"/>
    <x v="1"/>
    <x v="1"/>
    <x v="7"/>
    <x v="33"/>
    <x v="162"/>
    <n v="74412"/>
    <x v="441"/>
    <d v="1997-10-29T00:00:00"/>
    <x v="2"/>
    <x v="7"/>
    <n v="20100"/>
    <x v="0"/>
    <s v="US Citizen"/>
    <s v="Hispanic"/>
    <x v="237"/>
    <s v="Not Terminated"/>
    <x v="1"/>
    <x v="20"/>
    <n v="3"/>
    <x v="2"/>
    <n v="0"/>
    <x v="0"/>
    <n v="1"/>
    <s v="Needs Improvement"/>
    <n v="3.5"/>
    <s v="Very Dissatisfied"/>
    <n v="5"/>
    <d v="2025-06-25T00:00:00"/>
    <n v="4"/>
    <n v="5"/>
  </r>
  <r>
    <n v="10143"/>
    <s v=" Taylor Rivera"/>
    <x v="0"/>
    <x v="0"/>
    <x v="0"/>
    <x v="7"/>
    <x v="32"/>
    <x v="163"/>
    <n v="65195"/>
    <x v="442"/>
    <d v="1974-01-11T00:00:00"/>
    <x v="2"/>
    <x v="7"/>
    <n v="66943"/>
    <x v="1"/>
    <s v="Non-Citizen"/>
    <s v="Other"/>
    <x v="238"/>
    <s v="2024-09-02"/>
    <x v="0"/>
    <x v="20"/>
    <n v="1"/>
    <x v="1"/>
    <n v="1"/>
    <x v="1"/>
    <n v="3"/>
    <s v="Needs Improvement"/>
    <n v="3.2"/>
    <s v="Very Satisfied"/>
    <n v="0"/>
    <d v="2025-02-25T00:00:00"/>
    <n v="0"/>
    <n v="1"/>
  </r>
  <r>
    <n v="10144"/>
    <s v=" Michelle Bailey"/>
    <x v="1"/>
    <x v="1"/>
    <x v="0"/>
    <x v="8"/>
    <x v="33"/>
    <x v="164"/>
    <n v="44181"/>
    <x v="443"/>
    <d v="1981-05-12T00:00:00"/>
    <x v="2"/>
    <x v="1"/>
    <n v="42364"/>
    <x v="1"/>
    <s v="Non-Citizen"/>
    <s v="Black"/>
    <x v="239"/>
    <s v="2021-09-19"/>
    <x v="0"/>
    <x v="18"/>
    <n v="1"/>
    <x v="0"/>
    <n v="1"/>
    <x v="0"/>
    <n v="3"/>
    <s v="Fully Meets"/>
    <n v="4.4000000000000004"/>
    <s v="Neutral"/>
    <n v="4"/>
    <d v="2024-11-22T00:00:00"/>
    <n v="2"/>
    <n v="1"/>
  </r>
  <r>
    <n v="10145"/>
    <s v=" Dana Reid"/>
    <x v="1"/>
    <x v="2"/>
    <x v="1"/>
    <x v="10"/>
    <x v="0"/>
    <x v="165"/>
    <n v="54677"/>
    <x v="444"/>
    <d v="1967-12-09T00:00:00"/>
    <x v="2"/>
    <x v="1"/>
    <n v="48081"/>
    <x v="1"/>
    <s v="Non-Citizen"/>
    <s v="Black"/>
    <x v="240"/>
    <s v="Not Terminated"/>
    <x v="0"/>
    <x v="20"/>
    <n v="1"/>
    <x v="0"/>
    <n v="0"/>
    <x v="9"/>
    <n v="1"/>
    <s v="Fully Meets"/>
    <n v="3"/>
    <s v="Satisfied"/>
    <n v="4"/>
    <d v="2025-03-04T00:00:00"/>
    <n v="1"/>
    <n v="3"/>
  </r>
  <r>
    <n v="10146"/>
    <s v=" Yvonne Bass"/>
    <x v="1"/>
    <x v="1"/>
    <x v="1"/>
    <x v="6"/>
    <x v="33"/>
    <x v="166"/>
    <n v="102338"/>
    <x v="445"/>
    <d v="1965-01-11T00:00:00"/>
    <x v="2"/>
    <x v="1"/>
    <n v="21320"/>
    <x v="1"/>
    <s v="US Citizen"/>
    <s v="Other"/>
    <x v="241"/>
    <s v="2025-08-25"/>
    <x v="1"/>
    <x v="18"/>
    <n v="3"/>
    <x v="2"/>
    <n v="1"/>
    <x v="7"/>
    <n v="3"/>
    <s v="Needs Improvement"/>
    <n v="4.9000000000000004"/>
    <s v="Satisfied"/>
    <n v="1"/>
    <d v="2025-03-06T00:00:00"/>
    <n v="5"/>
    <n v="7"/>
  </r>
  <r>
    <n v="10147"/>
    <s v=" Matthew Oneill"/>
    <x v="0"/>
    <x v="0"/>
    <x v="0"/>
    <x v="4"/>
    <x v="0"/>
    <x v="167"/>
    <n v="33864"/>
    <x v="446"/>
    <d v="1999-05-06T00:00:00"/>
    <x v="1"/>
    <x v="0"/>
    <n v="59006"/>
    <x v="1"/>
    <s v="US Citizen"/>
    <s v="Asian"/>
    <x v="242"/>
    <s v="Not Terminated"/>
    <x v="0"/>
    <x v="22"/>
    <n v="1"/>
    <x v="1"/>
    <n v="1"/>
    <x v="7"/>
    <n v="2"/>
    <s v="Exceeds Expectations"/>
    <n v="4.2"/>
    <s v="Neutral"/>
    <n v="0"/>
    <d v="2025-06-07T00:00:00"/>
    <n v="3"/>
    <n v="9"/>
  </r>
  <r>
    <n v="10148"/>
    <s v=" Cynthia Contreras"/>
    <x v="0"/>
    <x v="0"/>
    <x v="1"/>
    <x v="8"/>
    <x v="33"/>
    <x v="168"/>
    <n v="109636"/>
    <x v="447"/>
    <d v="1972-05-16T00:00:00"/>
    <x v="1"/>
    <x v="7"/>
    <n v="16870"/>
    <x v="0"/>
    <s v="US Citizen"/>
    <s v="White"/>
    <x v="243"/>
    <s v="2021-01-17"/>
    <x v="1"/>
    <x v="19"/>
    <n v="2"/>
    <x v="1"/>
    <n v="0"/>
    <x v="1"/>
    <n v="1"/>
    <s v="Exceeds Expectations"/>
    <n v="4.0999999999999996"/>
    <s v="Satisfied"/>
    <n v="5"/>
    <d v="2024-11-28T00:00:00"/>
    <n v="0"/>
    <n v="9"/>
  </r>
  <r>
    <n v="10149"/>
    <s v=" Robert Mcmahon"/>
    <x v="0"/>
    <x v="1"/>
    <x v="1"/>
    <x v="4"/>
    <x v="34"/>
    <x v="169"/>
    <n v="58129"/>
    <x v="448"/>
    <d v="1996-09-14T00:00:00"/>
    <x v="2"/>
    <x v="1"/>
    <n v="72694"/>
    <x v="1"/>
    <s v="US Citizen"/>
    <s v="Other"/>
    <x v="244"/>
    <s v="Not Terminated"/>
    <x v="1"/>
    <x v="18"/>
    <n v="1"/>
    <x v="2"/>
    <n v="1"/>
    <x v="0"/>
    <n v="2"/>
    <s v="Exceeds Expectations"/>
    <n v="4.8"/>
    <s v="Satisfied"/>
    <n v="5"/>
    <d v="2025-09-23T00:00:00"/>
    <n v="4"/>
    <n v="5"/>
  </r>
  <r>
    <n v="10150"/>
    <s v=" Barbara Rivera"/>
    <x v="0"/>
    <x v="2"/>
    <x v="0"/>
    <x v="9"/>
    <x v="3"/>
    <x v="170"/>
    <n v="45658"/>
    <x v="449"/>
    <d v="2000-05-03T00:00:00"/>
    <x v="1"/>
    <x v="1"/>
    <n v="74875"/>
    <x v="1"/>
    <s v="US Citizen"/>
    <s v="Asian"/>
    <x v="245"/>
    <s v="Not Terminated"/>
    <x v="0"/>
    <x v="18"/>
    <n v="3"/>
    <x v="2"/>
    <n v="0"/>
    <x v="9"/>
    <n v="1"/>
    <s v="Fully Meets"/>
    <n v="4.5999999999999996"/>
    <s v="Dissatisfied"/>
    <n v="0"/>
    <d v="2025-01-24T00:00:00"/>
    <n v="5"/>
    <n v="10"/>
  </r>
  <r>
    <n v="10151"/>
    <s v=" Denise Moore"/>
    <x v="0"/>
    <x v="2"/>
    <x v="0"/>
    <x v="10"/>
    <x v="3"/>
    <x v="171"/>
    <n v="69364"/>
    <x v="450"/>
    <d v="1983-03-24T00:00:00"/>
    <x v="2"/>
    <x v="0"/>
    <n v="18414"/>
    <x v="0"/>
    <s v="Non-Citizen"/>
    <s v="Black"/>
    <x v="246"/>
    <s v="2023-12-19"/>
    <x v="0"/>
    <x v="18"/>
    <n v="1"/>
    <x v="0"/>
    <n v="0"/>
    <x v="1"/>
    <n v="3"/>
    <s v="PIP"/>
    <n v="3"/>
    <s v="Very Satisfied"/>
    <n v="3"/>
    <d v="2025-10-31T00:00:00"/>
    <n v="1"/>
    <n v="7"/>
  </r>
  <r>
    <n v="10152"/>
    <s v=" Annette Werner"/>
    <x v="0"/>
    <x v="2"/>
    <x v="1"/>
    <x v="8"/>
    <x v="33"/>
    <x v="172"/>
    <n v="45509"/>
    <x v="451"/>
    <d v="1991-06-26T00:00:00"/>
    <x v="1"/>
    <x v="7"/>
    <n v="28297"/>
    <x v="0"/>
    <s v="US Citizen"/>
    <s v="Asian"/>
    <x v="247"/>
    <s v="Not Terminated"/>
    <x v="0"/>
    <x v="19"/>
    <n v="2"/>
    <x v="0"/>
    <n v="0"/>
    <x v="1"/>
    <n v="2"/>
    <s v="Needs Improvement"/>
    <n v="4.2"/>
    <s v="Very Dissatisfied"/>
    <n v="4"/>
    <d v="2025-02-05T00:00:00"/>
    <n v="2"/>
    <n v="0"/>
  </r>
  <r>
    <n v="10153"/>
    <s v=" John Lopez"/>
    <x v="0"/>
    <x v="1"/>
    <x v="0"/>
    <x v="4"/>
    <x v="32"/>
    <x v="173"/>
    <n v="119509"/>
    <x v="452"/>
    <d v="2003-04-27T00:00:00"/>
    <x v="1"/>
    <x v="15"/>
    <n v="70605"/>
    <x v="0"/>
    <s v="US Citizen"/>
    <s v="White"/>
    <x v="248"/>
    <s v="2024-05-15"/>
    <x v="0"/>
    <x v="18"/>
    <n v="1"/>
    <x v="1"/>
    <n v="0"/>
    <x v="9"/>
    <n v="4"/>
    <s v="Exceeds Expectations"/>
    <n v="3.7"/>
    <s v="Satisfied"/>
    <n v="3"/>
    <d v="2025-08-22T00:00:00"/>
    <n v="4"/>
    <n v="6"/>
  </r>
  <r>
    <n v="10154"/>
    <s v=" Teresa Mooney"/>
    <x v="0"/>
    <x v="1"/>
    <x v="1"/>
    <x v="4"/>
    <x v="3"/>
    <x v="174"/>
    <n v="116025"/>
    <x v="453"/>
    <d v="1972-08-08T00:00:00"/>
    <x v="2"/>
    <x v="0"/>
    <n v="79215"/>
    <x v="1"/>
    <s v="US Citizen"/>
    <s v="Black"/>
    <x v="249"/>
    <s v="2023-04-04"/>
    <x v="0"/>
    <x v="22"/>
    <n v="3"/>
    <x v="0"/>
    <n v="1"/>
    <x v="9"/>
    <n v="4"/>
    <s v="PIP"/>
    <n v="3.9"/>
    <s v="Satisfied"/>
    <n v="5"/>
    <d v="2025-03-14T00:00:00"/>
    <n v="2"/>
    <n v="5"/>
  </r>
  <r>
    <n v="10155"/>
    <s v=" Dennis Lewis"/>
    <x v="0"/>
    <x v="0"/>
    <x v="0"/>
    <x v="6"/>
    <x v="3"/>
    <x v="175"/>
    <n v="63007"/>
    <x v="454"/>
    <d v="1995-08-14T00:00:00"/>
    <x v="1"/>
    <x v="1"/>
    <n v="68549"/>
    <x v="0"/>
    <s v="Non-Citizen"/>
    <s v="Hispanic"/>
    <x v="250"/>
    <s v="2021-11-13"/>
    <x v="1"/>
    <x v="22"/>
    <n v="1"/>
    <x v="0"/>
    <n v="1"/>
    <x v="10"/>
    <n v="1"/>
    <s v="PIP"/>
    <n v="4"/>
    <s v="Very Satisfied"/>
    <n v="3"/>
    <d v="2025-02-27T00:00:00"/>
    <n v="3"/>
    <n v="2"/>
  </r>
  <r>
    <n v="10156"/>
    <s v=" Christopher Barton"/>
    <x v="0"/>
    <x v="2"/>
    <x v="0"/>
    <x v="4"/>
    <x v="33"/>
    <x v="176"/>
    <n v="70250"/>
    <x v="455"/>
    <d v="1968-07-05T00:00:00"/>
    <x v="1"/>
    <x v="15"/>
    <n v="79234"/>
    <x v="0"/>
    <s v="US Citizen"/>
    <s v="Asian"/>
    <x v="251"/>
    <s v="Not Terminated"/>
    <x v="1"/>
    <x v="20"/>
    <n v="1"/>
    <x v="2"/>
    <n v="0"/>
    <x v="0"/>
    <n v="1"/>
    <s v="Fully Meets"/>
    <n v="3.1"/>
    <s v="Neutral"/>
    <n v="5"/>
    <d v="2025-07-07T00:00:00"/>
    <n v="4"/>
    <n v="8"/>
  </r>
  <r>
    <n v="10157"/>
    <s v=" Anthony Cummings"/>
    <x v="1"/>
    <x v="1"/>
    <x v="1"/>
    <x v="9"/>
    <x v="3"/>
    <x v="177"/>
    <n v="68434"/>
    <x v="456"/>
    <d v="1995-06-18T00:00:00"/>
    <x v="2"/>
    <x v="7"/>
    <n v="85879"/>
    <x v="0"/>
    <s v="Non-Citizen"/>
    <s v="Black"/>
    <x v="252"/>
    <s v="Not Terminated"/>
    <x v="0"/>
    <x v="20"/>
    <n v="2"/>
    <x v="0"/>
    <n v="1"/>
    <x v="10"/>
    <n v="4"/>
    <s v="Exceeds Expectations"/>
    <n v="4.5999999999999996"/>
    <s v="Very Satisfied"/>
    <n v="4"/>
    <d v="2025-04-10T00:00:00"/>
    <n v="4"/>
    <n v="0"/>
  </r>
  <r>
    <n v="10158"/>
    <s v=" Charles Hall"/>
    <x v="0"/>
    <x v="1"/>
    <x v="1"/>
    <x v="6"/>
    <x v="0"/>
    <x v="178"/>
    <n v="101193"/>
    <x v="457"/>
    <d v="1992-09-13T00:00:00"/>
    <x v="1"/>
    <x v="1"/>
    <n v="92463"/>
    <x v="0"/>
    <s v="US Citizen"/>
    <s v="Black"/>
    <x v="253"/>
    <s v="Not Terminated"/>
    <x v="0"/>
    <x v="19"/>
    <n v="1"/>
    <x v="0"/>
    <n v="0"/>
    <x v="1"/>
    <n v="1"/>
    <s v="Exceeds Expectations"/>
    <n v="4.4000000000000004"/>
    <s v="Very Satisfied"/>
    <n v="1"/>
    <d v="2025-09-28T00:00:00"/>
    <n v="0"/>
    <n v="5"/>
  </r>
  <r>
    <n v="10159"/>
    <s v=" Cynthia Le"/>
    <x v="1"/>
    <x v="2"/>
    <x v="1"/>
    <x v="10"/>
    <x v="32"/>
    <x v="179"/>
    <n v="113122"/>
    <x v="458"/>
    <d v="1965-03-07T00:00:00"/>
    <x v="1"/>
    <x v="7"/>
    <n v="16774"/>
    <x v="0"/>
    <s v="Non-Citizen"/>
    <s v="Hispanic"/>
    <x v="211"/>
    <s v="Not Terminated"/>
    <x v="1"/>
    <x v="20"/>
    <n v="3"/>
    <x v="0"/>
    <n v="0"/>
    <x v="0"/>
    <n v="2"/>
    <s v="Fully Meets"/>
    <n v="3.6"/>
    <s v="Very Dissatisfied"/>
    <n v="4"/>
    <d v="2025-02-07T00:00:00"/>
    <n v="0"/>
    <n v="7"/>
  </r>
  <r>
    <n v="10160"/>
    <s v=" Spencer Mercado"/>
    <x v="1"/>
    <x v="1"/>
    <x v="1"/>
    <x v="8"/>
    <x v="32"/>
    <x v="180"/>
    <n v="118925"/>
    <x v="459"/>
    <d v="1987-02-16T00:00:00"/>
    <x v="1"/>
    <x v="7"/>
    <n v="44129"/>
    <x v="1"/>
    <s v="Non-Citizen"/>
    <s v="White"/>
    <x v="122"/>
    <s v="Not Terminated"/>
    <x v="1"/>
    <x v="19"/>
    <n v="3"/>
    <x v="0"/>
    <n v="1"/>
    <x v="9"/>
    <n v="2"/>
    <s v="Fully Meets"/>
    <n v="4.4000000000000004"/>
    <s v="Very Satisfied"/>
    <n v="5"/>
    <d v="2025-06-15T00:00:00"/>
    <n v="5"/>
    <n v="3"/>
  </r>
  <r>
    <n v="10161"/>
    <s v=" Michael Cooper"/>
    <x v="1"/>
    <x v="1"/>
    <x v="0"/>
    <x v="8"/>
    <x v="0"/>
    <x v="181"/>
    <n v="92429"/>
    <x v="460"/>
    <d v="1967-03-23T00:00:00"/>
    <x v="2"/>
    <x v="0"/>
    <n v="5502"/>
    <x v="0"/>
    <s v="Non-Citizen"/>
    <s v="White"/>
    <x v="254"/>
    <s v="Not Terminated"/>
    <x v="0"/>
    <x v="22"/>
    <n v="3"/>
    <x v="1"/>
    <n v="0"/>
    <x v="9"/>
    <n v="4"/>
    <s v="Fully Meets"/>
    <n v="4.7"/>
    <s v="Dissatisfied"/>
    <n v="1"/>
    <d v="2024-09-12T00:00:00"/>
    <n v="1"/>
    <n v="10"/>
  </r>
  <r>
    <n v="10162"/>
    <s v=" Amanda Meadows"/>
    <x v="0"/>
    <x v="2"/>
    <x v="0"/>
    <x v="4"/>
    <x v="0"/>
    <x v="182"/>
    <n v="85388"/>
    <x v="461"/>
    <d v="2000-12-31T00:00:00"/>
    <x v="1"/>
    <x v="0"/>
    <n v="41184"/>
    <x v="1"/>
    <s v="Non-Citizen"/>
    <s v="Black"/>
    <x v="255"/>
    <s v="2025-09-16"/>
    <x v="1"/>
    <x v="22"/>
    <n v="1"/>
    <x v="0"/>
    <n v="0"/>
    <x v="1"/>
    <n v="2"/>
    <s v="PIP"/>
    <n v="2.9"/>
    <s v="Very Satisfied"/>
    <n v="2"/>
    <d v="2025-01-01T00:00:00"/>
    <n v="0"/>
    <n v="2"/>
  </r>
  <r>
    <n v="10163"/>
    <s v=" Thomas Garcia"/>
    <x v="1"/>
    <x v="2"/>
    <x v="0"/>
    <x v="9"/>
    <x v="32"/>
    <x v="183"/>
    <n v="30246"/>
    <x v="462"/>
    <d v="1974-03-06T00:00:00"/>
    <x v="1"/>
    <x v="18"/>
    <n v="83414"/>
    <x v="0"/>
    <s v="US Citizen"/>
    <s v="Other"/>
    <x v="256"/>
    <s v="Not Terminated"/>
    <x v="0"/>
    <x v="20"/>
    <n v="3"/>
    <x v="1"/>
    <n v="0"/>
    <x v="10"/>
    <n v="3"/>
    <s v="PIP"/>
    <n v="4.7"/>
    <s v="Dissatisfied"/>
    <n v="5"/>
    <d v="2024-04-12T00:00:00"/>
    <n v="3"/>
    <n v="0"/>
  </r>
  <r>
    <n v="10164"/>
    <s v=" Ryan Snyder"/>
    <x v="0"/>
    <x v="0"/>
    <x v="0"/>
    <x v="6"/>
    <x v="33"/>
    <x v="184"/>
    <n v="101344"/>
    <x v="463"/>
    <d v="1990-02-11T00:00:00"/>
    <x v="1"/>
    <x v="1"/>
    <n v="67450"/>
    <x v="1"/>
    <s v="Non-Citizen"/>
    <s v="Hispanic"/>
    <x v="257"/>
    <s v="Not Terminated"/>
    <x v="0"/>
    <x v="18"/>
    <n v="3"/>
    <x v="2"/>
    <n v="1"/>
    <x v="1"/>
    <n v="2"/>
    <s v="Exceeds Expectations"/>
    <n v="4"/>
    <s v="Dissatisfied"/>
    <n v="2"/>
    <d v="2025-01-22T00:00:00"/>
    <n v="2"/>
    <n v="6"/>
  </r>
  <r>
    <n v="10165"/>
    <s v=" Angela Hayes"/>
    <x v="1"/>
    <x v="2"/>
    <x v="0"/>
    <x v="10"/>
    <x v="3"/>
    <x v="185"/>
    <n v="63358"/>
    <x v="464"/>
    <d v="1998-08-14T00:00:00"/>
    <x v="2"/>
    <x v="7"/>
    <n v="41020"/>
    <x v="0"/>
    <s v="Non-Citizen"/>
    <s v="Other"/>
    <x v="258"/>
    <s v="2023-08-27"/>
    <x v="1"/>
    <x v="19"/>
    <n v="3"/>
    <x v="0"/>
    <n v="1"/>
    <x v="10"/>
    <n v="4"/>
    <s v="Exceeds Expectations"/>
    <n v="4.5999999999999996"/>
    <s v="Very Dissatisfied"/>
    <n v="3"/>
    <d v="2025-02-02T00:00:00"/>
    <n v="2"/>
    <n v="5"/>
  </r>
  <r>
    <n v="10166"/>
    <s v=" Regina Downs"/>
    <x v="1"/>
    <x v="0"/>
    <x v="1"/>
    <x v="8"/>
    <x v="33"/>
    <x v="186"/>
    <n v="30008"/>
    <x v="465"/>
    <d v="1998-11-11T00:00:00"/>
    <x v="1"/>
    <x v="0"/>
    <n v="31989"/>
    <x v="1"/>
    <s v="Non-Citizen"/>
    <s v="Asian"/>
    <x v="259"/>
    <s v="Not Terminated"/>
    <x v="0"/>
    <x v="21"/>
    <n v="3"/>
    <x v="0"/>
    <n v="0"/>
    <x v="10"/>
    <n v="4"/>
    <s v="PIP"/>
    <n v="3.9"/>
    <s v="Dissatisfied"/>
    <n v="2"/>
    <d v="2025-01-17T00:00:00"/>
    <n v="2"/>
    <n v="5"/>
  </r>
  <r>
    <n v="10167"/>
    <s v=" Jared Moore"/>
    <x v="1"/>
    <x v="1"/>
    <x v="0"/>
    <x v="6"/>
    <x v="0"/>
    <x v="187"/>
    <n v="62904"/>
    <x v="466"/>
    <d v="1993-03-02T00:00:00"/>
    <x v="2"/>
    <x v="1"/>
    <n v="9573"/>
    <x v="0"/>
    <s v="US Citizen"/>
    <s v="Black"/>
    <x v="260"/>
    <s v="2021-08-27"/>
    <x v="0"/>
    <x v="21"/>
    <n v="2"/>
    <x v="0"/>
    <n v="1"/>
    <x v="7"/>
    <n v="1"/>
    <s v="Exceeds Expectations"/>
    <n v="2.5"/>
    <s v="Dissatisfied"/>
    <n v="1"/>
    <d v="2025-05-06T00:00:00"/>
    <n v="3"/>
    <n v="3"/>
  </r>
  <r>
    <n v="10168"/>
    <s v=" Steven Valdez"/>
    <x v="0"/>
    <x v="2"/>
    <x v="1"/>
    <x v="6"/>
    <x v="32"/>
    <x v="188"/>
    <n v="79629"/>
    <x v="467"/>
    <d v="1972-06-23T00:00:00"/>
    <x v="1"/>
    <x v="15"/>
    <n v="21402"/>
    <x v="0"/>
    <s v="Non-Citizen"/>
    <s v="Asian"/>
    <x v="261"/>
    <s v="2023-07-19"/>
    <x v="0"/>
    <x v="19"/>
    <n v="2"/>
    <x v="1"/>
    <n v="1"/>
    <x v="1"/>
    <n v="4"/>
    <s v="Exceeds Expectations"/>
    <n v="3.8"/>
    <s v="Satisfied"/>
    <n v="0"/>
    <d v="2025-09-24T00:00:00"/>
    <n v="0"/>
    <n v="6"/>
  </r>
  <r>
    <n v="10169"/>
    <s v=" Andrea Daniels"/>
    <x v="0"/>
    <x v="2"/>
    <x v="0"/>
    <x v="9"/>
    <x v="34"/>
    <x v="189"/>
    <n v="111746"/>
    <x v="468"/>
    <d v="1967-10-03T00:00:00"/>
    <x v="2"/>
    <x v="0"/>
    <n v="50846"/>
    <x v="0"/>
    <s v="US Citizen"/>
    <s v="Hispanic"/>
    <x v="262"/>
    <s v="Not Terminated"/>
    <x v="0"/>
    <x v="18"/>
    <n v="2"/>
    <x v="1"/>
    <n v="0"/>
    <x v="9"/>
    <n v="4"/>
    <s v="Exceeds Expectations"/>
    <n v="4"/>
    <s v="Dissatisfied"/>
    <n v="3"/>
    <d v="2025-09-05T00:00:00"/>
    <n v="5"/>
    <n v="3"/>
  </r>
  <r>
    <n v="10170"/>
    <s v=" Amanda Wright"/>
    <x v="1"/>
    <x v="0"/>
    <x v="1"/>
    <x v="4"/>
    <x v="33"/>
    <x v="190"/>
    <n v="99569"/>
    <x v="469"/>
    <d v="1986-07-10T00:00:00"/>
    <x v="1"/>
    <x v="0"/>
    <n v="49151"/>
    <x v="1"/>
    <s v="Non-Citizen"/>
    <s v="Black"/>
    <x v="190"/>
    <s v="Not Terminated"/>
    <x v="0"/>
    <x v="20"/>
    <n v="3"/>
    <x v="2"/>
    <n v="1"/>
    <x v="10"/>
    <n v="2"/>
    <s v="PIP"/>
    <n v="3.4"/>
    <s v="Dissatisfied"/>
    <n v="4"/>
    <d v="2025-04-26T00:00:00"/>
    <n v="0"/>
    <n v="3"/>
  </r>
  <r>
    <n v="10171"/>
    <s v=" Daniel Donovan DDS"/>
    <x v="0"/>
    <x v="0"/>
    <x v="0"/>
    <x v="6"/>
    <x v="3"/>
    <x v="191"/>
    <n v="43124"/>
    <x v="470"/>
    <d v="1973-05-23T00:00:00"/>
    <x v="1"/>
    <x v="0"/>
    <n v="64058"/>
    <x v="1"/>
    <s v="Non-Citizen"/>
    <s v="White"/>
    <x v="263"/>
    <s v="Not Terminated"/>
    <x v="0"/>
    <x v="22"/>
    <n v="3"/>
    <x v="0"/>
    <n v="0"/>
    <x v="10"/>
    <n v="1"/>
    <s v="PIP"/>
    <n v="2.9"/>
    <s v="Dissatisfied"/>
    <n v="1"/>
    <d v="2025-02-04T00:00:00"/>
    <n v="0"/>
    <n v="1"/>
  </r>
  <r>
    <n v="10172"/>
    <s v=" Debra Ward"/>
    <x v="1"/>
    <x v="2"/>
    <x v="0"/>
    <x v="10"/>
    <x v="34"/>
    <x v="192"/>
    <n v="44074"/>
    <x v="471"/>
    <d v="2003-10-18T00:00:00"/>
    <x v="2"/>
    <x v="1"/>
    <n v="78296"/>
    <x v="1"/>
    <s v="Non-Citizen"/>
    <s v="White"/>
    <x v="264"/>
    <s v="Not Terminated"/>
    <x v="1"/>
    <x v="19"/>
    <n v="3"/>
    <x v="1"/>
    <n v="1"/>
    <x v="7"/>
    <n v="3"/>
    <s v="Exceeds Expectations"/>
    <n v="3"/>
    <s v="Very Satisfied"/>
    <n v="2"/>
    <d v="2025-03-15T00:00:00"/>
    <n v="3"/>
    <n v="4"/>
  </r>
  <r>
    <n v="10173"/>
    <s v=" Casey Weiss"/>
    <x v="1"/>
    <x v="2"/>
    <x v="0"/>
    <x v="4"/>
    <x v="3"/>
    <x v="193"/>
    <n v="44236"/>
    <x v="472"/>
    <d v="1978-09-16T00:00:00"/>
    <x v="2"/>
    <x v="15"/>
    <n v="74354"/>
    <x v="1"/>
    <s v="Non-Citizen"/>
    <s v="Asian"/>
    <x v="265"/>
    <s v="Not Terminated"/>
    <x v="0"/>
    <x v="18"/>
    <n v="2"/>
    <x v="0"/>
    <n v="0"/>
    <x v="9"/>
    <n v="2"/>
    <s v="Exceeds Expectations"/>
    <n v="4.2"/>
    <s v="Dissatisfied"/>
    <n v="5"/>
    <d v="2025-03-28T00:00:00"/>
    <n v="2"/>
    <n v="0"/>
  </r>
  <r>
    <n v="10174"/>
    <s v=" Lisa King MD"/>
    <x v="0"/>
    <x v="0"/>
    <x v="1"/>
    <x v="10"/>
    <x v="33"/>
    <x v="194"/>
    <n v="32575"/>
    <x v="473"/>
    <d v="1990-07-24T00:00:00"/>
    <x v="1"/>
    <x v="1"/>
    <n v="25539"/>
    <x v="1"/>
    <s v="Non-Citizen"/>
    <s v="White"/>
    <x v="266"/>
    <s v="Not Terminated"/>
    <x v="0"/>
    <x v="18"/>
    <n v="1"/>
    <x v="2"/>
    <n v="0"/>
    <x v="1"/>
    <n v="3"/>
    <s v="Fully Meets"/>
    <n v="3.6"/>
    <s v="Very Dissatisfied"/>
    <n v="0"/>
    <d v="2024-12-23T00:00:00"/>
    <n v="5"/>
    <n v="2"/>
  </r>
  <r>
    <n v="10175"/>
    <s v=" Patricia Rhodes"/>
    <x v="1"/>
    <x v="1"/>
    <x v="1"/>
    <x v="10"/>
    <x v="32"/>
    <x v="195"/>
    <n v="34184"/>
    <x v="474"/>
    <d v="1990-11-29T00:00:00"/>
    <x v="1"/>
    <x v="18"/>
    <n v="43602"/>
    <x v="1"/>
    <s v="Non-Citizen"/>
    <s v="White"/>
    <x v="267"/>
    <s v="Not Terminated"/>
    <x v="0"/>
    <x v="21"/>
    <n v="2"/>
    <x v="1"/>
    <n v="1"/>
    <x v="7"/>
    <n v="2"/>
    <s v="Exceeds Expectations"/>
    <n v="4.5999999999999996"/>
    <s v="Very Dissatisfied"/>
    <n v="3"/>
    <d v="2025-01-09T00:00:00"/>
    <n v="5"/>
    <n v="9"/>
  </r>
  <r>
    <n v="10176"/>
    <s v=" Michele Hodges"/>
    <x v="0"/>
    <x v="0"/>
    <x v="0"/>
    <x v="6"/>
    <x v="33"/>
    <x v="196"/>
    <n v="95663"/>
    <x v="475"/>
    <d v="1980-10-01T00:00:00"/>
    <x v="1"/>
    <x v="7"/>
    <n v="51788"/>
    <x v="0"/>
    <s v="Non-Citizen"/>
    <s v="Other"/>
    <x v="268"/>
    <s v="Not Terminated"/>
    <x v="1"/>
    <x v="19"/>
    <n v="2"/>
    <x v="0"/>
    <n v="1"/>
    <x v="9"/>
    <n v="3"/>
    <s v="PIP"/>
    <n v="4.9000000000000004"/>
    <s v="Dissatisfied"/>
    <n v="2"/>
    <d v="2025-10-13T00:00:00"/>
    <n v="5"/>
    <n v="4"/>
  </r>
  <r>
    <n v="10177"/>
    <s v=" Jeremy Clark"/>
    <x v="1"/>
    <x v="0"/>
    <x v="0"/>
    <x v="10"/>
    <x v="34"/>
    <x v="197"/>
    <n v="75021"/>
    <x v="476"/>
    <d v="1993-08-29T00:00:00"/>
    <x v="1"/>
    <x v="0"/>
    <n v="8506"/>
    <x v="1"/>
    <s v="Non-Citizen"/>
    <s v="Hispanic"/>
    <x v="269"/>
    <s v="Not Terminated"/>
    <x v="1"/>
    <x v="21"/>
    <n v="2"/>
    <x v="2"/>
    <n v="1"/>
    <x v="1"/>
    <n v="3"/>
    <s v="PIP"/>
    <n v="4"/>
    <s v="Very Satisfied"/>
    <n v="1"/>
    <d v="2025-11-04T00:00:00"/>
    <n v="5"/>
    <n v="10"/>
  </r>
  <r>
    <n v="10178"/>
    <s v=" Allison Brown"/>
    <x v="1"/>
    <x v="0"/>
    <x v="0"/>
    <x v="10"/>
    <x v="3"/>
    <x v="198"/>
    <n v="101658"/>
    <x v="477"/>
    <d v="1991-10-05T00:00:00"/>
    <x v="1"/>
    <x v="18"/>
    <n v="10034"/>
    <x v="0"/>
    <s v="Non-Citizen"/>
    <s v="Asian"/>
    <x v="144"/>
    <s v="Not Terminated"/>
    <x v="1"/>
    <x v="22"/>
    <n v="3"/>
    <x v="2"/>
    <n v="0"/>
    <x v="7"/>
    <n v="4"/>
    <s v="Exceeds Expectations"/>
    <n v="3.8"/>
    <s v="Satisfied"/>
    <n v="2"/>
    <d v="2025-03-13T00:00:00"/>
    <n v="2"/>
    <n v="0"/>
  </r>
  <r>
    <n v="10179"/>
    <s v=" Martha Olson"/>
    <x v="0"/>
    <x v="2"/>
    <x v="1"/>
    <x v="7"/>
    <x v="34"/>
    <x v="199"/>
    <n v="105683"/>
    <x v="478"/>
    <d v="1983-03-29T00:00:00"/>
    <x v="1"/>
    <x v="18"/>
    <n v="42168"/>
    <x v="1"/>
    <s v="US Citizen"/>
    <s v="Asian"/>
    <x v="180"/>
    <s v="2024-03-04"/>
    <x v="1"/>
    <x v="18"/>
    <n v="1"/>
    <x v="0"/>
    <n v="0"/>
    <x v="10"/>
    <n v="3"/>
    <s v="Needs Improvement"/>
    <n v="3.4"/>
    <s v="Very Dissatisfied"/>
    <n v="2"/>
    <d v="2025-08-01T00:00:00"/>
    <n v="5"/>
    <n v="5"/>
  </r>
  <r>
    <n v="10180"/>
    <s v=" Wendy Adkins"/>
    <x v="1"/>
    <x v="2"/>
    <x v="1"/>
    <x v="8"/>
    <x v="32"/>
    <x v="200"/>
    <n v="119198"/>
    <x v="479"/>
    <d v="1966-11-15T00:00:00"/>
    <x v="1"/>
    <x v="15"/>
    <n v="83925"/>
    <x v="0"/>
    <s v="Non-Citizen"/>
    <s v="Hispanic"/>
    <x v="270"/>
    <s v="2021-02-08"/>
    <x v="0"/>
    <x v="19"/>
    <n v="2"/>
    <x v="1"/>
    <n v="0"/>
    <x v="1"/>
    <n v="3"/>
    <s v="PIP"/>
    <n v="4.3"/>
    <s v="Satisfied"/>
    <n v="4"/>
    <d v="2025-04-05T00:00:00"/>
    <n v="3"/>
    <n v="3"/>
  </r>
  <r>
    <n v="10181"/>
    <s v=" Karen White"/>
    <x v="0"/>
    <x v="1"/>
    <x v="0"/>
    <x v="8"/>
    <x v="33"/>
    <x v="201"/>
    <n v="38036"/>
    <x v="480"/>
    <d v="1984-01-21T00:00:00"/>
    <x v="2"/>
    <x v="18"/>
    <n v="19175"/>
    <x v="0"/>
    <s v="Non-Citizen"/>
    <s v="Asian"/>
    <x v="271"/>
    <s v="2020-12-25"/>
    <x v="1"/>
    <x v="18"/>
    <n v="1"/>
    <x v="2"/>
    <n v="0"/>
    <x v="0"/>
    <n v="2"/>
    <s v="Exceeds Expectations"/>
    <n v="2.8"/>
    <s v="Satisfied"/>
    <n v="3"/>
    <d v="2025-01-08T00:00:00"/>
    <n v="5"/>
    <n v="3"/>
  </r>
  <r>
    <n v="10182"/>
    <s v=" Robin Walker"/>
    <x v="1"/>
    <x v="1"/>
    <x v="1"/>
    <x v="8"/>
    <x v="3"/>
    <x v="202"/>
    <n v="109157"/>
    <x v="481"/>
    <d v="1985-05-14T00:00:00"/>
    <x v="1"/>
    <x v="1"/>
    <n v="3033"/>
    <x v="1"/>
    <s v="US Citizen"/>
    <s v="Black"/>
    <x v="272"/>
    <s v="Not Terminated"/>
    <x v="1"/>
    <x v="18"/>
    <n v="3"/>
    <x v="1"/>
    <n v="0"/>
    <x v="9"/>
    <n v="3"/>
    <s v="Exceeds Expectations"/>
    <n v="4.9000000000000004"/>
    <s v="Dissatisfied"/>
    <n v="4"/>
    <d v="2025-01-19T00:00:00"/>
    <n v="1"/>
    <n v="7"/>
  </r>
  <r>
    <n v="10183"/>
    <s v=" Brandon Carpenter"/>
    <x v="1"/>
    <x v="1"/>
    <x v="1"/>
    <x v="9"/>
    <x v="34"/>
    <x v="203"/>
    <n v="116508"/>
    <x v="482"/>
    <d v="1986-03-28T00:00:00"/>
    <x v="1"/>
    <x v="1"/>
    <n v="52775"/>
    <x v="1"/>
    <s v="Non-Citizen"/>
    <s v="Hispanic"/>
    <x v="273"/>
    <s v="Not Terminated"/>
    <x v="0"/>
    <x v="19"/>
    <n v="3"/>
    <x v="0"/>
    <n v="0"/>
    <x v="1"/>
    <n v="4"/>
    <s v="Needs Improvement"/>
    <n v="4.4000000000000004"/>
    <s v="Satisfied"/>
    <n v="3"/>
    <d v="2024-12-29T00:00:00"/>
    <n v="3"/>
    <n v="0"/>
  </r>
  <r>
    <n v="10184"/>
    <s v=" Joseph Williams"/>
    <x v="0"/>
    <x v="2"/>
    <x v="1"/>
    <x v="4"/>
    <x v="0"/>
    <x v="204"/>
    <n v="62955"/>
    <x v="483"/>
    <d v="1976-05-25T00:00:00"/>
    <x v="2"/>
    <x v="7"/>
    <n v="9150"/>
    <x v="1"/>
    <s v="US Citizen"/>
    <s v="White"/>
    <x v="274"/>
    <s v="Not Terminated"/>
    <x v="0"/>
    <x v="21"/>
    <n v="2"/>
    <x v="0"/>
    <n v="0"/>
    <x v="7"/>
    <n v="1"/>
    <s v="Needs Improvement"/>
    <n v="3"/>
    <s v="Very Satisfied"/>
    <n v="0"/>
    <d v="2025-02-14T00:00:00"/>
    <n v="0"/>
    <n v="9"/>
  </r>
  <r>
    <n v="10185"/>
    <s v=" Mark Adkins"/>
    <x v="1"/>
    <x v="2"/>
    <x v="0"/>
    <x v="7"/>
    <x v="32"/>
    <x v="205"/>
    <n v="98152"/>
    <x v="484"/>
    <d v="1991-10-12T00:00:00"/>
    <x v="1"/>
    <x v="15"/>
    <n v="47116"/>
    <x v="0"/>
    <s v="Non-Citizen"/>
    <s v="Black"/>
    <x v="275"/>
    <s v="2023-03-25"/>
    <x v="0"/>
    <x v="22"/>
    <n v="2"/>
    <x v="1"/>
    <n v="0"/>
    <x v="1"/>
    <n v="1"/>
    <s v="Needs Improvement"/>
    <n v="5"/>
    <s v="Very Satisfied"/>
    <n v="5"/>
    <d v="2025-07-04T00:00:00"/>
    <n v="2"/>
    <n v="9"/>
  </r>
  <r>
    <n v="10186"/>
    <s v=" Timothy Washington"/>
    <x v="0"/>
    <x v="1"/>
    <x v="1"/>
    <x v="6"/>
    <x v="33"/>
    <x v="206"/>
    <n v="38760"/>
    <x v="485"/>
    <d v="1973-03-17T00:00:00"/>
    <x v="1"/>
    <x v="0"/>
    <n v="16150"/>
    <x v="1"/>
    <s v="Non-Citizen"/>
    <s v="Other"/>
    <x v="276"/>
    <s v="2023-06-01"/>
    <x v="0"/>
    <x v="18"/>
    <n v="3"/>
    <x v="2"/>
    <n v="0"/>
    <x v="1"/>
    <n v="1"/>
    <s v="Needs Improvement"/>
    <n v="2.8"/>
    <s v="Satisfied"/>
    <n v="5"/>
    <d v="2024-07-11T00:00:00"/>
    <n v="0"/>
    <n v="1"/>
  </r>
  <r>
    <n v="10187"/>
    <s v=" Jeffrey Frazier"/>
    <x v="1"/>
    <x v="0"/>
    <x v="0"/>
    <x v="7"/>
    <x v="0"/>
    <x v="207"/>
    <n v="103294"/>
    <x v="486"/>
    <d v="1982-11-12T00:00:00"/>
    <x v="2"/>
    <x v="0"/>
    <n v="54067"/>
    <x v="0"/>
    <s v="Non-Citizen"/>
    <s v="White"/>
    <x v="277"/>
    <s v="Not Terminated"/>
    <x v="0"/>
    <x v="22"/>
    <n v="1"/>
    <x v="1"/>
    <n v="0"/>
    <x v="0"/>
    <n v="2"/>
    <s v="Fully Meets"/>
    <n v="4"/>
    <s v="Very Satisfied"/>
    <n v="0"/>
    <d v="2024-12-14T00:00:00"/>
    <n v="1"/>
    <n v="2"/>
  </r>
  <r>
    <n v="10188"/>
    <s v=" Paul Castillo"/>
    <x v="0"/>
    <x v="2"/>
    <x v="1"/>
    <x v="4"/>
    <x v="34"/>
    <x v="208"/>
    <n v="102598"/>
    <x v="487"/>
    <d v="1980-01-01T00:00:00"/>
    <x v="2"/>
    <x v="15"/>
    <n v="11852"/>
    <x v="1"/>
    <s v="US Citizen"/>
    <s v="White"/>
    <x v="278"/>
    <s v="2022-03-27"/>
    <x v="1"/>
    <x v="18"/>
    <n v="1"/>
    <x v="2"/>
    <n v="0"/>
    <x v="10"/>
    <n v="1"/>
    <s v="Fully Meets"/>
    <n v="3.1"/>
    <s v="Dissatisfied"/>
    <n v="1"/>
    <d v="2025-02-27T00:00:00"/>
    <n v="2"/>
    <n v="10"/>
  </r>
  <r>
    <n v="10189"/>
    <s v=" Brent Hernandez"/>
    <x v="0"/>
    <x v="1"/>
    <x v="0"/>
    <x v="4"/>
    <x v="3"/>
    <x v="209"/>
    <n v="89156"/>
    <x v="488"/>
    <d v="1965-02-06T00:00:00"/>
    <x v="1"/>
    <x v="18"/>
    <n v="47888"/>
    <x v="0"/>
    <s v="Non-Citizen"/>
    <s v="Asian"/>
    <x v="279"/>
    <s v="Not Terminated"/>
    <x v="0"/>
    <x v="19"/>
    <n v="3"/>
    <x v="1"/>
    <n v="0"/>
    <x v="9"/>
    <n v="2"/>
    <s v="Exceeds Expectations"/>
    <n v="3.2"/>
    <s v="Satisfied"/>
    <n v="2"/>
    <d v="2025-07-31T00:00:00"/>
    <n v="0"/>
    <n v="4"/>
  </r>
  <r>
    <n v="10190"/>
    <s v=" David Strickland"/>
    <x v="1"/>
    <x v="2"/>
    <x v="1"/>
    <x v="8"/>
    <x v="34"/>
    <x v="210"/>
    <n v="58580"/>
    <x v="489"/>
    <d v="1965-07-15T00:00:00"/>
    <x v="2"/>
    <x v="7"/>
    <n v="88412"/>
    <x v="1"/>
    <s v="US Citizen"/>
    <s v="Asian"/>
    <x v="280"/>
    <s v="Not Terminated"/>
    <x v="0"/>
    <x v="19"/>
    <n v="1"/>
    <x v="0"/>
    <n v="1"/>
    <x v="7"/>
    <n v="4"/>
    <s v="Needs Improvement"/>
    <n v="3.8"/>
    <s v="Dissatisfied"/>
    <n v="4"/>
    <d v="2025-11-02T00:00:00"/>
    <n v="4"/>
    <n v="9"/>
  </r>
  <r>
    <n v="10191"/>
    <s v=" Megan Phillips"/>
    <x v="0"/>
    <x v="1"/>
    <x v="0"/>
    <x v="4"/>
    <x v="34"/>
    <x v="211"/>
    <n v="88757"/>
    <x v="490"/>
    <d v="1980-01-15T00:00:00"/>
    <x v="1"/>
    <x v="18"/>
    <n v="1651"/>
    <x v="0"/>
    <s v="US Citizen"/>
    <s v="Black"/>
    <x v="281"/>
    <s v="Not Terminated"/>
    <x v="1"/>
    <x v="21"/>
    <n v="3"/>
    <x v="1"/>
    <n v="1"/>
    <x v="0"/>
    <n v="1"/>
    <s v="Needs Improvement"/>
    <n v="4.0999999999999996"/>
    <s v="Dissatisfied"/>
    <n v="3"/>
    <d v="2025-01-17T00:00:00"/>
    <n v="3"/>
    <n v="9"/>
  </r>
  <r>
    <n v="10192"/>
    <s v=" Katherine Middleton"/>
    <x v="1"/>
    <x v="1"/>
    <x v="1"/>
    <x v="4"/>
    <x v="33"/>
    <x v="212"/>
    <n v="109293"/>
    <x v="491"/>
    <d v="1967-07-28T00:00:00"/>
    <x v="1"/>
    <x v="7"/>
    <n v="68779"/>
    <x v="1"/>
    <s v="US Citizen"/>
    <s v="Hispanic"/>
    <x v="282"/>
    <s v="2020-11-19"/>
    <x v="0"/>
    <x v="18"/>
    <n v="2"/>
    <x v="1"/>
    <n v="1"/>
    <x v="0"/>
    <n v="1"/>
    <s v="Exceeds Expectations"/>
    <n v="3.6"/>
    <s v="Neutral"/>
    <n v="5"/>
    <d v="2025-04-05T00:00:00"/>
    <n v="2"/>
    <n v="6"/>
  </r>
  <r>
    <n v="10193"/>
    <s v=" Samantha Brooks"/>
    <x v="0"/>
    <x v="2"/>
    <x v="0"/>
    <x v="6"/>
    <x v="33"/>
    <x v="213"/>
    <n v="102478"/>
    <x v="492"/>
    <d v="1982-02-02T00:00:00"/>
    <x v="1"/>
    <x v="15"/>
    <n v="9032"/>
    <x v="0"/>
    <s v="US Citizen"/>
    <s v="White"/>
    <x v="283"/>
    <s v="Not Terminated"/>
    <x v="0"/>
    <x v="21"/>
    <n v="3"/>
    <x v="1"/>
    <n v="1"/>
    <x v="9"/>
    <n v="1"/>
    <s v="Exceeds Expectations"/>
    <n v="2.7"/>
    <s v="Dissatisfied"/>
    <n v="1"/>
    <d v="2025-06-10T00:00:00"/>
    <n v="4"/>
    <n v="10"/>
  </r>
  <r>
    <n v="10194"/>
    <s v=" David Nelson"/>
    <x v="0"/>
    <x v="1"/>
    <x v="0"/>
    <x v="8"/>
    <x v="3"/>
    <x v="214"/>
    <n v="37532"/>
    <x v="493"/>
    <d v="1973-10-26T00:00:00"/>
    <x v="1"/>
    <x v="15"/>
    <n v="2012"/>
    <x v="1"/>
    <s v="Non-Citizen"/>
    <s v="Other"/>
    <x v="284"/>
    <s v="Not Terminated"/>
    <x v="0"/>
    <x v="19"/>
    <n v="1"/>
    <x v="1"/>
    <n v="1"/>
    <x v="0"/>
    <n v="4"/>
    <s v="PIP"/>
    <n v="4.7"/>
    <s v="Satisfied"/>
    <n v="3"/>
    <d v="2025-03-13T00:00:00"/>
    <n v="2"/>
    <n v="9"/>
  </r>
  <r>
    <n v="10195"/>
    <s v=" Michael Clark"/>
    <x v="0"/>
    <x v="2"/>
    <x v="0"/>
    <x v="7"/>
    <x v="33"/>
    <x v="215"/>
    <n v="88532"/>
    <x v="494"/>
    <d v="1988-06-13T00:00:00"/>
    <x v="1"/>
    <x v="18"/>
    <n v="78783"/>
    <x v="0"/>
    <s v="US Citizen"/>
    <s v="Asian"/>
    <x v="285"/>
    <s v="Not Terminated"/>
    <x v="0"/>
    <x v="21"/>
    <n v="2"/>
    <x v="0"/>
    <n v="1"/>
    <x v="9"/>
    <n v="2"/>
    <s v="Exceeds Expectations"/>
    <n v="3.8"/>
    <s v="Neutral"/>
    <n v="1"/>
    <d v="2025-07-04T00:00:00"/>
    <n v="4"/>
    <n v="9"/>
  </r>
  <r>
    <n v="10196"/>
    <s v=" William Ayers"/>
    <x v="1"/>
    <x v="0"/>
    <x v="0"/>
    <x v="10"/>
    <x v="0"/>
    <x v="216"/>
    <n v="45630"/>
    <x v="495"/>
    <d v="2002-11-20T00:00:00"/>
    <x v="1"/>
    <x v="0"/>
    <n v="92567"/>
    <x v="0"/>
    <s v="US Citizen"/>
    <s v="White"/>
    <x v="286"/>
    <s v="Not Terminated"/>
    <x v="0"/>
    <x v="19"/>
    <n v="2"/>
    <x v="2"/>
    <n v="1"/>
    <x v="0"/>
    <n v="3"/>
    <s v="PIP"/>
    <n v="4.5"/>
    <s v="Neutral"/>
    <n v="4"/>
    <d v="2024-06-11T00:00:00"/>
    <n v="3"/>
    <n v="9"/>
  </r>
  <r>
    <n v="10197"/>
    <s v=" Julie Schwartz"/>
    <x v="0"/>
    <x v="2"/>
    <x v="1"/>
    <x v="9"/>
    <x v="33"/>
    <x v="217"/>
    <n v="83360"/>
    <x v="496"/>
    <d v="2001-10-31T00:00:00"/>
    <x v="1"/>
    <x v="1"/>
    <n v="69123"/>
    <x v="0"/>
    <s v="US Citizen"/>
    <s v="Asian"/>
    <x v="287"/>
    <s v="2024-08-27"/>
    <x v="1"/>
    <x v="18"/>
    <n v="2"/>
    <x v="2"/>
    <n v="1"/>
    <x v="10"/>
    <n v="4"/>
    <s v="Fully Meets"/>
    <n v="3"/>
    <s v="Satisfied"/>
    <n v="3"/>
    <d v="2025-01-16T00:00:00"/>
    <n v="0"/>
    <n v="0"/>
  </r>
  <r>
    <n v="10198"/>
    <s v=" Christopher Bright"/>
    <x v="0"/>
    <x v="0"/>
    <x v="0"/>
    <x v="4"/>
    <x v="0"/>
    <x v="218"/>
    <n v="65665"/>
    <x v="497"/>
    <d v="1967-03-30T00:00:00"/>
    <x v="1"/>
    <x v="7"/>
    <n v="43131"/>
    <x v="1"/>
    <s v="Non-Citizen"/>
    <s v="Black"/>
    <x v="288"/>
    <s v="Not Terminated"/>
    <x v="0"/>
    <x v="19"/>
    <n v="1"/>
    <x v="0"/>
    <n v="0"/>
    <x v="0"/>
    <n v="4"/>
    <s v="Exceeds Expectations"/>
    <n v="2.8"/>
    <s v="Dissatisfied"/>
    <n v="4"/>
    <d v="2024-12-20T00:00:00"/>
    <n v="3"/>
    <n v="0"/>
  </r>
  <r>
    <n v="10199"/>
    <s v=" Corey Osborn"/>
    <x v="0"/>
    <x v="1"/>
    <x v="0"/>
    <x v="9"/>
    <x v="32"/>
    <x v="219"/>
    <n v="38030"/>
    <x v="498"/>
    <d v="1967-04-06T00:00:00"/>
    <x v="1"/>
    <x v="18"/>
    <n v="12459"/>
    <x v="1"/>
    <s v="Non-Citizen"/>
    <s v="Asian"/>
    <x v="289"/>
    <s v="Not Terminated"/>
    <x v="0"/>
    <x v="20"/>
    <n v="1"/>
    <x v="1"/>
    <n v="0"/>
    <x v="9"/>
    <n v="2"/>
    <s v="PIP"/>
    <n v="4.5"/>
    <s v="Dissatisfied"/>
    <n v="2"/>
    <d v="2024-12-30T00:00:00"/>
    <n v="4"/>
    <n v="0"/>
  </r>
  <r>
    <n v="10200"/>
    <s v=" Jessica Howe"/>
    <x v="1"/>
    <x v="0"/>
    <x v="0"/>
    <x v="7"/>
    <x v="34"/>
    <x v="220"/>
    <n v="78539"/>
    <x v="499"/>
    <d v="1994-10-26T00:00:00"/>
    <x v="1"/>
    <x v="15"/>
    <n v="47408"/>
    <x v="0"/>
    <s v="US Citizen"/>
    <s v="Other"/>
    <x v="290"/>
    <s v="Not Terminated"/>
    <x v="0"/>
    <x v="19"/>
    <n v="1"/>
    <x v="1"/>
    <n v="1"/>
    <x v="0"/>
    <n v="4"/>
    <s v="PIP"/>
    <n v="4.7"/>
    <s v="Very Dissatisfied"/>
    <n v="0"/>
    <d v="2024-08-12T00:00:00"/>
    <n v="3"/>
    <n v="8"/>
  </r>
  <r>
    <n v="10201"/>
    <s v=" Zachary Sanders"/>
    <x v="1"/>
    <x v="2"/>
    <x v="0"/>
    <x v="7"/>
    <x v="32"/>
    <x v="221"/>
    <n v="103081"/>
    <x v="500"/>
    <d v="1979-07-08T00:00:00"/>
    <x v="2"/>
    <x v="7"/>
    <n v="63268"/>
    <x v="0"/>
    <s v="Non-Citizen"/>
    <s v="Hispanic"/>
    <x v="291"/>
    <s v="Not Terminated"/>
    <x v="0"/>
    <x v="20"/>
    <n v="2"/>
    <x v="0"/>
    <n v="0"/>
    <x v="1"/>
    <n v="3"/>
    <s v="Fully Meets"/>
    <n v="2.9"/>
    <s v="Satisfied"/>
    <n v="4"/>
    <d v="2025-01-15T00:00:00"/>
    <n v="2"/>
    <n v="3"/>
  </r>
  <r>
    <n v="10202"/>
    <s v=" Craig Campbell"/>
    <x v="0"/>
    <x v="2"/>
    <x v="0"/>
    <x v="10"/>
    <x v="33"/>
    <x v="222"/>
    <n v="50800"/>
    <x v="501"/>
    <d v="1981-11-19T00:00:00"/>
    <x v="1"/>
    <x v="1"/>
    <n v="20720"/>
    <x v="0"/>
    <s v="US Citizen"/>
    <s v="Other"/>
    <x v="292"/>
    <s v="2025-08-01"/>
    <x v="0"/>
    <x v="19"/>
    <n v="3"/>
    <x v="2"/>
    <n v="1"/>
    <x v="7"/>
    <n v="3"/>
    <s v="Exceeds Expectations"/>
    <n v="2.9"/>
    <s v="Very Dissatisfied"/>
    <n v="0"/>
    <d v="2025-06-13T00:00:00"/>
    <n v="3"/>
    <n v="3"/>
  </r>
  <r>
    <n v="10203"/>
    <s v=" Mallory Cantu"/>
    <x v="0"/>
    <x v="0"/>
    <x v="1"/>
    <x v="7"/>
    <x v="0"/>
    <x v="223"/>
    <n v="40677"/>
    <x v="502"/>
    <d v="1991-09-04T00:00:00"/>
    <x v="1"/>
    <x v="7"/>
    <n v="42471"/>
    <x v="1"/>
    <s v="US Citizen"/>
    <s v="White"/>
    <x v="293"/>
    <s v="Not Terminated"/>
    <x v="0"/>
    <x v="22"/>
    <n v="1"/>
    <x v="0"/>
    <n v="1"/>
    <x v="1"/>
    <n v="4"/>
    <s v="Fully Meets"/>
    <n v="4.0999999999999996"/>
    <s v="Very Dissatisfied"/>
    <n v="2"/>
    <d v="2025-04-08T00:00:00"/>
    <n v="5"/>
    <n v="2"/>
  </r>
  <r>
    <n v="10204"/>
    <s v=" Kenneth Armstrong"/>
    <x v="0"/>
    <x v="0"/>
    <x v="0"/>
    <x v="8"/>
    <x v="32"/>
    <x v="224"/>
    <n v="111985"/>
    <x v="503"/>
    <d v="1965-12-15T00:00:00"/>
    <x v="2"/>
    <x v="7"/>
    <n v="99056"/>
    <x v="0"/>
    <s v="US Citizen"/>
    <s v="Other"/>
    <x v="294"/>
    <s v="2023-03-26"/>
    <x v="0"/>
    <x v="18"/>
    <n v="2"/>
    <x v="0"/>
    <n v="1"/>
    <x v="1"/>
    <n v="4"/>
    <s v="Needs Improvement"/>
    <n v="5"/>
    <s v="Satisfied"/>
    <n v="4"/>
    <d v="2025-01-18T00:00:00"/>
    <n v="3"/>
    <n v="6"/>
  </r>
  <r>
    <n v="10205"/>
    <s v=" Bonnie Marks"/>
    <x v="1"/>
    <x v="1"/>
    <x v="1"/>
    <x v="10"/>
    <x v="3"/>
    <x v="225"/>
    <n v="99046"/>
    <x v="504"/>
    <d v="1996-05-31T00:00:00"/>
    <x v="1"/>
    <x v="15"/>
    <n v="95336"/>
    <x v="0"/>
    <s v="US Citizen"/>
    <s v="Hispanic"/>
    <x v="231"/>
    <s v="Not Terminated"/>
    <x v="1"/>
    <x v="19"/>
    <n v="3"/>
    <x v="2"/>
    <n v="0"/>
    <x v="0"/>
    <n v="1"/>
    <s v="Fully Meets"/>
    <n v="2.8"/>
    <s v="Neutral"/>
    <n v="0"/>
    <d v="2025-04-04T00:00:00"/>
    <n v="4"/>
    <n v="0"/>
  </r>
  <r>
    <n v="10206"/>
    <s v=" Emily Perry"/>
    <x v="0"/>
    <x v="2"/>
    <x v="0"/>
    <x v="8"/>
    <x v="3"/>
    <x v="226"/>
    <n v="71940"/>
    <x v="505"/>
    <d v="1980-11-12T00:00:00"/>
    <x v="1"/>
    <x v="0"/>
    <n v="56855"/>
    <x v="1"/>
    <s v="US Citizen"/>
    <s v="Asian"/>
    <x v="295"/>
    <s v="Not Terminated"/>
    <x v="1"/>
    <x v="22"/>
    <n v="1"/>
    <x v="2"/>
    <n v="1"/>
    <x v="0"/>
    <n v="2"/>
    <s v="Fully Meets"/>
    <n v="4.5"/>
    <s v="Satisfied"/>
    <n v="1"/>
    <d v="2025-08-08T00:00:00"/>
    <n v="1"/>
    <n v="10"/>
  </r>
  <r>
    <n v="10207"/>
    <s v=" Natalie Reynolds"/>
    <x v="0"/>
    <x v="1"/>
    <x v="1"/>
    <x v="6"/>
    <x v="34"/>
    <x v="227"/>
    <n v="90248"/>
    <x v="506"/>
    <d v="1972-10-22T00:00:00"/>
    <x v="2"/>
    <x v="18"/>
    <n v="10680"/>
    <x v="1"/>
    <s v="Non-Citizen"/>
    <s v="Hispanic"/>
    <x v="296"/>
    <s v="2022-02-24"/>
    <x v="1"/>
    <x v="19"/>
    <n v="2"/>
    <x v="0"/>
    <n v="1"/>
    <x v="1"/>
    <n v="1"/>
    <s v="Needs Improvement"/>
    <n v="4.3"/>
    <s v="Satisfied"/>
    <n v="3"/>
    <d v="2025-01-21T00:00:00"/>
    <n v="5"/>
    <n v="4"/>
  </r>
  <r>
    <n v="10208"/>
    <s v=" Kristen Mejia"/>
    <x v="1"/>
    <x v="2"/>
    <x v="0"/>
    <x v="7"/>
    <x v="34"/>
    <x v="228"/>
    <n v="51402"/>
    <x v="507"/>
    <d v="1994-07-29T00:00:00"/>
    <x v="1"/>
    <x v="15"/>
    <n v="59463"/>
    <x v="1"/>
    <s v="US Citizen"/>
    <s v="Hispanic"/>
    <x v="297"/>
    <s v="Not Terminated"/>
    <x v="1"/>
    <x v="20"/>
    <n v="3"/>
    <x v="0"/>
    <n v="1"/>
    <x v="9"/>
    <n v="1"/>
    <s v="Exceeds Expectations"/>
    <n v="4.4000000000000004"/>
    <s v="Very Dissatisfied"/>
    <n v="2"/>
    <d v="2024-11-12T00:00:00"/>
    <n v="5"/>
    <n v="10"/>
  </r>
  <r>
    <n v="10209"/>
    <s v=" Kathy Jackson"/>
    <x v="1"/>
    <x v="0"/>
    <x v="0"/>
    <x v="6"/>
    <x v="0"/>
    <x v="229"/>
    <n v="38528"/>
    <x v="508"/>
    <d v="1991-11-02T00:00:00"/>
    <x v="1"/>
    <x v="15"/>
    <n v="2145"/>
    <x v="0"/>
    <s v="US Citizen"/>
    <s v="Black"/>
    <x v="298"/>
    <s v="Not Terminated"/>
    <x v="0"/>
    <x v="18"/>
    <n v="2"/>
    <x v="1"/>
    <n v="0"/>
    <x v="7"/>
    <n v="2"/>
    <s v="PIP"/>
    <n v="4.9000000000000004"/>
    <s v="Dissatisfied"/>
    <n v="2"/>
    <d v="2025-03-15T00:00:00"/>
    <n v="1"/>
    <n v="2"/>
  </r>
  <r>
    <n v="10210"/>
    <s v=" Javier Koch"/>
    <x v="0"/>
    <x v="1"/>
    <x v="1"/>
    <x v="7"/>
    <x v="3"/>
    <x v="230"/>
    <n v="61564"/>
    <x v="509"/>
    <d v="1968-08-02T00:00:00"/>
    <x v="1"/>
    <x v="18"/>
    <n v="79513"/>
    <x v="0"/>
    <s v="Non-Citizen"/>
    <s v="Hispanic"/>
    <x v="299"/>
    <s v="Not Terminated"/>
    <x v="1"/>
    <x v="19"/>
    <n v="1"/>
    <x v="0"/>
    <n v="1"/>
    <x v="1"/>
    <n v="3"/>
    <s v="Fully Meets"/>
    <n v="3.3"/>
    <s v="Dissatisfied"/>
    <n v="4"/>
    <d v="2024-11-28T00:00:00"/>
    <n v="0"/>
    <n v="9"/>
  </r>
  <r>
    <n v="10211"/>
    <s v=" John Porter"/>
    <x v="0"/>
    <x v="2"/>
    <x v="0"/>
    <x v="10"/>
    <x v="34"/>
    <x v="231"/>
    <n v="54666"/>
    <x v="510"/>
    <d v="1967-02-22T00:00:00"/>
    <x v="1"/>
    <x v="7"/>
    <n v="81498"/>
    <x v="0"/>
    <s v="US Citizen"/>
    <s v="Black"/>
    <x v="300"/>
    <s v="Not Terminated"/>
    <x v="1"/>
    <x v="20"/>
    <n v="3"/>
    <x v="1"/>
    <n v="1"/>
    <x v="10"/>
    <n v="1"/>
    <s v="Fully Meets"/>
    <n v="3.8"/>
    <s v="Dissatisfied"/>
    <n v="1"/>
    <d v="2024-11-17T00:00:00"/>
    <n v="3"/>
    <n v="6"/>
  </r>
  <r>
    <n v="10212"/>
    <s v=" Scott Henderson"/>
    <x v="0"/>
    <x v="1"/>
    <x v="0"/>
    <x v="4"/>
    <x v="3"/>
    <x v="232"/>
    <n v="97240"/>
    <x v="511"/>
    <d v="1978-09-01T00:00:00"/>
    <x v="2"/>
    <x v="0"/>
    <n v="45066"/>
    <x v="1"/>
    <s v="US Citizen"/>
    <s v="Black"/>
    <x v="301"/>
    <s v="Not Terminated"/>
    <x v="1"/>
    <x v="20"/>
    <n v="3"/>
    <x v="0"/>
    <n v="0"/>
    <x v="0"/>
    <n v="1"/>
    <s v="Exceeds Expectations"/>
    <n v="3.9"/>
    <s v="Dissatisfied"/>
    <n v="4"/>
    <d v="2025-02-14T00:00:00"/>
    <n v="4"/>
    <n v="6"/>
  </r>
  <r>
    <n v="10213"/>
    <s v=" Jesus Valdez"/>
    <x v="0"/>
    <x v="2"/>
    <x v="0"/>
    <x v="6"/>
    <x v="34"/>
    <x v="233"/>
    <n v="41012"/>
    <x v="512"/>
    <d v="1965-05-02T00:00:00"/>
    <x v="1"/>
    <x v="7"/>
    <n v="67950"/>
    <x v="0"/>
    <s v="US Citizen"/>
    <s v="Hispanic"/>
    <x v="302"/>
    <s v="Not Terminated"/>
    <x v="1"/>
    <x v="19"/>
    <n v="3"/>
    <x v="1"/>
    <n v="0"/>
    <x v="7"/>
    <n v="2"/>
    <s v="Fully Meets"/>
    <n v="3"/>
    <s v="Neutral"/>
    <n v="0"/>
    <d v="2025-06-22T00:00:00"/>
    <n v="0"/>
    <n v="7"/>
  </r>
  <r>
    <n v="10214"/>
    <s v=" Martha West"/>
    <x v="1"/>
    <x v="1"/>
    <x v="0"/>
    <x v="10"/>
    <x v="34"/>
    <x v="234"/>
    <n v="49250"/>
    <x v="513"/>
    <d v="1991-11-06T00:00:00"/>
    <x v="2"/>
    <x v="15"/>
    <n v="64207"/>
    <x v="0"/>
    <s v="US Citizen"/>
    <s v="Asian"/>
    <x v="303"/>
    <s v="Not Terminated"/>
    <x v="0"/>
    <x v="19"/>
    <n v="1"/>
    <x v="0"/>
    <n v="0"/>
    <x v="7"/>
    <n v="4"/>
    <s v="Needs Improvement"/>
    <n v="4.9000000000000004"/>
    <s v="Satisfied"/>
    <n v="2"/>
    <d v="2025-06-19T00:00:00"/>
    <n v="1"/>
    <n v="6"/>
  </r>
  <r>
    <n v="10215"/>
    <s v=" Karen Thomas"/>
    <x v="1"/>
    <x v="2"/>
    <x v="0"/>
    <x v="8"/>
    <x v="32"/>
    <x v="235"/>
    <n v="44774"/>
    <x v="514"/>
    <d v="1981-09-30T00:00:00"/>
    <x v="1"/>
    <x v="7"/>
    <n v="40999"/>
    <x v="1"/>
    <s v="Non-Citizen"/>
    <s v="Other"/>
    <x v="304"/>
    <s v="Not Terminated"/>
    <x v="1"/>
    <x v="18"/>
    <n v="1"/>
    <x v="0"/>
    <n v="1"/>
    <x v="1"/>
    <n v="4"/>
    <s v="Fully Meets"/>
    <n v="3.7"/>
    <s v="Very Dissatisfied"/>
    <n v="0"/>
    <d v="2025-06-08T00:00:00"/>
    <n v="4"/>
    <n v="5"/>
  </r>
  <r>
    <n v="10216"/>
    <s v=" Matthew Johnson"/>
    <x v="1"/>
    <x v="0"/>
    <x v="0"/>
    <x v="6"/>
    <x v="3"/>
    <x v="236"/>
    <n v="79945"/>
    <x v="515"/>
    <d v="1974-02-01T00:00:00"/>
    <x v="1"/>
    <x v="15"/>
    <n v="83107"/>
    <x v="1"/>
    <s v="Non-Citizen"/>
    <s v="Hispanic"/>
    <x v="305"/>
    <s v="Not Terminated"/>
    <x v="0"/>
    <x v="19"/>
    <n v="3"/>
    <x v="2"/>
    <n v="1"/>
    <x v="7"/>
    <n v="2"/>
    <s v="PIP"/>
    <n v="3.7"/>
    <s v="Satisfied"/>
    <n v="3"/>
    <d v="2025-10-13T00:00:00"/>
    <n v="1"/>
    <n v="3"/>
  </r>
  <r>
    <n v="10217"/>
    <s v=" April Rogers"/>
    <x v="0"/>
    <x v="0"/>
    <x v="1"/>
    <x v="10"/>
    <x v="34"/>
    <x v="237"/>
    <n v="91494"/>
    <x v="516"/>
    <d v="1970-11-02T00:00:00"/>
    <x v="1"/>
    <x v="7"/>
    <n v="63953"/>
    <x v="1"/>
    <s v="US Citizen"/>
    <s v="Black"/>
    <x v="306"/>
    <s v="2025-08-30"/>
    <x v="0"/>
    <x v="19"/>
    <n v="2"/>
    <x v="1"/>
    <n v="1"/>
    <x v="0"/>
    <n v="3"/>
    <s v="Needs Improvement"/>
    <n v="3.3"/>
    <s v="Satisfied"/>
    <n v="1"/>
    <d v="2025-07-09T00:00:00"/>
    <n v="1"/>
    <n v="8"/>
  </r>
  <r>
    <n v="10218"/>
    <s v=" Amy Ray"/>
    <x v="1"/>
    <x v="0"/>
    <x v="0"/>
    <x v="10"/>
    <x v="3"/>
    <x v="238"/>
    <n v="80339"/>
    <x v="517"/>
    <d v="2003-10-21T00:00:00"/>
    <x v="2"/>
    <x v="7"/>
    <n v="53060"/>
    <x v="1"/>
    <s v="Non-Citizen"/>
    <s v="Asian"/>
    <x v="107"/>
    <s v="2023-12-23"/>
    <x v="0"/>
    <x v="18"/>
    <n v="1"/>
    <x v="0"/>
    <n v="1"/>
    <x v="9"/>
    <n v="2"/>
    <s v="Needs Improvement"/>
    <n v="3.8"/>
    <s v="Neutral"/>
    <n v="5"/>
    <d v="2025-07-18T00:00:00"/>
    <n v="0"/>
    <n v="7"/>
  </r>
  <r>
    <n v="10219"/>
    <s v=" Jeffrey Solomon"/>
    <x v="0"/>
    <x v="1"/>
    <x v="0"/>
    <x v="6"/>
    <x v="33"/>
    <x v="239"/>
    <n v="113829"/>
    <x v="518"/>
    <d v="1985-07-31T00:00:00"/>
    <x v="2"/>
    <x v="15"/>
    <n v="62576"/>
    <x v="1"/>
    <s v="Non-Citizen"/>
    <s v="Hispanic"/>
    <x v="307"/>
    <s v="Not Terminated"/>
    <x v="0"/>
    <x v="20"/>
    <n v="1"/>
    <x v="1"/>
    <n v="0"/>
    <x v="7"/>
    <n v="4"/>
    <s v="PIP"/>
    <n v="2.6"/>
    <s v="Very Dissatisfied"/>
    <n v="5"/>
    <d v="2025-10-09T00:00:00"/>
    <n v="0"/>
    <n v="9"/>
  </r>
  <r>
    <n v="10220"/>
    <s v=" Daniel Huffman"/>
    <x v="0"/>
    <x v="0"/>
    <x v="1"/>
    <x v="8"/>
    <x v="32"/>
    <x v="240"/>
    <n v="64878"/>
    <x v="519"/>
    <d v="1988-12-26T00:00:00"/>
    <x v="1"/>
    <x v="15"/>
    <n v="24597"/>
    <x v="0"/>
    <s v="Non-Citizen"/>
    <s v="Other"/>
    <x v="308"/>
    <s v="Not Terminated"/>
    <x v="1"/>
    <x v="20"/>
    <n v="3"/>
    <x v="0"/>
    <n v="1"/>
    <x v="9"/>
    <n v="3"/>
    <s v="Needs Improvement"/>
    <n v="4.3"/>
    <s v="Neutral"/>
    <n v="4"/>
    <d v="2025-10-24T00:00:00"/>
    <n v="3"/>
    <n v="10"/>
  </r>
  <r>
    <n v="10221"/>
    <s v=" Christopher Jackson"/>
    <x v="1"/>
    <x v="0"/>
    <x v="1"/>
    <x v="4"/>
    <x v="0"/>
    <x v="241"/>
    <n v="74468"/>
    <x v="520"/>
    <d v="1972-07-17T00:00:00"/>
    <x v="2"/>
    <x v="1"/>
    <n v="92192"/>
    <x v="1"/>
    <s v="US Citizen"/>
    <s v="Hispanic"/>
    <x v="309"/>
    <s v="2022-05-31"/>
    <x v="1"/>
    <x v="20"/>
    <n v="1"/>
    <x v="2"/>
    <n v="0"/>
    <x v="1"/>
    <n v="1"/>
    <s v="Needs Improvement"/>
    <n v="3"/>
    <s v="Satisfied"/>
    <n v="3"/>
    <d v="2025-03-31T00:00:00"/>
    <n v="4"/>
    <n v="10"/>
  </r>
  <r>
    <n v="10222"/>
    <s v=" Brian Hudson"/>
    <x v="0"/>
    <x v="2"/>
    <x v="0"/>
    <x v="8"/>
    <x v="33"/>
    <x v="242"/>
    <n v="30764"/>
    <x v="521"/>
    <d v="1967-07-02T00:00:00"/>
    <x v="1"/>
    <x v="1"/>
    <n v="6176"/>
    <x v="1"/>
    <s v="Non-Citizen"/>
    <s v="White"/>
    <x v="310"/>
    <s v="Not Terminated"/>
    <x v="1"/>
    <x v="22"/>
    <n v="1"/>
    <x v="2"/>
    <n v="0"/>
    <x v="9"/>
    <n v="3"/>
    <s v="Needs Improvement"/>
    <n v="4.8"/>
    <s v="Very Satisfied"/>
    <n v="4"/>
    <d v="2025-09-29T00:00:00"/>
    <n v="4"/>
    <n v="3"/>
  </r>
  <r>
    <n v="10223"/>
    <s v=" Jamie Church"/>
    <x v="1"/>
    <x v="1"/>
    <x v="1"/>
    <x v="7"/>
    <x v="32"/>
    <x v="243"/>
    <n v="32223"/>
    <x v="522"/>
    <d v="1990-06-03T00:00:00"/>
    <x v="1"/>
    <x v="1"/>
    <n v="94447"/>
    <x v="1"/>
    <s v="US Citizen"/>
    <s v="Black"/>
    <x v="311"/>
    <s v="2022-08-13"/>
    <x v="1"/>
    <x v="21"/>
    <n v="1"/>
    <x v="1"/>
    <n v="0"/>
    <x v="9"/>
    <n v="3"/>
    <s v="PIP"/>
    <n v="2.8"/>
    <s v="Dissatisfied"/>
    <n v="0"/>
    <d v="2025-08-14T00:00:00"/>
    <n v="3"/>
    <n v="6"/>
  </r>
  <r>
    <n v="10224"/>
    <s v=" Jessica Gilbert"/>
    <x v="1"/>
    <x v="1"/>
    <x v="1"/>
    <x v="10"/>
    <x v="3"/>
    <x v="244"/>
    <n v="110080"/>
    <x v="523"/>
    <d v="1989-10-20T00:00:00"/>
    <x v="1"/>
    <x v="15"/>
    <n v="37987"/>
    <x v="1"/>
    <s v="US Citizen"/>
    <s v="Hispanic"/>
    <x v="312"/>
    <s v="Not Terminated"/>
    <x v="1"/>
    <x v="22"/>
    <n v="1"/>
    <x v="0"/>
    <n v="1"/>
    <x v="0"/>
    <n v="3"/>
    <s v="Needs Improvement"/>
    <n v="2.9"/>
    <s v="Neutral"/>
    <n v="3"/>
    <d v="2025-07-13T00:00:00"/>
    <n v="3"/>
    <n v="6"/>
  </r>
  <r>
    <n v="10225"/>
    <s v=" Elizabeth Lopez"/>
    <x v="1"/>
    <x v="1"/>
    <x v="0"/>
    <x v="4"/>
    <x v="3"/>
    <x v="245"/>
    <n v="38185"/>
    <x v="524"/>
    <d v="1998-03-13T00:00:00"/>
    <x v="1"/>
    <x v="18"/>
    <n v="30574"/>
    <x v="1"/>
    <s v="US Citizen"/>
    <s v="Black"/>
    <x v="313"/>
    <s v="Not Terminated"/>
    <x v="0"/>
    <x v="18"/>
    <n v="3"/>
    <x v="2"/>
    <n v="0"/>
    <x v="10"/>
    <n v="4"/>
    <s v="Exceeds Expectations"/>
    <n v="2.9"/>
    <s v="Neutral"/>
    <n v="4"/>
    <d v="2025-06-16T00:00:00"/>
    <n v="0"/>
    <n v="5"/>
  </r>
  <r>
    <n v="10226"/>
    <s v=" Heidi Larsen"/>
    <x v="1"/>
    <x v="2"/>
    <x v="0"/>
    <x v="6"/>
    <x v="34"/>
    <x v="246"/>
    <n v="112568"/>
    <x v="525"/>
    <d v="2002-10-23T00:00:00"/>
    <x v="2"/>
    <x v="7"/>
    <n v="68714"/>
    <x v="0"/>
    <s v="US Citizen"/>
    <s v="Other"/>
    <x v="314"/>
    <s v="Not Terminated"/>
    <x v="0"/>
    <x v="20"/>
    <n v="2"/>
    <x v="2"/>
    <n v="0"/>
    <x v="1"/>
    <n v="3"/>
    <s v="Exceeds Expectations"/>
    <n v="4.0999999999999996"/>
    <s v="Satisfied"/>
    <n v="0"/>
    <d v="2025-11-01T00:00:00"/>
    <n v="3"/>
    <n v="9"/>
  </r>
  <r>
    <n v="10227"/>
    <s v=" Sabrina Martinez"/>
    <x v="1"/>
    <x v="0"/>
    <x v="1"/>
    <x v="4"/>
    <x v="3"/>
    <x v="247"/>
    <n v="58778"/>
    <x v="526"/>
    <d v="1969-05-29T00:00:00"/>
    <x v="2"/>
    <x v="0"/>
    <n v="80750"/>
    <x v="1"/>
    <s v="Non-Citizen"/>
    <s v="Other"/>
    <x v="315"/>
    <s v="Not Terminated"/>
    <x v="0"/>
    <x v="22"/>
    <n v="3"/>
    <x v="2"/>
    <n v="0"/>
    <x v="9"/>
    <n v="3"/>
    <s v="Fully Meets"/>
    <n v="3.6"/>
    <s v="Satisfied"/>
    <n v="0"/>
    <d v="2025-01-13T00:00:00"/>
    <n v="4"/>
    <n v="9"/>
  </r>
  <r>
    <n v="10228"/>
    <s v=" James Erickson"/>
    <x v="0"/>
    <x v="0"/>
    <x v="1"/>
    <x v="4"/>
    <x v="32"/>
    <x v="248"/>
    <n v="109615"/>
    <x v="527"/>
    <d v="1999-10-22T00:00:00"/>
    <x v="2"/>
    <x v="7"/>
    <n v="88601"/>
    <x v="1"/>
    <s v="Non-Citizen"/>
    <s v="Other"/>
    <x v="316"/>
    <s v="Not Terminated"/>
    <x v="1"/>
    <x v="22"/>
    <n v="3"/>
    <x v="1"/>
    <n v="0"/>
    <x v="9"/>
    <n v="2"/>
    <s v="Exceeds Expectations"/>
    <n v="4.5999999999999996"/>
    <s v="Very Dissatisfied"/>
    <n v="0"/>
    <d v="2024-01-12T00:00:00"/>
    <n v="1"/>
    <n v="10"/>
  </r>
  <r>
    <n v="10229"/>
    <s v=" Kevin Baldwin DDS"/>
    <x v="0"/>
    <x v="2"/>
    <x v="0"/>
    <x v="4"/>
    <x v="32"/>
    <x v="249"/>
    <n v="37019"/>
    <x v="528"/>
    <d v="1971-01-05T00:00:00"/>
    <x v="2"/>
    <x v="0"/>
    <n v="3541"/>
    <x v="0"/>
    <s v="Non-Citizen"/>
    <s v="White"/>
    <x v="317"/>
    <s v="Not Terminated"/>
    <x v="1"/>
    <x v="20"/>
    <n v="2"/>
    <x v="0"/>
    <n v="1"/>
    <x v="1"/>
    <n v="3"/>
    <s v="Exceeds Expectations"/>
    <n v="2.9"/>
    <s v="Neutral"/>
    <n v="1"/>
    <d v="2025-11-09T00:00:00"/>
    <n v="5"/>
    <n v="3"/>
  </r>
  <r>
    <n v="10230"/>
    <s v=" Suzanne Smith"/>
    <x v="1"/>
    <x v="1"/>
    <x v="0"/>
    <x v="10"/>
    <x v="3"/>
    <x v="250"/>
    <n v="64497"/>
    <x v="529"/>
    <d v="1969-07-29T00:00:00"/>
    <x v="1"/>
    <x v="18"/>
    <n v="33950"/>
    <x v="0"/>
    <s v="US Citizen"/>
    <s v="Black"/>
    <x v="318"/>
    <s v="2021-09-04"/>
    <x v="0"/>
    <x v="22"/>
    <n v="3"/>
    <x v="2"/>
    <n v="0"/>
    <x v="10"/>
    <n v="2"/>
    <s v="Needs Improvement"/>
    <n v="4.0999999999999996"/>
    <s v="Neutral"/>
    <n v="2"/>
    <d v="2025-02-14T00:00:00"/>
    <n v="1"/>
    <n v="10"/>
  </r>
  <r>
    <n v="10231"/>
    <s v=" Juan Williams"/>
    <x v="0"/>
    <x v="1"/>
    <x v="0"/>
    <x v="10"/>
    <x v="0"/>
    <x v="251"/>
    <n v="105834"/>
    <x v="530"/>
    <d v="1981-02-20T00:00:00"/>
    <x v="2"/>
    <x v="0"/>
    <n v="13814"/>
    <x v="1"/>
    <s v="Non-Citizen"/>
    <s v="White"/>
    <x v="319"/>
    <s v="2024-06-12"/>
    <x v="0"/>
    <x v="20"/>
    <n v="2"/>
    <x v="2"/>
    <n v="1"/>
    <x v="9"/>
    <n v="2"/>
    <s v="PIP"/>
    <n v="2.7"/>
    <s v="Dissatisfied"/>
    <n v="4"/>
    <d v="2025-02-21T00:00:00"/>
    <n v="2"/>
    <n v="6"/>
  </r>
  <r>
    <n v="10232"/>
    <s v=" William Parker"/>
    <x v="1"/>
    <x v="0"/>
    <x v="0"/>
    <x v="10"/>
    <x v="34"/>
    <x v="252"/>
    <n v="37369"/>
    <x v="531"/>
    <d v="1988-08-10T00:00:00"/>
    <x v="1"/>
    <x v="18"/>
    <n v="87719"/>
    <x v="1"/>
    <s v="US Citizen"/>
    <s v="Hispanic"/>
    <x v="320"/>
    <s v="Not Terminated"/>
    <x v="1"/>
    <x v="21"/>
    <n v="2"/>
    <x v="1"/>
    <n v="1"/>
    <x v="1"/>
    <n v="3"/>
    <s v="Fully Meets"/>
    <n v="3"/>
    <s v="Dissatisfied"/>
    <n v="4"/>
    <d v="2025-01-25T00:00:00"/>
    <n v="1"/>
    <n v="9"/>
  </r>
  <r>
    <n v="10233"/>
    <s v=" David Novak"/>
    <x v="1"/>
    <x v="1"/>
    <x v="1"/>
    <x v="4"/>
    <x v="0"/>
    <x v="253"/>
    <n v="33764"/>
    <x v="532"/>
    <d v="1992-02-16T00:00:00"/>
    <x v="2"/>
    <x v="18"/>
    <n v="68219"/>
    <x v="0"/>
    <s v="US Citizen"/>
    <s v="Hispanic"/>
    <x v="321"/>
    <s v="Not Terminated"/>
    <x v="1"/>
    <x v="21"/>
    <n v="3"/>
    <x v="0"/>
    <n v="0"/>
    <x v="7"/>
    <n v="4"/>
    <s v="Exceeds Expectations"/>
    <n v="4.8"/>
    <s v="Dissatisfied"/>
    <n v="5"/>
    <d v="2025-04-21T00:00:00"/>
    <n v="3"/>
    <n v="8"/>
  </r>
  <r>
    <n v="10234"/>
    <s v=" Kristin Thompson"/>
    <x v="1"/>
    <x v="1"/>
    <x v="0"/>
    <x v="7"/>
    <x v="3"/>
    <x v="254"/>
    <n v="39469"/>
    <x v="533"/>
    <d v="1971-04-08T00:00:00"/>
    <x v="1"/>
    <x v="0"/>
    <n v="86589"/>
    <x v="0"/>
    <s v="US Citizen"/>
    <s v="White"/>
    <x v="322"/>
    <s v="2023-02-16"/>
    <x v="0"/>
    <x v="18"/>
    <n v="2"/>
    <x v="1"/>
    <n v="1"/>
    <x v="7"/>
    <n v="4"/>
    <s v="Fully Meets"/>
    <n v="3.9"/>
    <s v="Very Dissatisfied"/>
    <n v="3"/>
    <d v="2025-07-01T00:00:00"/>
    <n v="0"/>
    <n v="3"/>
  </r>
  <r>
    <n v="10235"/>
    <s v=" Robert Freeman"/>
    <x v="0"/>
    <x v="0"/>
    <x v="0"/>
    <x v="10"/>
    <x v="0"/>
    <x v="255"/>
    <n v="115550"/>
    <x v="534"/>
    <d v="1993-07-02T00:00:00"/>
    <x v="1"/>
    <x v="7"/>
    <n v="33782"/>
    <x v="0"/>
    <s v="US Citizen"/>
    <s v="Asian"/>
    <x v="323"/>
    <s v="Not Terminated"/>
    <x v="0"/>
    <x v="18"/>
    <n v="3"/>
    <x v="2"/>
    <n v="0"/>
    <x v="9"/>
    <n v="1"/>
    <s v="Fully Meets"/>
    <n v="4.5"/>
    <s v="Very Satisfied"/>
    <n v="1"/>
    <d v="2025-01-16T00:00:00"/>
    <n v="3"/>
    <n v="1"/>
  </r>
  <r>
    <n v="10236"/>
    <s v=" David Barnes"/>
    <x v="1"/>
    <x v="2"/>
    <x v="1"/>
    <x v="6"/>
    <x v="33"/>
    <x v="256"/>
    <n v="31665"/>
    <x v="535"/>
    <d v="1967-03-31T00:00:00"/>
    <x v="2"/>
    <x v="0"/>
    <n v="27371"/>
    <x v="1"/>
    <s v="Non-Citizen"/>
    <s v="Other"/>
    <x v="324"/>
    <s v="Not Terminated"/>
    <x v="0"/>
    <x v="18"/>
    <n v="2"/>
    <x v="0"/>
    <n v="1"/>
    <x v="0"/>
    <n v="4"/>
    <s v="PIP"/>
    <n v="3.5"/>
    <s v="Neutral"/>
    <n v="5"/>
    <d v="2024-02-12T00:00:00"/>
    <n v="4"/>
    <n v="3"/>
  </r>
  <r>
    <n v="10237"/>
    <s v=" Whitney Hill"/>
    <x v="1"/>
    <x v="0"/>
    <x v="1"/>
    <x v="9"/>
    <x v="0"/>
    <x v="257"/>
    <n v="105228"/>
    <x v="536"/>
    <d v="1972-08-30T00:00:00"/>
    <x v="2"/>
    <x v="18"/>
    <n v="41592"/>
    <x v="1"/>
    <s v="Non-Citizen"/>
    <s v="White"/>
    <x v="325"/>
    <s v="Not Terminated"/>
    <x v="0"/>
    <x v="18"/>
    <n v="3"/>
    <x v="0"/>
    <n v="1"/>
    <x v="1"/>
    <n v="3"/>
    <s v="Exceeds Expectations"/>
    <n v="4.0999999999999996"/>
    <s v="Satisfied"/>
    <n v="0"/>
    <d v="2025-11-07T00:00:00"/>
    <n v="1"/>
    <n v="10"/>
  </r>
  <r>
    <n v="10238"/>
    <s v=" Gregory Alexander"/>
    <x v="1"/>
    <x v="1"/>
    <x v="0"/>
    <x v="10"/>
    <x v="34"/>
    <x v="258"/>
    <n v="64295"/>
    <x v="537"/>
    <d v="1965-06-02T00:00:00"/>
    <x v="2"/>
    <x v="15"/>
    <n v="17007"/>
    <x v="0"/>
    <s v="US Citizen"/>
    <s v="White"/>
    <x v="326"/>
    <s v="Not Terminated"/>
    <x v="1"/>
    <x v="22"/>
    <n v="3"/>
    <x v="0"/>
    <n v="0"/>
    <x v="0"/>
    <n v="3"/>
    <s v="Exceeds Expectations"/>
    <n v="3.5"/>
    <s v="Satisfied"/>
    <n v="1"/>
    <d v="2025-02-05T00:00:00"/>
    <n v="5"/>
    <n v="4"/>
  </r>
  <r>
    <n v="10239"/>
    <s v=" Kelly Oconnell"/>
    <x v="1"/>
    <x v="2"/>
    <x v="0"/>
    <x v="4"/>
    <x v="33"/>
    <x v="259"/>
    <n v="45011"/>
    <x v="538"/>
    <d v="1968-09-21T00:00:00"/>
    <x v="1"/>
    <x v="15"/>
    <n v="41998"/>
    <x v="0"/>
    <s v="Non-Citizen"/>
    <s v="Hispanic"/>
    <x v="327"/>
    <s v="2022-12-12"/>
    <x v="0"/>
    <x v="19"/>
    <n v="2"/>
    <x v="2"/>
    <n v="1"/>
    <x v="0"/>
    <n v="4"/>
    <s v="Fully Meets"/>
    <n v="3"/>
    <s v="Dissatisfied"/>
    <n v="1"/>
    <d v="2025-06-23T00:00:00"/>
    <n v="1"/>
    <n v="2"/>
  </r>
  <r>
    <n v="10240"/>
    <s v=" Amber Wang MD"/>
    <x v="1"/>
    <x v="1"/>
    <x v="0"/>
    <x v="10"/>
    <x v="32"/>
    <x v="260"/>
    <n v="107307"/>
    <x v="539"/>
    <d v="1979-10-23T00:00:00"/>
    <x v="2"/>
    <x v="1"/>
    <n v="11639"/>
    <x v="1"/>
    <s v="US Citizen"/>
    <s v="Other"/>
    <x v="328"/>
    <s v="Not Terminated"/>
    <x v="0"/>
    <x v="22"/>
    <n v="1"/>
    <x v="0"/>
    <n v="0"/>
    <x v="9"/>
    <n v="2"/>
    <s v="PIP"/>
    <n v="3"/>
    <s v="Very Dissatisfied"/>
    <n v="3"/>
    <d v="2025-06-10T00:00:00"/>
    <n v="2"/>
    <n v="8"/>
  </r>
  <r>
    <n v="10241"/>
    <s v=" Ronald Ochoa"/>
    <x v="0"/>
    <x v="2"/>
    <x v="0"/>
    <x v="7"/>
    <x v="3"/>
    <x v="261"/>
    <n v="71606"/>
    <x v="540"/>
    <d v="1966-08-07T00:00:00"/>
    <x v="1"/>
    <x v="7"/>
    <n v="15568"/>
    <x v="0"/>
    <s v="Non-Citizen"/>
    <s v="Black"/>
    <x v="329"/>
    <s v="Not Terminated"/>
    <x v="0"/>
    <x v="18"/>
    <n v="3"/>
    <x v="1"/>
    <n v="0"/>
    <x v="7"/>
    <n v="2"/>
    <s v="Needs Improvement"/>
    <n v="3.4"/>
    <s v="Very Satisfied"/>
    <n v="1"/>
    <d v="2024-11-30T00:00:00"/>
    <n v="0"/>
    <n v="9"/>
  </r>
  <r>
    <n v="10242"/>
    <s v=" Patricia Hunter"/>
    <x v="0"/>
    <x v="1"/>
    <x v="0"/>
    <x v="6"/>
    <x v="32"/>
    <x v="262"/>
    <n v="52599"/>
    <x v="185"/>
    <d v="1996-12-27T00:00:00"/>
    <x v="2"/>
    <x v="7"/>
    <n v="28507"/>
    <x v="1"/>
    <s v="US Citizen"/>
    <s v="White"/>
    <x v="330"/>
    <s v="2025-01-07"/>
    <x v="1"/>
    <x v="22"/>
    <n v="1"/>
    <x v="0"/>
    <n v="0"/>
    <x v="9"/>
    <n v="4"/>
    <s v="Fully Meets"/>
    <n v="4.3"/>
    <s v="Very Satisfied"/>
    <n v="3"/>
    <d v="2025-03-21T00:00:00"/>
    <n v="3"/>
    <n v="3"/>
  </r>
  <r>
    <n v="10243"/>
    <s v=" Susan Daniels"/>
    <x v="0"/>
    <x v="1"/>
    <x v="0"/>
    <x v="4"/>
    <x v="32"/>
    <x v="263"/>
    <n v="54043"/>
    <x v="541"/>
    <d v="1964-11-30T00:00:00"/>
    <x v="2"/>
    <x v="1"/>
    <n v="51978"/>
    <x v="1"/>
    <s v="Non-Citizen"/>
    <s v="Black"/>
    <x v="331"/>
    <s v="Not Terminated"/>
    <x v="1"/>
    <x v="20"/>
    <n v="1"/>
    <x v="2"/>
    <n v="1"/>
    <x v="7"/>
    <n v="3"/>
    <s v="Exceeds Expectations"/>
    <n v="2.7"/>
    <s v="Dissatisfied"/>
    <n v="1"/>
    <d v="2025-02-17T00:00:00"/>
    <n v="0"/>
    <n v="10"/>
  </r>
  <r>
    <n v="10244"/>
    <s v=" Mark Gentry"/>
    <x v="0"/>
    <x v="2"/>
    <x v="1"/>
    <x v="8"/>
    <x v="32"/>
    <x v="264"/>
    <n v="109506"/>
    <x v="542"/>
    <d v="1973-06-09T00:00:00"/>
    <x v="1"/>
    <x v="18"/>
    <n v="31734"/>
    <x v="0"/>
    <s v="US Citizen"/>
    <s v="Hispanic"/>
    <x v="332"/>
    <s v="2024-06-04"/>
    <x v="1"/>
    <x v="20"/>
    <n v="1"/>
    <x v="1"/>
    <n v="1"/>
    <x v="1"/>
    <n v="1"/>
    <s v="Exceeds Expectations"/>
    <n v="3.6"/>
    <s v="Very Satisfied"/>
    <n v="4"/>
    <d v="2025-05-17T00:00:00"/>
    <n v="3"/>
    <n v="9"/>
  </r>
  <r>
    <n v="10245"/>
    <s v=" Melissa Graham"/>
    <x v="1"/>
    <x v="0"/>
    <x v="0"/>
    <x v="8"/>
    <x v="3"/>
    <x v="265"/>
    <n v="87882"/>
    <x v="543"/>
    <d v="1997-02-21T00:00:00"/>
    <x v="2"/>
    <x v="0"/>
    <n v="56812"/>
    <x v="1"/>
    <s v="Non-Citizen"/>
    <s v="Black"/>
    <x v="333"/>
    <s v="Not Terminated"/>
    <x v="0"/>
    <x v="21"/>
    <n v="3"/>
    <x v="1"/>
    <n v="1"/>
    <x v="0"/>
    <n v="4"/>
    <s v="Fully Meets"/>
    <n v="4.4000000000000004"/>
    <s v="Satisfied"/>
    <n v="5"/>
    <d v="2024-03-11T00:00:00"/>
    <n v="3"/>
    <n v="1"/>
  </r>
  <r>
    <n v="10246"/>
    <s v=" Benjamin Anderson"/>
    <x v="0"/>
    <x v="1"/>
    <x v="1"/>
    <x v="4"/>
    <x v="33"/>
    <x v="266"/>
    <n v="31313"/>
    <x v="544"/>
    <d v="1984-06-01T00:00:00"/>
    <x v="2"/>
    <x v="18"/>
    <n v="11419"/>
    <x v="0"/>
    <s v="US Citizen"/>
    <s v="Asian"/>
    <x v="334"/>
    <s v="Not Terminated"/>
    <x v="1"/>
    <x v="19"/>
    <n v="1"/>
    <x v="0"/>
    <n v="0"/>
    <x v="9"/>
    <n v="1"/>
    <s v="Exceeds Expectations"/>
    <n v="3"/>
    <s v="Very Satisfied"/>
    <n v="0"/>
    <d v="2024-08-11T00:00:00"/>
    <n v="5"/>
    <n v="8"/>
  </r>
  <r>
    <n v="10247"/>
    <s v=" Christopher Miller"/>
    <x v="1"/>
    <x v="0"/>
    <x v="1"/>
    <x v="8"/>
    <x v="32"/>
    <x v="267"/>
    <n v="109181"/>
    <x v="545"/>
    <d v="2000-10-01T00:00:00"/>
    <x v="1"/>
    <x v="7"/>
    <n v="86025"/>
    <x v="1"/>
    <s v="Non-Citizen"/>
    <s v="Black"/>
    <x v="335"/>
    <s v="2020-12-28"/>
    <x v="0"/>
    <x v="21"/>
    <n v="1"/>
    <x v="2"/>
    <n v="0"/>
    <x v="7"/>
    <n v="1"/>
    <s v="Needs Improvement"/>
    <n v="4.0999999999999996"/>
    <s v="Satisfied"/>
    <n v="1"/>
    <d v="2025-01-11T00:00:00"/>
    <n v="4"/>
    <n v="1"/>
  </r>
  <r>
    <n v="10248"/>
    <s v=" Randy Duffy"/>
    <x v="0"/>
    <x v="0"/>
    <x v="1"/>
    <x v="7"/>
    <x v="34"/>
    <x v="268"/>
    <n v="115043"/>
    <x v="546"/>
    <d v="2003-02-23T00:00:00"/>
    <x v="2"/>
    <x v="15"/>
    <n v="92397"/>
    <x v="1"/>
    <s v="US Citizen"/>
    <s v="Other"/>
    <x v="336"/>
    <s v="Not Terminated"/>
    <x v="1"/>
    <x v="22"/>
    <n v="2"/>
    <x v="1"/>
    <n v="1"/>
    <x v="9"/>
    <n v="1"/>
    <s v="Exceeds Expectations"/>
    <n v="4.8"/>
    <s v="Very Satisfied"/>
    <n v="0"/>
    <d v="2024-11-21T00:00:00"/>
    <n v="1"/>
    <n v="10"/>
  </r>
  <r>
    <n v="10249"/>
    <s v=" Mary Turner"/>
    <x v="1"/>
    <x v="2"/>
    <x v="1"/>
    <x v="6"/>
    <x v="0"/>
    <x v="269"/>
    <n v="49130"/>
    <x v="547"/>
    <d v="1988-11-29T00:00:00"/>
    <x v="1"/>
    <x v="18"/>
    <n v="90526"/>
    <x v="1"/>
    <s v="US Citizen"/>
    <s v="Asian"/>
    <x v="325"/>
    <s v="Not Terminated"/>
    <x v="1"/>
    <x v="22"/>
    <n v="1"/>
    <x v="1"/>
    <n v="1"/>
    <x v="7"/>
    <n v="2"/>
    <s v="Needs Improvement"/>
    <n v="4.9000000000000004"/>
    <s v="Very Satisfied"/>
    <n v="0"/>
    <d v="2025-06-03T00:00:00"/>
    <n v="2"/>
    <n v="9"/>
  </r>
  <r>
    <n v="10250"/>
    <s v=" Amanda Knox"/>
    <x v="1"/>
    <x v="0"/>
    <x v="0"/>
    <x v="10"/>
    <x v="0"/>
    <x v="270"/>
    <n v="99099"/>
    <x v="548"/>
    <d v="1982-12-16T00:00:00"/>
    <x v="2"/>
    <x v="18"/>
    <n v="42007"/>
    <x v="0"/>
    <s v="Non-Citizen"/>
    <s v="Asian"/>
    <x v="337"/>
    <s v="Not Terminated"/>
    <x v="0"/>
    <x v="18"/>
    <n v="2"/>
    <x v="1"/>
    <n v="1"/>
    <x v="10"/>
    <n v="1"/>
    <s v="Needs Improvement"/>
    <n v="3.8"/>
    <s v="Neutral"/>
    <n v="0"/>
    <d v="2025-08-13T00:00:00"/>
    <n v="0"/>
    <n v="4"/>
  </r>
  <r>
    <n v="10251"/>
    <s v=" Nicole Robinson"/>
    <x v="0"/>
    <x v="0"/>
    <x v="0"/>
    <x v="7"/>
    <x v="32"/>
    <x v="271"/>
    <n v="110155"/>
    <x v="549"/>
    <d v="1967-01-11T00:00:00"/>
    <x v="2"/>
    <x v="0"/>
    <n v="41906"/>
    <x v="0"/>
    <s v="US Citizen"/>
    <s v="Other"/>
    <x v="185"/>
    <s v="Not Terminated"/>
    <x v="0"/>
    <x v="20"/>
    <n v="1"/>
    <x v="1"/>
    <n v="0"/>
    <x v="7"/>
    <n v="2"/>
    <s v="Fully Meets"/>
    <n v="4.0999999999999996"/>
    <s v="Very Dissatisfied"/>
    <n v="3"/>
    <d v="2025-09-28T00:00:00"/>
    <n v="1"/>
    <n v="5"/>
  </r>
  <r>
    <n v="10252"/>
    <s v=" Javier Hayden"/>
    <x v="0"/>
    <x v="0"/>
    <x v="0"/>
    <x v="8"/>
    <x v="32"/>
    <x v="272"/>
    <n v="63163"/>
    <x v="550"/>
    <d v="1969-09-09T00:00:00"/>
    <x v="1"/>
    <x v="1"/>
    <n v="26733"/>
    <x v="0"/>
    <s v="US Citizen"/>
    <s v="White"/>
    <x v="338"/>
    <s v="2022-10-27"/>
    <x v="1"/>
    <x v="18"/>
    <n v="2"/>
    <x v="0"/>
    <n v="1"/>
    <x v="10"/>
    <n v="3"/>
    <s v="Fully Meets"/>
    <n v="4.5"/>
    <s v="Very Dissatisfied"/>
    <n v="4"/>
    <d v="2025-02-09T00:00:00"/>
    <n v="1"/>
    <n v="0"/>
  </r>
  <r>
    <n v="10253"/>
    <s v=" Emily Williams"/>
    <x v="0"/>
    <x v="0"/>
    <x v="1"/>
    <x v="4"/>
    <x v="34"/>
    <x v="273"/>
    <n v="102158"/>
    <x v="551"/>
    <d v="1999-02-04T00:00:00"/>
    <x v="1"/>
    <x v="7"/>
    <n v="83553"/>
    <x v="1"/>
    <s v="Non-Citizen"/>
    <s v="Hispanic"/>
    <x v="339"/>
    <s v="Not Terminated"/>
    <x v="1"/>
    <x v="20"/>
    <n v="3"/>
    <x v="1"/>
    <n v="0"/>
    <x v="10"/>
    <n v="1"/>
    <s v="Needs Improvement"/>
    <n v="3.8"/>
    <s v="Neutral"/>
    <n v="5"/>
    <d v="2024-11-11T00:00:00"/>
    <n v="0"/>
    <n v="9"/>
  </r>
  <r>
    <n v="10254"/>
    <s v=" Brenda Baker"/>
    <x v="1"/>
    <x v="0"/>
    <x v="1"/>
    <x v="8"/>
    <x v="34"/>
    <x v="274"/>
    <n v="84937"/>
    <x v="552"/>
    <d v="1974-02-10T00:00:00"/>
    <x v="1"/>
    <x v="1"/>
    <n v="78097"/>
    <x v="0"/>
    <s v="Non-Citizen"/>
    <s v="Asian"/>
    <x v="340"/>
    <s v="2022-04-22"/>
    <x v="0"/>
    <x v="20"/>
    <n v="2"/>
    <x v="0"/>
    <n v="0"/>
    <x v="7"/>
    <n v="3"/>
    <s v="Fully Meets"/>
    <n v="4.5999999999999996"/>
    <s v="Very Dissatisfied"/>
    <n v="0"/>
    <d v="2025-11-06T00:00:00"/>
    <n v="5"/>
    <n v="10"/>
  </r>
  <r>
    <n v="10255"/>
    <s v=" Andre Lopez"/>
    <x v="1"/>
    <x v="1"/>
    <x v="1"/>
    <x v="6"/>
    <x v="3"/>
    <x v="275"/>
    <n v="104607"/>
    <x v="553"/>
    <d v="1989-06-16T00:00:00"/>
    <x v="1"/>
    <x v="1"/>
    <n v="66205"/>
    <x v="0"/>
    <s v="Non-Citizen"/>
    <s v="White"/>
    <x v="341"/>
    <s v="Not Terminated"/>
    <x v="1"/>
    <x v="18"/>
    <n v="1"/>
    <x v="1"/>
    <n v="1"/>
    <x v="9"/>
    <n v="2"/>
    <s v="PIP"/>
    <n v="3.1"/>
    <s v="Very Dissatisfied"/>
    <n v="4"/>
    <d v="2024-12-26T00:00:00"/>
    <n v="1"/>
    <n v="4"/>
  </r>
  <r>
    <n v="10256"/>
    <s v=" John White"/>
    <x v="0"/>
    <x v="2"/>
    <x v="1"/>
    <x v="8"/>
    <x v="32"/>
    <x v="276"/>
    <n v="47142"/>
    <x v="554"/>
    <d v="1989-12-02T00:00:00"/>
    <x v="2"/>
    <x v="1"/>
    <n v="87244"/>
    <x v="1"/>
    <s v="US Citizen"/>
    <s v="White"/>
    <x v="342"/>
    <s v="Not Terminated"/>
    <x v="1"/>
    <x v="22"/>
    <n v="3"/>
    <x v="2"/>
    <n v="0"/>
    <x v="9"/>
    <n v="4"/>
    <s v="Fully Meets"/>
    <n v="3.4"/>
    <s v="Neutral"/>
    <n v="1"/>
    <d v="2025-10-25T00:00:00"/>
    <n v="0"/>
    <n v="10"/>
  </r>
  <r>
    <n v="10257"/>
    <s v=" Nancy Smith"/>
    <x v="0"/>
    <x v="1"/>
    <x v="1"/>
    <x v="8"/>
    <x v="32"/>
    <x v="277"/>
    <n v="57998"/>
    <x v="555"/>
    <d v="1982-06-12T00:00:00"/>
    <x v="2"/>
    <x v="18"/>
    <n v="55656"/>
    <x v="1"/>
    <s v="US Citizen"/>
    <s v="Hispanic"/>
    <x v="343"/>
    <s v="2024-02-17"/>
    <x v="0"/>
    <x v="18"/>
    <n v="1"/>
    <x v="0"/>
    <n v="0"/>
    <x v="0"/>
    <n v="3"/>
    <s v="Exceeds Expectations"/>
    <n v="3.6"/>
    <s v="Dissatisfied"/>
    <n v="5"/>
    <d v="2025-02-09T00:00:00"/>
    <n v="4"/>
    <n v="3"/>
  </r>
  <r>
    <n v="10258"/>
    <s v=" Jason Murray"/>
    <x v="1"/>
    <x v="0"/>
    <x v="0"/>
    <x v="9"/>
    <x v="0"/>
    <x v="278"/>
    <n v="102504"/>
    <x v="556"/>
    <d v="1969-03-03T00:00:00"/>
    <x v="2"/>
    <x v="1"/>
    <n v="88915"/>
    <x v="0"/>
    <s v="US Citizen"/>
    <s v="Hispanic"/>
    <x v="344"/>
    <s v="Not Terminated"/>
    <x v="0"/>
    <x v="22"/>
    <n v="3"/>
    <x v="0"/>
    <n v="0"/>
    <x v="1"/>
    <n v="3"/>
    <s v="Needs Improvement"/>
    <n v="4.9000000000000004"/>
    <s v="Neutral"/>
    <n v="0"/>
    <d v="2025-07-21T00:00:00"/>
    <n v="4"/>
    <n v="9"/>
  </r>
  <r>
    <n v="10259"/>
    <s v=" Gregory Lam"/>
    <x v="1"/>
    <x v="1"/>
    <x v="1"/>
    <x v="4"/>
    <x v="0"/>
    <x v="279"/>
    <n v="55346"/>
    <x v="557"/>
    <d v="1973-03-13T00:00:00"/>
    <x v="2"/>
    <x v="1"/>
    <n v="93676"/>
    <x v="0"/>
    <s v="Non-Citizen"/>
    <s v="Black"/>
    <x v="345"/>
    <s v="Not Terminated"/>
    <x v="1"/>
    <x v="22"/>
    <n v="2"/>
    <x v="1"/>
    <n v="1"/>
    <x v="9"/>
    <n v="1"/>
    <s v="Exceeds Expectations"/>
    <n v="4.3"/>
    <s v="Very Satisfied"/>
    <n v="3"/>
    <d v="2025-04-02T00:00:00"/>
    <n v="0"/>
    <n v="7"/>
  </r>
  <r>
    <n v="10260"/>
    <s v=" Mrs. Tara Carpenter"/>
    <x v="0"/>
    <x v="2"/>
    <x v="1"/>
    <x v="9"/>
    <x v="33"/>
    <x v="280"/>
    <n v="79554"/>
    <x v="558"/>
    <d v="1989-11-09T00:00:00"/>
    <x v="1"/>
    <x v="15"/>
    <n v="42704"/>
    <x v="1"/>
    <s v="Non-Citizen"/>
    <s v="White"/>
    <x v="346"/>
    <s v="Not Terminated"/>
    <x v="1"/>
    <x v="22"/>
    <n v="1"/>
    <x v="1"/>
    <n v="1"/>
    <x v="9"/>
    <n v="1"/>
    <s v="Exceeds Expectations"/>
    <n v="4.9000000000000004"/>
    <s v="Neutral"/>
    <n v="5"/>
    <d v="2025-01-07T00:00:00"/>
    <n v="1"/>
    <n v="4"/>
  </r>
  <r>
    <n v="10261"/>
    <s v=" Eric Gross"/>
    <x v="1"/>
    <x v="1"/>
    <x v="0"/>
    <x v="4"/>
    <x v="3"/>
    <x v="281"/>
    <n v="56664"/>
    <x v="559"/>
    <d v="1976-02-14T00:00:00"/>
    <x v="1"/>
    <x v="7"/>
    <n v="80848"/>
    <x v="1"/>
    <s v="Non-Citizen"/>
    <s v="White"/>
    <x v="347"/>
    <s v="Not Terminated"/>
    <x v="1"/>
    <x v="21"/>
    <n v="3"/>
    <x v="2"/>
    <n v="0"/>
    <x v="10"/>
    <n v="4"/>
    <s v="PIP"/>
    <n v="4.2"/>
    <s v="Dissatisfied"/>
    <n v="3"/>
    <d v="2025-02-25T00:00:00"/>
    <n v="5"/>
    <n v="9"/>
  </r>
  <r>
    <n v="10262"/>
    <s v=" John Parker"/>
    <x v="1"/>
    <x v="0"/>
    <x v="1"/>
    <x v="8"/>
    <x v="33"/>
    <x v="282"/>
    <n v="95617"/>
    <x v="560"/>
    <d v="1997-03-20T00:00:00"/>
    <x v="2"/>
    <x v="1"/>
    <n v="98767"/>
    <x v="1"/>
    <s v="US Citizen"/>
    <s v="Black"/>
    <x v="348"/>
    <s v="Not Terminated"/>
    <x v="0"/>
    <x v="22"/>
    <n v="1"/>
    <x v="0"/>
    <n v="1"/>
    <x v="1"/>
    <n v="2"/>
    <s v="PIP"/>
    <n v="3.8"/>
    <s v="Very Satisfied"/>
    <n v="4"/>
    <d v="2025-04-17T00:00:00"/>
    <n v="5"/>
    <n v="9"/>
  </r>
  <r>
    <n v="10263"/>
    <s v=" Tyler Arnold"/>
    <x v="1"/>
    <x v="0"/>
    <x v="0"/>
    <x v="4"/>
    <x v="3"/>
    <x v="283"/>
    <n v="61913"/>
    <x v="561"/>
    <d v="1978-05-09T00:00:00"/>
    <x v="1"/>
    <x v="18"/>
    <n v="581"/>
    <x v="0"/>
    <s v="Non-Citizen"/>
    <s v="Other"/>
    <x v="349"/>
    <s v="Not Terminated"/>
    <x v="0"/>
    <x v="20"/>
    <n v="1"/>
    <x v="0"/>
    <n v="1"/>
    <x v="9"/>
    <n v="4"/>
    <s v="PIP"/>
    <n v="3.1"/>
    <s v="Very Satisfied"/>
    <n v="5"/>
    <d v="2025-01-31T00:00:00"/>
    <n v="3"/>
    <n v="8"/>
  </r>
  <r>
    <n v="10264"/>
    <s v=" Ann Pham"/>
    <x v="0"/>
    <x v="2"/>
    <x v="0"/>
    <x v="6"/>
    <x v="33"/>
    <x v="284"/>
    <n v="114040"/>
    <x v="562"/>
    <d v="1964-12-27T00:00:00"/>
    <x v="2"/>
    <x v="1"/>
    <n v="58219"/>
    <x v="0"/>
    <s v="Non-Citizen"/>
    <s v="Black"/>
    <x v="350"/>
    <s v="Not Terminated"/>
    <x v="0"/>
    <x v="21"/>
    <n v="2"/>
    <x v="2"/>
    <n v="0"/>
    <x v="10"/>
    <n v="2"/>
    <s v="Fully Meets"/>
    <n v="4.0999999999999996"/>
    <s v="Very Satisfied"/>
    <n v="4"/>
    <d v="2025-01-14T00:00:00"/>
    <n v="2"/>
    <n v="7"/>
  </r>
  <r>
    <n v="10265"/>
    <s v=" Alexander Mayer"/>
    <x v="0"/>
    <x v="1"/>
    <x v="1"/>
    <x v="9"/>
    <x v="3"/>
    <x v="285"/>
    <n v="46304"/>
    <x v="563"/>
    <d v="1974-09-17T00:00:00"/>
    <x v="2"/>
    <x v="1"/>
    <n v="51399"/>
    <x v="1"/>
    <s v="US Citizen"/>
    <s v="Black"/>
    <x v="240"/>
    <s v="2023-12-14"/>
    <x v="1"/>
    <x v="20"/>
    <n v="1"/>
    <x v="0"/>
    <n v="1"/>
    <x v="0"/>
    <n v="1"/>
    <s v="Needs Improvement"/>
    <n v="4.5999999999999996"/>
    <s v="Very Satisfied"/>
    <n v="3"/>
    <d v="2025-08-07T00:00:00"/>
    <n v="2"/>
    <n v="3"/>
  </r>
  <r>
    <n v="10266"/>
    <s v=" Thomas Johns"/>
    <x v="1"/>
    <x v="1"/>
    <x v="0"/>
    <x v="9"/>
    <x v="3"/>
    <x v="286"/>
    <n v="86196"/>
    <x v="564"/>
    <d v="1982-05-29T00:00:00"/>
    <x v="1"/>
    <x v="7"/>
    <n v="3546"/>
    <x v="1"/>
    <s v="Non-Citizen"/>
    <s v="Black"/>
    <x v="351"/>
    <s v="Not Terminated"/>
    <x v="0"/>
    <x v="22"/>
    <n v="2"/>
    <x v="2"/>
    <n v="0"/>
    <x v="0"/>
    <n v="2"/>
    <s v="Needs Improvement"/>
    <n v="3"/>
    <s v="Very Dissatisfied"/>
    <n v="4"/>
    <d v="2025-02-06T00:00:00"/>
    <n v="4"/>
    <n v="8"/>
  </r>
  <r>
    <n v="10267"/>
    <s v=" Seth Greer"/>
    <x v="0"/>
    <x v="1"/>
    <x v="1"/>
    <x v="4"/>
    <x v="33"/>
    <x v="287"/>
    <n v="44031"/>
    <x v="565"/>
    <d v="1965-07-28T00:00:00"/>
    <x v="2"/>
    <x v="18"/>
    <n v="93355"/>
    <x v="0"/>
    <s v="US Citizen"/>
    <s v="Asian"/>
    <x v="352"/>
    <s v="Not Terminated"/>
    <x v="0"/>
    <x v="18"/>
    <n v="3"/>
    <x v="0"/>
    <n v="0"/>
    <x v="7"/>
    <n v="4"/>
    <s v="Needs Improvement"/>
    <n v="4.5999999999999996"/>
    <s v="Very Dissatisfied"/>
    <n v="2"/>
    <d v="2025-03-22T00:00:00"/>
    <n v="3"/>
    <n v="9"/>
  </r>
  <r>
    <n v="10268"/>
    <s v=" William Frazier"/>
    <x v="0"/>
    <x v="2"/>
    <x v="1"/>
    <x v="9"/>
    <x v="33"/>
    <x v="288"/>
    <n v="31174"/>
    <x v="566"/>
    <d v="1994-12-12T00:00:00"/>
    <x v="2"/>
    <x v="15"/>
    <n v="89874"/>
    <x v="1"/>
    <s v="US Citizen"/>
    <s v="Asian"/>
    <x v="353"/>
    <s v="Not Terminated"/>
    <x v="1"/>
    <x v="20"/>
    <n v="2"/>
    <x v="1"/>
    <n v="0"/>
    <x v="10"/>
    <n v="1"/>
    <s v="Fully Meets"/>
    <n v="3"/>
    <s v="Satisfied"/>
    <n v="2"/>
    <d v="2025-08-01T00:00:00"/>
    <n v="2"/>
    <n v="7"/>
  </r>
  <r>
    <n v="10269"/>
    <s v=" Christine Dalton"/>
    <x v="0"/>
    <x v="1"/>
    <x v="1"/>
    <x v="9"/>
    <x v="34"/>
    <x v="289"/>
    <n v="112858"/>
    <x v="567"/>
    <d v="1993-10-10T00:00:00"/>
    <x v="2"/>
    <x v="15"/>
    <n v="27102"/>
    <x v="1"/>
    <s v="Non-Citizen"/>
    <s v="Asian"/>
    <x v="137"/>
    <s v="Not Terminated"/>
    <x v="0"/>
    <x v="18"/>
    <n v="2"/>
    <x v="2"/>
    <n v="0"/>
    <x v="0"/>
    <n v="1"/>
    <s v="Fully Meets"/>
    <n v="3.2"/>
    <s v="Very Satisfied"/>
    <n v="0"/>
    <d v="2025-03-21T00:00:00"/>
    <n v="0"/>
    <n v="10"/>
  </r>
  <r>
    <n v="10270"/>
    <s v=" Ryan Sanchez"/>
    <x v="1"/>
    <x v="0"/>
    <x v="1"/>
    <x v="9"/>
    <x v="32"/>
    <x v="290"/>
    <n v="84353"/>
    <x v="568"/>
    <d v="1996-06-27T00:00:00"/>
    <x v="1"/>
    <x v="7"/>
    <n v="75191"/>
    <x v="1"/>
    <s v="Non-Citizen"/>
    <s v="Other"/>
    <x v="354"/>
    <s v="Not Terminated"/>
    <x v="1"/>
    <x v="19"/>
    <n v="3"/>
    <x v="0"/>
    <n v="0"/>
    <x v="9"/>
    <n v="3"/>
    <s v="Exceeds Expectations"/>
    <n v="3.1"/>
    <s v="Very Satisfied"/>
    <n v="2"/>
    <d v="2025-05-04T00:00:00"/>
    <n v="4"/>
    <n v="8"/>
  </r>
  <r>
    <n v="10271"/>
    <s v=" Casey Walters"/>
    <x v="1"/>
    <x v="1"/>
    <x v="0"/>
    <x v="9"/>
    <x v="34"/>
    <x v="291"/>
    <n v="37270"/>
    <x v="569"/>
    <d v="1971-07-24T00:00:00"/>
    <x v="2"/>
    <x v="0"/>
    <n v="94671"/>
    <x v="1"/>
    <s v="Non-Citizen"/>
    <s v="White"/>
    <x v="355"/>
    <s v="Not Terminated"/>
    <x v="0"/>
    <x v="22"/>
    <n v="1"/>
    <x v="1"/>
    <n v="0"/>
    <x v="9"/>
    <n v="1"/>
    <s v="Needs Improvement"/>
    <n v="5"/>
    <s v="Very Dissatisfied"/>
    <n v="5"/>
    <d v="2025-04-30T00:00:00"/>
    <n v="1"/>
    <n v="0"/>
  </r>
  <r>
    <n v="10272"/>
    <s v=" Robert Clark"/>
    <x v="0"/>
    <x v="1"/>
    <x v="0"/>
    <x v="9"/>
    <x v="32"/>
    <x v="292"/>
    <n v="118516"/>
    <x v="570"/>
    <d v="1981-03-15T00:00:00"/>
    <x v="1"/>
    <x v="1"/>
    <n v="26692"/>
    <x v="1"/>
    <s v="US Citizen"/>
    <s v="Other"/>
    <x v="356"/>
    <s v="2022-07-16"/>
    <x v="0"/>
    <x v="19"/>
    <n v="2"/>
    <x v="1"/>
    <n v="0"/>
    <x v="9"/>
    <n v="3"/>
    <s v="Needs Improvement"/>
    <n v="3.9"/>
    <s v="Very Dissatisfied"/>
    <n v="0"/>
    <d v="2025-09-23T00:00:00"/>
    <n v="4"/>
    <n v="9"/>
  </r>
  <r>
    <n v="10273"/>
    <s v=" James Brown"/>
    <x v="1"/>
    <x v="2"/>
    <x v="1"/>
    <x v="4"/>
    <x v="3"/>
    <x v="293"/>
    <n v="31659"/>
    <x v="571"/>
    <d v="1990-10-23T00:00:00"/>
    <x v="1"/>
    <x v="18"/>
    <n v="52848"/>
    <x v="0"/>
    <s v="US Citizen"/>
    <s v="Hispanic"/>
    <x v="357"/>
    <s v="Not Terminated"/>
    <x v="1"/>
    <x v="20"/>
    <n v="2"/>
    <x v="0"/>
    <n v="1"/>
    <x v="10"/>
    <n v="4"/>
    <s v="Needs Improvement"/>
    <n v="3.6"/>
    <s v="Satisfied"/>
    <n v="2"/>
    <d v="2025-02-07T00:00:00"/>
    <n v="1"/>
    <n v="4"/>
  </r>
  <r>
    <n v="10274"/>
    <s v=" Alexandra Baker"/>
    <x v="1"/>
    <x v="1"/>
    <x v="0"/>
    <x v="9"/>
    <x v="3"/>
    <x v="294"/>
    <n v="110146"/>
    <x v="572"/>
    <d v="1997-03-04T00:00:00"/>
    <x v="2"/>
    <x v="1"/>
    <n v="11402"/>
    <x v="1"/>
    <s v="Non-Citizen"/>
    <s v="Black"/>
    <x v="358"/>
    <s v="2021-04-27"/>
    <x v="0"/>
    <x v="18"/>
    <n v="3"/>
    <x v="1"/>
    <n v="1"/>
    <x v="10"/>
    <n v="3"/>
    <s v="Fully Meets"/>
    <n v="4.0999999999999996"/>
    <s v="Very Dissatisfied"/>
    <n v="5"/>
    <d v="2024-11-11T00:00:00"/>
    <n v="5"/>
    <n v="4"/>
  </r>
  <r>
    <n v="10275"/>
    <s v=" Thomas Duncan"/>
    <x v="1"/>
    <x v="0"/>
    <x v="1"/>
    <x v="8"/>
    <x v="34"/>
    <x v="295"/>
    <n v="82346"/>
    <x v="573"/>
    <d v="2002-06-13T00:00:00"/>
    <x v="1"/>
    <x v="0"/>
    <n v="25462"/>
    <x v="0"/>
    <s v="US Citizen"/>
    <s v="White"/>
    <x v="359"/>
    <s v="Not Terminated"/>
    <x v="1"/>
    <x v="20"/>
    <n v="1"/>
    <x v="1"/>
    <n v="1"/>
    <x v="0"/>
    <n v="4"/>
    <s v="PIP"/>
    <n v="4.3"/>
    <s v="Neutral"/>
    <n v="1"/>
    <d v="2025-05-30T00:00:00"/>
    <n v="2"/>
    <n v="5"/>
  </r>
  <r>
    <n v="10276"/>
    <s v=" Stephanie Sanchez"/>
    <x v="0"/>
    <x v="0"/>
    <x v="0"/>
    <x v="6"/>
    <x v="0"/>
    <x v="296"/>
    <n v="102533"/>
    <x v="574"/>
    <d v="2001-12-21T00:00:00"/>
    <x v="2"/>
    <x v="1"/>
    <n v="31639"/>
    <x v="1"/>
    <s v="US Citizen"/>
    <s v="Hispanic"/>
    <x v="360"/>
    <s v="Not Terminated"/>
    <x v="1"/>
    <x v="21"/>
    <n v="3"/>
    <x v="2"/>
    <n v="1"/>
    <x v="10"/>
    <n v="1"/>
    <s v="PIP"/>
    <n v="4.7"/>
    <s v="Very Satisfied"/>
    <n v="4"/>
    <d v="2025-01-16T00:00:00"/>
    <n v="5"/>
    <n v="3"/>
  </r>
  <r>
    <n v="10277"/>
    <s v=" Elizabeth Velasquez DVM"/>
    <x v="0"/>
    <x v="2"/>
    <x v="1"/>
    <x v="7"/>
    <x v="34"/>
    <x v="297"/>
    <n v="79209"/>
    <x v="575"/>
    <d v="1991-09-01T00:00:00"/>
    <x v="1"/>
    <x v="7"/>
    <n v="40748"/>
    <x v="0"/>
    <s v="Non-Citizen"/>
    <s v="Asian"/>
    <x v="361"/>
    <s v="Not Terminated"/>
    <x v="1"/>
    <x v="19"/>
    <n v="1"/>
    <x v="2"/>
    <n v="0"/>
    <x v="10"/>
    <n v="2"/>
    <s v="PIP"/>
    <n v="4.4000000000000004"/>
    <s v="Dissatisfied"/>
    <n v="4"/>
    <d v="2025-09-17T00:00:00"/>
    <n v="2"/>
    <n v="10"/>
  </r>
  <r>
    <n v="10278"/>
    <s v=" Daniel Berg"/>
    <x v="1"/>
    <x v="2"/>
    <x v="1"/>
    <x v="7"/>
    <x v="32"/>
    <x v="298"/>
    <n v="42834"/>
    <x v="576"/>
    <d v="1982-09-02T00:00:00"/>
    <x v="2"/>
    <x v="0"/>
    <n v="86796"/>
    <x v="1"/>
    <s v="US Citizen"/>
    <s v="Other"/>
    <x v="146"/>
    <s v="Not Terminated"/>
    <x v="1"/>
    <x v="19"/>
    <n v="1"/>
    <x v="1"/>
    <n v="1"/>
    <x v="10"/>
    <n v="2"/>
    <s v="Needs Improvement"/>
    <n v="4"/>
    <s v="Neutral"/>
    <n v="1"/>
    <d v="2025-08-21T00:00:00"/>
    <n v="1"/>
    <n v="6"/>
  </r>
  <r>
    <n v="10279"/>
    <s v=" Bryan Welch"/>
    <x v="1"/>
    <x v="0"/>
    <x v="0"/>
    <x v="8"/>
    <x v="0"/>
    <x v="299"/>
    <n v="86528"/>
    <x v="577"/>
    <d v="1967-02-13T00:00:00"/>
    <x v="1"/>
    <x v="18"/>
    <n v="27117"/>
    <x v="0"/>
    <s v="Non-Citizen"/>
    <s v="Hispanic"/>
    <x v="362"/>
    <s v="2025-10-01"/>
    <x v="1"/>
    <x v="21"/>
    <n v="3"/>
    <x v="1"/>
    <n v="0"/>
    <x v="0"/>
    <n v="3"/>
    <s v="Exceeds Expectations"/>
    <n v="5"/>
    <s v="Dissatisfied"/>
    <n v="0"/>
    <d v="2025-08-16T00:00:00"/>
    <n v="1"/>
    <n v="6"/>
  </r>
  <r>
    <n v="10280"/>
    <s v=" Heidi Peck"/>
    <x v="1"/>
    <x v="0"/>
    <x v="0"/>
    <x v="10"/>
    <x v="33"/>
    <x v="300"/>
    <n v="62021"/>
    <x v="578"/>
    <d v="1973-06-25T00:00:00"/>
    <x v="1"/>
    <x v="1"/>
    <n v="10866"/>
    <x v="1"/>
    <s v="Non-Citizen"/>
    <s v="Black"/>
    <x v="363"/>
    <s v="Not Terminated"/>
    <x v="0"/>
    <x v="18"/>
    <n v="3"/>
    <x v="2"/>
    <n v="0"/>
    <x v="10"/>
    <n v="2"/>
    <s v="Needs Improvement"/>
    <n v="4.3"/>
    <s v="Satisfied"/>
    <n v="3"/>
    <d v="2025-07-19T00:00:00"/>
    <n v="1"/>
    <n v="8"/>
  </r>
  <r>
    <n v="10281"/>
    <s v=" Laura Adams"/>
    <x v="1"/>
    <x v="0"/>
    <x v="0"/>
    <x v="7"/>
    <x v="32"/>
    <x v="301"/>
    <n v="119692"/>
    <x v="579"/>
    <d v="1975-09-11T00:00:00"/>
    <x v="2"/>
    <x v="7"/>
    <n v="89308"/>
    <x v="0"/>
    <s v="US Citizen"/>
    <s v="White"/>
    <x v="364"/>
    <s v="Not Terminated"/>
    <x v="1"/>
    <x v="20"/>
    <n v="3"/>
    <x v="0"/>
    <n v="0"/>
    <x v="9"/>
    <n v="2"/>
    <s v="Needs Improvement"/>
    <n v="3.1"/>
    <s v="Very Satisfied"/>
    <n v="4"/>
    <d v="2025-09-10T00:00:00"/>
    <n v="5"/>
    <n v="3"/>
  </r>
  <r>
    <n v="10282"/>
    <s v=" Tammy Ryan DDS"/>
    <x v="1"/>
    <x v="0"/>
    <x v="1"/>
    <x v="4"/>
    <x v="0"/>
    <x v="302"/>
    <n v="95224"/>
    <x v="580"/>
    <d v="1982-05-29T00:00:00"/>
    <x v="2"/>
    <x v="7"/>
    <n v="7674"/>
    <x v="0"/>
    <s v="US Citizen"/>
    <s v="Other"/>
    <x v="365"/>
    <s v="2024-10-10"/>
    <x v="0"/>
    <x v="21"/>
    <n v="1"/>
    <x v="2"/>
    <n v="1"/>
    <x v="0"/>
    <n v="2"/>
    <s v="Exceeds Expectations"/>
    <n v="2.6"/>
    <s v="Neutral"/>
    <n v="5"/>
    <d v="2024-04-11T00:00:00"/>
    <n v="1"/>
    <n v="10"/>
  </r>
  <r>
    <n v="10283"/>
    <s v=" Kevin Clark"/>
    <x v="1"/>
    <x v="1"/>
    <x v="0"/>
    <x v="6"/>
    <x v="34"/>
    <x v="303"/>
    <n v="69184"/>
    <x v="581"/>
    <d v="1974-03-04T00:00:00"/>
    <x v="2"/>
    <x v="0"/>
    <n v="33320"/>
    <x v="1"/>
    <s v="US Citizen"/>
    <s v="Black"/>
    <x v="366"/>
    <s v="Not Terminated"/>
    <x v="1"/>
    <x v="19"/>
    <n v="1"/>
    <x v="2"/>
    <n v="1"/>
    <x v="0"/>
    <n v="3"/>
    <s v="Fully Meets"/>
    <n v="3.1"/>
    <s v="Dissatisfied"/>
    <n v="2"/>
    <d v="2025-09-06T00:00:00"/>
    <n v="5"/>
    <n v="5"/>
  </r>
  <r>
    <n v="10284"/>
    <s v=" Jonathan Callahan"/>
    <x v="1"/>
    <x v="1"/>
    <x v="1"/>
    <x v="8"/>
    <x v="32"/>
    <x v="304"/>
    <n v="85565"/>
    <x v="582"/>
    <d v="2003-08-16T00:00:00"/>
    <x v="1"/>
    <x v="1"/>
    <n v="67777"/>
    <x v="0"/>
    <s v="Non-Citizen"/>
    <s v="White"/>
    <x v="367"/>
    <s v="Not Terminated"/>
    <x v="1"/>
    <x v="19"/>
    <n v="2"/>
    <x v="2"/>
    <n v="1"/>
    <x v="1"/>
    <n v="2"/>
    <s v="Fully Meets"/>
    <n v="4.5"/>
    <s v="Neutral"/>
    <n v="4"/>
    <d v="2025-10-27T00:00:00"/>
    <n v="5"/>
    <n v="3"/>
  </r>
  <r>
    <n v="10285"/>
    <s v=" Paula Rodriguez"/>
    <x v="1"/>
    <x v="2"/>
    <x v="1"/>
    <x v="4"/>
    <x v="0"/>
    <x v="305"/>
    <n v="54717"/>
    <x v="583"/>
    <d v="1976-09-15T00:00:00"/>
    <x v="2"/>
    <x v="1"/>
    <n v="89333"/>
    <x v="0"/>
    <s v="US Citizen"/>
    <s v="White"/>
    <x v="368"/>
    <s v="2022-03-18"/>
    <x v="1"/>
    <x v="20"/>
    <n v="3"/>
    <x v="2"/>
    <n v="0"/>
    <x v="7"/>
    <n v="4"/>
    <s v="Needs Improvement"/>
    <n v="3.2"/>
    <s v="Very Dissatisfied"/>
    <n v="0"/>
    <d v="2025-08-26T00:00:00"/>
    <n v="0"/>
    <n v="5"/>
  </r>
  <r>
    <n v="10286"/>
    <s v=" Thomas Miller"/>
    <x v="0"/>
    <x v="1"/>
    <x v="0"/>
    <x v="10"/>
    <x v="3"/>
    <x v="306"/>
    <n v="52827"/>
    <x v="584"/>
    <d v="1976-08-05T00:00:00"/>
    <x v="1"/>
    <x v="18"/>
    <n v="49700"/>
    <x v="0"/>
    <s v="Non-Citizen"/>
    <s v="Hispanic"/>
    <x v="369"/>
    <s v="Not Terminated"/>
    <x v="0"/>
    <x v="22"/>
    <n v="1"/>
    <x v="1"/>
    <n v="0"/>
    <x v="1"/>
    <n v="3"/>
    <s v="PIP"/>
    <n v="4"/>
    <s v="Very Dissatisfied"/>
    <n v="4"/>
    <d v="2025-03-02T00:00:00"/>
    <n v="3"/>
    <n v="4"/>
  </r>
  <r>
    <n v="10287"/>
    <s v=" Regina Hicks"/>
    <x v="0"/>
    <x v="1"/>
    <x v="0"/>
    <x v="4"/>
    <x v="33"/>
    <x v="307"/>
    <n v="106087"/>
    <x v="585"/>
    <d v="1998-04-04T00:00:00"/>
    <x v="1"/>
    <x v="7"/>
    <n v="13713"/>
    <x v="1"/>
    <s v="US Citizen"/>
    <s v="White"/>
    <x v="370"/>
    <s v="2022-10-09"/>
    <x v="1"/>
    <x v="20"/>
    <n v="1"/>
    <x v="1"/>
    <n v="0"/>
    <x v="0"/>
    <n v="4"/>
    <s v="Fully Meets"/>
    <n v="5"/>
    <s v="Neutral"/>
    <n v="2"/>
    <d v="2025-10-18T00:00:00"/>
    <n v="1"/>
    <n v="3"/>
  </r>
  <r>
    <n v="10288"/>
    <s v=" Troy Crane"/>
    <x v="1"/>
    <x v="1"/>
    <x v="1"/>
    <x v="8"/>
    <x v="33"/>
    <x v="308"/>
    <n v="82423"/>
    <x v="586"/>
    <d v="1984-02-10T00:00:00"/>
    <x v="2"/>
    <x v="0"/>
    <n v="20394"/>
    <x v="0"/>
    <s v="US Citizen"/>
    <s v="Asian"/>
    <x v="371"/>
    <s v="Not Terminated"/>
    <x v="0"/>
    <x v="20"/>
    <n v="2"/>
    <x v="1"/>
    <n v="0"/>
    <x v="0"/>
    <n v="4"/>
    <s v="Exceeds Expectations"/>
    <n v="2.9"/>
    <s v="Satisfied"/>
    <n v="2"/>
    <d v="2025-08-26T00:00:00"/>
    <n v="3"/>
    <n v="6"/>
  </r>
  <r>
    <n v="10289"/>
    <s v=" Thomas Yu"/>
    <x v="0"/>
    <x v="2"/>
    <x v="0"/>
    <x v="4"/>
    <x v="32"/>
    <x v="309"/>
    <n v="33597"/>
    <x v="587"/>
    <d v="1975-06-06T00:00:00"/>
    <x v="2"/>
    <x v="18"/>
    <n v="41594"/>
    <x v="0"/>
    <s v="US Citizen"/>
    <s v="Hispanic"/>
    <x v="361"/>
    <s v="Not Terminated"/>
    <x v="1"/>
    <x v="19"/>
    <n v="2"/>
    <x v="1"/>
    <n v="0"/>
    <x v="1"/>
    <n v="3"/>
    <s v="Needs Improvement"/>
    <n v="4.9000000000000004"/>
    <s v="Neutral"/>
    <n v="3"/>
    <d v="2025-06-10T00:00:00"/>
    <n v="0"/>
    <n v="9"/>
  </r>
  <r>
    <n v="10290"/>
    <s v=" Larry Lester"/>
    <x v="1"/>
    <x v="1"/>
    <x v="0"/>
    <x v="8"/>
    <x v="0"/>
    <x v="310"/>
    <n v="31806"/>
    <x v="588"/>
    <d v="2001-03-14T00:00:00"/>
    <x v="2"/>
    <x v="18"/>
    <n v="59527"/>
    <x v="1"/>
    <s v="US Citizen"/>
    <s v="Black"/>
    <x v="372"/>
    <s v="Not Terminated"/>
    <x v="0"/>
    <x v="20"/>
    <n v="2"/>
    <x v="2"/>
    <n v="0"/>
    <x v="9"/>
    <n v="1"/>
    <s v="Needs Improvement"/>
    <n v="3.7"/>
    <s v="Very Dissatisfied"/>
    <n v="5"/>
    <d v="2025-01-24T00:00:00"/>
    <n v="2"/>
    <n v="1"/>
  </r>
  <r>
    <n v="10291"/>
    <s v=" Dawn Hall"/>
    <x v="0"/>
    <x v="2"/>
    <x v="0"/>
    <x v="7"/>
    <x v="34"/>
    <x v="311"/>
    <n v="50232"/>
    <x v="589"/>
    <d v="1980-09-08T00:00:00"/>
    <x v="2"/>
    <x v="0"/>
    <n v="45448"/>
    <x v="0"/>
    <s v="US Citizen"/>
    <s v="Asian"/>
    <x v="373"/>
    <s v="Not Terminated"/>
    <x v="0"/>
    <x v="19"/>
    <n v="3"/>
    <x v="2"/>
    <n v="0"/>
    <x v="10"/>
    <n v="1"/>
    <s v="Needs Improvement"/>
    <n v="2.5"/>
    <s v="Dissatisfied"/>
    <n v="1"/>
    <d v="2025-08-20T00:00:00"/>
    <n v="2"/>
    <n v="2"/>
  </r>
  <r>
    <n v="10292"/>
    <s v=" Sherry Sullivan"/>
    <x v="1"/>
    <x v="1"/>
    <x v="1"/>
    <x v="9"/>
    <x v="33"/>
    <x v="312"/>
    <n v="61757"/>
    <x v="590"/>
    <d v="1972-07-29T00:00:00"/>
    <x v="2"/>
    <x v="18"/>
    <n v="61018"/>
    <x v="0"/>
    <s v="Non-Citizen"/>
    <s v="White"/>
    <x v="374"/>
    <s v="2023-08-23"/>
    <x v="1"/>
    <x v="18"/>
    <n v="2"/>
    <x v="0"/>
    <n v="1"/>
    <x v="0"/>
    <n v="4"/>
    <s v="Needs Improvement"/>
    <n v="4.8"/>
    <s v="Very Satisfied"/>
    <n v="2"/>
    <d v="2025-05-13T00:00:00"/>
    <n v="0"/>
    <n v="3"/>
  </r>
  <r>
    <n v="10293"/>
    <s v=" Carrie Johnson"/>
    <x v="1"/>
    <x v="2"/>
    <x v="0"/>
    <x v="6"/>
    <x v="34"/>
    <x v="313"/>
    <n v="60392"/>
    <x v="591"/>
    <d v="1967-06-23T00:00:00"/>
    <x v="2"/>
    <x v="18"/>
    <n v="43483"/>
    <x v="1"/>
    <s v="Non-Citizen"/>
    <s v="Hispanic"/>
    <x v="358"/>
    <s v="2025-10-16"/>
    <x v="0"/>
    <x v="20"/>
    <n v="3"/>
    <x v="2"/>
    <n v="0"/>
    <x v="9"/>
    <n v="1"/>
    <s v="Needs Improvement"/>
    <n v="2.7"/>
    <s v="Very Dissatisfied"/>
    <n v="1"/>
    <d v="2024-11-22T00:00:00"/>
    <n v="1"/>
    <n v="4"/>
  </r>
  <r>
    <n v="10294"/>
    <s v=" John Horne"/>
    <x v="1"/>
    <x v="2"/>
    <x v="0"/>
    <x v="4"/>
    <x v="33"/>
    <x v="314"/>
    <n v="43944"/>
    <x v="592"/>
    <d v="1976-08-31T00:00:00"/>
    <x v="2"/>
    <x v="7"/>
    <n v="5809"/>
    <x v="1"/>
    <s v="US Citizen"/>
    <s v="White"/>
    <x v="375"/>
    <s v="Not Terminated"/>
    <x v="0"/>
    <x v="19"/>
    <n v="3"/>
    <x v="1"/>
    <n v="1"/>
    <x v="9"/>
    <n v="3"/>
    <s v="PIP"/>
    <n v="3.2"/>
    <s v="Dissatisfied"/>
    <n v="5"/>
    <d v="2025-06-04T00:00:00"/>
    <n v="0"/>
    <n v="2"/>
  </r>
  <r>
    <n v="10295"/>
    <s v=" Dr. Tina Wallace"/>
    <x v="0"/>
    <x v="2"/>
    <x v="1"/>
    <x v="7"/>
    <x v="32"/>
    <x v="315"/>
    <n v="102737"/>
    <x v="593"/>
    <d v="1980-03-21T00:00:00"/>
    <x v="1"/>
    <x v="0"/>
    <n v="16697"/>
    <x v="1"/>
    <s v="US Citizen"/>
    <s v="Other"/>
    <x v="376"/>
    <s v="Not Terminated"/>
    <x v="0"/>
    <x v="21"/>
    <n v="1"/>
    <x v="0"/>
    <n v="0"/>
    <x v="9"/>
    <n v="4"/>
    <s v="Fully Meets"/>
    <n v="4.8"/>
    <s v="Very Satisfied"/>
    <n v="0"/>
    <d v="2025-07-21T00:00:00"/>
    <n v="4"/>
    <n v="4"/>
  </r>
  <r>
    <n v="10296"/>
    <s v=" Malik Morrison"/>
    <x v="1"/>
    <x v="0"/>
    <x v="1"/>
    <x v="4"/>
    <x v="34"/>
    <x v="316"/>
    <n v="84238"/>
    <x v="594"/>
    <d v="1982-10-03T00:00:00"/>
    <x v="1"/>
    <x v="0"/>
    <n v="8227"/>
    <x v="1"/>
    <s v="Non-Citizen"/>
    <s v="Asian"/>
    <x v="377"/>
    <s v="Not Terminated"/>
    <x v="0"/>
    <x v="20"/>
    <n v="1"/>
    <x v="1"/>
    <n v="0"/>
    <x v="1"/>
    <n v="4"/>
    <s v="Exceeds Expectations"/>
    <n v="3"/>
    <s v="Satisfied"/>
    <n v="5"/>
    <d v="2025-03-20T00:00:00"/>
    <n v="5"/>
    <n v="5"/>
  </r>
  <r>
    <n v="10297"/>
    <s v=" Tracy Wilson"/>
    <x v="0"/>
    <x v="0"/>
    <x v="1"/>
    <x v="4"/>
    <x v="0"/>
    <x v="317"/>
    <n v="62232"/>
    <x v="595"/>
    <d v="1981-04-09T00:00:00"/>
    <x v="1"/>
    <x v="7"/>
    <n v="78911"/>
    <x v="1"/>
    <s v="US Citizen"/>
    <s v="Hispanic"/>
    <x v="378"/>
    <s v="2022-12-20"/>
    <x v="0"/>
    <x v="18"/>
    <n v="1"/>
    <x v="2"/>
    <n v="1"/>
    <x v="1"/>
    <n v="2"/>
    <s v="Fully Meets"/>
    <n v="4.2"/>
    <s v="Dissatisfied"/>
    <n v="4"/>
    <d v="2024-06-12T00:00:00"/>
    <n v="3"/>
    <n v="10"/>
  </r>
  <r>
    <n v="10298"/>
    <s v=" Courtney Young"/>
    <x v="0"/>
    <x v="0"/>
    <x v="1"/>
    <x v="8"/>
    <x v="0"/>
    <x v="318"/>
    <n v="108436"/>
    <x v="596"/>
    <d v="2000-01-21T00:00:00"/>
    <x v="2"/>
    <x v="7"/>
    <n v="72632"/>
    <x v="0"/>
    <s v="US Citizen"/>
    <s v="Hispanic"/>
    <x v="379"/>
    <s v="Not Terminated"/>
    <x v="1"/>
    <x v="21"/>
    <n v="1"/>
    <x v="0"/>
    <n v="1"/>
    <x v="10"/>
    <n v="2"/>
    <s v="Exceeds Expectations"/>
    <n v="3"/>
    <s v="Very Satisfied"/>
    <n v="5"/>
    <d v="2025-01-06T00:00:00"/>
    <n v="1"/>
    <n v="10"/>
  </r>
  <r>
    <n v="10299"/>
    <s v=" James Warren"/>
    <x v="0"/>
    <x v="1"/>
    <x v="1"/>
    <x v="6"/>
    <x v="3"/>
    <x v="319"/>
    <n v="31320"/>
    <x v="597"/>
    <d v="1977-02-05T00:00:00"/>
    <x v="2"/>
    <x v="7"/>
    <n v="97995"/>
    <x v="0"/>
    <s v="US Citizen"/>
    <s v="Black"/>
    <x v="380"/>
    <s v="Not Terminated"/>
    <x v="0"/>
    <x v="22"/>
    <n v="1"/>
    <x v="2"/>
    <n v="1"/>
    <x v="10"/>
    <n v="2"/>
    <s v="Exceeds Expectations"/>
    <n v="4"/>
    <s v="Dissatisfied"/>
    <n v="0"/>
    <d v="2025-06-30T00:00:00"/>
    <n v="2"/>
    <n v="1"/>
  </r>
  <r>
    <n v="10300"/>
    <s v=" Anthony Sparks"/>
    <x v="0"/>
    <x v="0"/>
    <x v="1"/>
    <x v="7"/>
    <x v="32"/>
    <x v="320"/>
    <n v="54831"/>
    <x v="598"/>
    <d v="1987-12-02T00:00:00"/>
    <x v="2"/>
    <x v="7"/>
    <n v="72902"/>
    <x v="1"/>
    <s v="Non-Citizen"/>
    <s v="White"/>
    <x v="381"/>
    <s v="Not Terminated"/>
    <x v="0"/>
    <x v="21"/>
    <n v="2"/>
    <x v="0"/>
    <n v="0"/>
    <x v="9"/>
    <n v="1"/>
    <s v="PIP"/>
    <n v="4.5"/>
    <s v="Satisfied"/>
    <n v="3"/>
    <d v="2025-02-09T00:00:00"/>
    <n v="0"/>
    <n v="4"/>
  </r>
  <r>
    <n v="10301"/>
    <s v=" Mackenzie Freeman"/>
    <x v="0"/>
    <x v="0"/>
    <x v="1"/>
    <x v="8"/>
    <x v="3"/>
    <x v="321"/>
    <n v="32515"/>
    <x v="599"/>
    <d v="1984-12-18T00:00:00"/>
    <x v="1"/>
    <x v="18"/>
    <n v="63666"/>
    <x v="1"/>
    <s v="US Citizen"/>
    <s v="Hispanic"/>
    <x v="382"/>
    <s v="2024-12-23"/>
    <x v="1"/>
    <x v="19"/>
    <n v="2"/>
    <x v="0"/>
    <n v="0"/>
    <x v="7"/>
    <n v="4"/>
    <s v="Needs Improvement"/>
    <n v="3"/>
    <s v="Very Dissatisfied"/>
    <n v="0"/>
    <d v="2025-07-22T00:00:00"/>
    <n v="1"/>
    <n v="1"/>
  </r>
  <r>
    <n v="10302"/>
    <s v=" Alexander Taylor"/>
    <x v="0"/>
    <x v="1"/>
    <x v="0"/>
    <x v="6"/>
    <x v="3"/>
    <x v="322"/>
    <n v="87660"/>
    <x v="600"/>
    <d v="1977-09-05T00:00:00"/>
    <x v="2"/>
    <x v="7"/>
    <n v="86715"/>
    <x v="1"/>
    <s v="Non-Citizen"/>
    <s v="Black"/>
    <x v="383"/>
    <s v="Not Terminated"/>
    <x v="1"/>
    <x v="22"/>
    <n v="1"/>
    <x v="2"/>
    <n v="0"/>
    <x v="0"/>
    <n v="4"/>
    <s v="PIP"/>
    <n v="3.9"/>
    <s v="Satisfied"/>
    <n v="3"/>
    <d v="2025-02-06T00:00:00"/>
    <n v="1"/>
    <n v="3"/>
  </r>
  <r>
    <n v="10303"/>
    <s v=" Maria Turner"/>
    <x v="1"/>
    <x v="1"/>
    <x v="1"/>
    <x v="10"/>
    <x v="33"/>
    <x v="323"/>
    <n v="42994"/>
    <x v="601"/>
    <d v="1965-08-15T00:00:00"/>
    <x v="2"/>
    <x v="15"/>
    <n v="28411"/>
    <x v="0"/>
    <s v="US Citizen"/>
    <s v="Other"/>
    <x v="384"/>
    <s v="Not Terminated"/>
    <x v="0"/>
    <x v="19"/>
    <n v="3"/>
    <x v="2"/>
    <n v="0"/>
    <x v="10"/>
    <n v="2"/>
    <s v="Fully Meets"/>
    <n v="4.2"/>
    <s v="Very Satisfied"/>
    <n v="3"/>
    <d v="2025-08-04T00:00:00"/>
    <n v="1"/>
    <n v="0"/>
  </r>
  <r>
    <n v="10304"/>
    <s v=" Joseph Santiago"/>
    <x v="0"/>
    <x v="1"/>
    <x v="1"/>
    <x v="7"/>
    <x v="3"/>
    <x v="324"/>
    <n v="62031"/>
    <x v="602"/>
    <d v="1972-09-18T00:00:00"/>
    <x v="1"/>
    <x v="0"/>
    <n v="86438"/>
    <x v="1"/>
    <s v="Non-Citizen"/>
    <s v="White"/>
    <x v="385"/>
    <s v="Not Terminated"/>
    <x v="0"/>
    <x v="18"/>
    <n v="2"/>
    <x v="1"/>
    <n v="1"/>
    <x v="7"/>
    <n v="4"/>
    <s v="Needs Improvement"/>
    <n v="3.3"/>
    <s v="Very Dissatisfied"/>
    <n v="3"/>
    <d v="2025-08-19T00:00:00"/>
    <n v="1"/>
    <n v="7"/>
  </r>
  <r>
    <n v="10305"/>
    <s v=" Sara Stone"/>
    <x v="0"/>
    <x v="1"/>
    <x v="1"/>
    <x v="6"/>
    <x v="34"/>
    <x v="325"/>
    <n v="56455"/>
    <x v="603"/>
    <d v="1975-10-28T00:00:00"/>
    <x v="2"/>
    <x v="0"/>
    <n v="30156"/>
    <x v="1"/>
    <s v="Non-Citizen"/>
    <s v="Other"/>
    <x v="386"/>
    <s v="Not Terminated"/>
    <x v="1"/>
    <x v="20"/>
    <n v="3"/>
    <x v="2"/>
    <n v="0"/>
    <x v="0"/>
    <n v="3"/>
    <s v="Exceeds Expectations"/>
    <n v="2.6"/>
    <s v="Dissatisfied"/>
    <n v="1"/>
    <d v="2025-02-28T00:00:00"/>
    <n v="0"/>
    <n v="2"/>
  </r>
  <r>
    <n v="10306"/>
    <s v=" Katherine Cole"/>
    <x v="1"/>
    <x v="1"/>
    <x v="0"/>
    <x v="9"/>
    <x v="3"/>
    <x v="326"/>
    <n v="113389"/>
    <x v="604"/>
    <d v="1991-06-02T00:00:00"/>
    <x v="2"/>
    <x v="1"/>
    <n v="33486"/>
    <x v="1"/>
    <s v="Non-Citizen"/>
    <s v="Asian"/>
    <x v="387"/>
    <s v="Not Terminated"/>
    <x v="0"/>
    <x v="20"/>
    <n v="2"/>
    <x v="2"/>
    <n v="1"/>
    <x v="9"/>
    <n v="4"/>
    <s v="PIP"/>
    <n v="3.3"/>
    <s v="Satisfied"/>
    <n v="3"/>
    <d v="2024-11-16T00:00:00"/>
    <n v="2"/>
    <n v="10"/>
  </r>
  <r>
    <n v="10307"/>
    <s v=" Hannah Wilkins"/>
    <x v="0"/>
    <x v="0"/>
    <x v="1"/>
    <x v="7"/>
    <x v="33"/>
    <x v="327"/>
    <n v="89905"/>
    <x v="605"/>
    <d v="1982-08-16T00:00:00"/>
    <x v="1"/>
    <x v="0"/>
    <n v="28917"/>
    <x v="1"/>
    <s v="US Citizen"/>
    <s v="Asian"/>
    <x v="327"/>
    <s v="Not Terminated"/>
    <x v="0"/>
    <x v="22"/>
    <n v="2"/>
    <x v="0"/>
    <n v="0"/>
    <x v="1"/>
    <n v="4"/>
    <s v="Fully Meets"/>
    <n v="3.1"/>
    <s v="Satisfied"/>
    <n v="4"/>
    <d v="2025-05-20T00:00:00"/>
    <n v="0"/>
    <n v="9"/>
  </r>
  <r>
    <n v="10308"/>
    <s v=" Mary Hall"/>
    <x v="0"/>
    <x v="2"/>
    <x v="0"/>
    <x v="6"/>
    <x v="32"/>
    <x v="328"/>
    <n v="40710"/>
    <x v="606"/>
    <d v="2003-06-14T00:00:00"/>
    <x v="1"/>
    <x v="18"/>
    <n v="37827"/>
    <x v="0"/>
    <s v="US Citizen"/>
    <s v="Asian"/>
    <x v="388"/>
    <s v="2021-06-30"/>
    <x v="0"/>
    <x v="22"/>
    <n v="1"/>
    <x v="2"/>
    <n v="0"/>
    <x v="10"/>
    <n v="3"/>
    <s v="PIP"/>
    <n v="4.2"/>
    <s v="Neutral"/>
    <n v="5"/>
    <d v="2025-01-19T00:00:00"/>
    <n v="3"/>
    <n v="8"/>
  </r>
  <r>
    <n v="10309"/>
    <s v=" Kyle Thompson"/>
    <x v="1"/>
    <x v="1"/>
    <x v="0"/>
    <x v="4"/>
    <x v="33"/>
    <x v="329"/>
    <n v="119417"/>
    <x v="607"/>
    <d v="1968-12-12T00:00:00"/>
    <x v="2"/>
    <x v="15"/>
    <n v="84040"/>
    <x v="1"/>
    <s v="Non-Citizen"/>
    <s v="Hispanic"/>
    <x v="389"/>
    <s v="Not Terminated"/>
    <x v="0"/>
    <x v="21"/>
    <n v="2"/>
    <x v="0"/>
    <n v="1"/>
    <x v="7"/>
    <n v="1"/>
    <s v="Needs Improvement"/>
    <n v="2.6"/>
    <s v="Satisfied"/>
    <n v="1"/>
    <d v="2025-06-15T00:00:00"/>
    <n v="3"/>
    <n v="0"/>
  </r>
  <r>
    <n v="10310"/>
    <s v=" Derrick Davis"/>
    <x v="1"/>
    <x v="2"/>
    <x v="0"/>
    <x v="6"/>
    <x v="0"/>
    <x v="330"/>
    <n v="42796"/>
    <x v="608"/>
    <d v="1968-09-13T00:00:00"/>
    <x v="1"/>
    <x v="1"/>
    <n v="59669"/>
    <x v="1"/>
    <s v="Non-Citizen"/>
    <s v="White"/>
    <x v="390"/>
    <s v="Not Terminated"/>
    <x v="0"/>
    <x v="22"/>
    <n v="3"/>
    <x v="1"/>
    <n v="1"/>
    <x v="0"/>
    <n v="4"/>
    <s v="Exceeds Expectations"/>
    <n v="5"/>
    <s v="Satisfied"/>
    <n v="1"/>
    <d v="2025-02-15T00:00:00"/>
    <n v="0"/>
    <n v="4"/>
  </r>
  <r>
    <n v="10311"/>
    <s v=" Nicole Stewart"/>
    <x v="1"/>
    <x v="2"/>
    <x v="0"/>
    <x v="7"/>
    <x v="0"/>
    <x v="331"/>
    <n v="86630"/>
    <x v="609"/>
    <d v="1995-09-15T00:00:00"/>
    <x v="1"/>
    <x v="18"/>
    <n v="68326"/>
    <x v="1"/>
    <s v="Non-Citizen"/>
    <s v="Asian"/>
    <x v="391"/>
    <s v="Not Terminated"/>
    <x v="1"/>
    <x v="18"/>
    <n v="2"/>
    <x v="1"/>
    <n v="0"/>
    <x v="9"/>
    <n v="3"/>
    <s v="PIP"/>
    <n v="4"/>
    <s v="Very Satisfied"/>
    <n v="0"/>
    <d v="2025-02-28T00:00:00"/>
    <n v="4"/>
    <n v="2"/>
  </r>
  <r>
    <n v="10312"/>
    <s v=" Hailey Shelton"/>
    <x v="0"/>
    <x v="1"/>
    <x v="0"/>
    <x v="7"/>
    <x v="3"/>
    <x v="332"/>
    <n v="38715"/>
    <x v="610"/>
    <d v="1972-02-21T00:00:00"/>
    <x v="1"/>
    <x v="15"/>
    <n v="1953"/>
    <x v="1"/>
    <s v="Non-Citizen"/>
    <s v="Black"/>
    <x v="392"/>
    <s v="2023-03-31"/>
    <x v="0"/>
    <x v="20"/>
    <n v="1"/>
    <x v="1"/>
    <n v="1"/>
    <x v="0"/>
    <n v="4"/>
    <s v="Exceeds Expectations"/>
    <n v="2.6"/>
    <s v="Very Dissatisfied"/>
    <n v="0"/>
    <d v="2025-08-24T00:00:00"/>
    <n v="4"/>
    <n v="10"/>
  </r>
  <r>
    <n v="10313"/>
    <s v=" Christopher Rodriguez DDS"/>
    <x v="0"/>
    <x v="0"/>
    <x v="1"/>
    <x v="4"/>
    <x v="33"/>
    <x v="333"/>
    <n v="56997"/>
    <x v="611"/>
    <d v="2000-11-18T00:00:00"/>
    <x v="1"/>
    <x v="0"/>
    <n v="69732"/>
    <x v="1"/>
    <s v="Non-Citizen"/>
    <s v="White"/>
    <x v="393"/>
    <s v="Not Terminated"/>
    <x v="0"/>
    <x v="20"/>
    <n v="2"/>
    <x v="1"/>
    <n v="0"/>
    <x v="1"/>
    <n v="4"/>
    <s v="Exceeds Expectations"/>
    <n v="4.9000000000000004"/>
    <s v="Satisfied"/>
    <n v="1"/>
    <d v="2024-12-21T00:00:00"/>
    <n v="2"/>
    <n v="5"/>
  </r>
  <r>
    <n v="10314"/>
    <s v=" Christine White"/>
    <x v="0"/>
    <x v="0"/>
    <x v="1"/>
    <x v="7"/>
    <x v="32"/>
    <x v="334"/>
    <n v="41578"/>
    <x v="612"/>
    <d v="1991-02-06T00:00:00"/>
    <x v="2"/>
    <x v="15"/>
    <n v="74303"/>
    <x v="0"/>
    <s v="Non-Citizen"/>
    <s v="Hispanic"/>
    <x v="394"/>
    <s v="Not Terminated"/>
    <x v="1"/>
    <x v="21"/>
    <n v="1"/>
    <x v="0"/>
    <n v="1"/>
    <x v="10"/>
    <n v="2"/>
    <s v="Needs Improvement"/>
    <n v="2.6"/>
    <s v="Neutral"/>
    <n v="1"/>
    <d v="2025-07-28T00:00:00"/>
    <n v="2"/>
    <n v="2"/>
  </r>
  <r>
    <n v="10315"/>
    <s v=" Cynthia Cole"/>
    <x v="0"/>
    <x v="0"/>
    <x v="1"/>
    <x v="9"/>
    <x v="34"/>
    <x v="335"/>
    <n v="40282"/>
    <x v="613"/>
    <d v="1975-12-29T00:00:00"/>
    <x v="2"/>
    <x v="7"/>
    <n v="83617"/>
    <x v="1"/>
    <s v="US Citizen"/>
    <s v="Asian"/>
    <x v="395"/>
    <s v="2021-06-17"/>
    <x v="1"/>
    <x v="21"/>
    <n v="2"/>
    <x v="0"/>
    <n v="1"/>
    <x v="0"/>
    <n v="1"/>
    <s v="PIP"/>
    <n v="2.5"/>
    <s v="Dissatisfied"/>
    <n v="3"/>
    <d v="2025-05-16T00:00:00"/>
    <n v="1"/>
    <n v="6"/>
  </r>
  <r>
    <n v="10316"/>
    <s v=" Patricia Williams"/>
    <x v="0"/>
    <x v="2"/>
    <x v="1"/>
    <x v="4"/>
    <x v="33"/>
    <x v="336"/>
    <n v="42317"/>
    <x v="614"/>
    <d v="1964-12-15T00:00:00"/>
    <x v="2"/>
    <x v="7"/>
    <n v="94842"/>
    <x v="0"/>
    <s v="Non-Citizen"/>
    <s v="Other"/>
    <x v="396"/>
    <s v="Not Terminated"/>
    <x v="1"/>
    <x v="18"/>
    <n v="3"/>
    <x v="0"/>
    <n v="1"/>
    <x v="10"/>
    <n v="3"/>
    <s v="Fully Meets"/>
    <n v="3.2"/>
    <s v="Very Satisfied"/>
    <n v="5"/>
    <d v="2024-12-26T00:00:00"/>
    <n v="3"/>
    <n v="8"/>
  </r>
  <r>
    <n v="10317"/>
    <s v=" Theresa Ortiz"/>
    <x v="1"/>
    <x v="0"/>
    <x v="0"/>
    <x v="10"/>
    <x v="3"/>
    <x v="337"/>
    <n v="91499"/>
    <x v="615"/>
    <d v="2002-12-06T00:00:00"/>
    <x v="1"/>
    <x v="0"/>
    <n v="25352"/>
    <x v="0"/>
    <s v="Non-Citizen"/>
    <s v="White"/>
    <x v="397"/>
    <s v="Not Terminated"/>
    <x v="0"/>
    <x v="19"/>
    <n v="1"/>
    <x v="1"/>
    <n v="1"/>
    <x v="7"/>
    <n v="2"/>
    <s v="Fully Meets"/>
    <n v="4"/>
    <s v="Very Satisfied"/>
    <n v="1"/>
    <d v="2025-02-16T00:00:00"/>
    <n v="2"/>
    <n v="5"/>
  </r>
  <r>
    <n v="10318"/>
    <s v=" Alicia Vincent"/>
    <x v="1"/>
    <x v="1"/>
    <x v="1"/>
    <x v="9"/>
    <x v="32"/>
    <x v="338"/>
    <n v="75583"/>
    <x v="616"/>
    <d v="1996-08-03T00:00:00"/>
    <x v="2"/>
    <x v="18"/>
    <n v="87858"/>
    <x v="1"/>
    <s v="Non-Citizen"/>
    <s v="White"/>
    <x v="398"/>
    <s v="Not Terminated"/>
    <x v="1"/>
    <x v="20"/>
    <n v="1"/>
    <x v="1"/>
    <n v="1"/>
    <x v="10"/>
    <n v="1"/>
    <s v="Needs Improvement"/>
    <n v="4.4000000000000004"/>
    <s v="Very Satisfied"/>
    <n v="2"/>
    <d v="2025-04-06T00:00:00"/>
    <n v="2"/>
    <n v="5"/>
  </r>
  <r>
    <n v="10319"/>
    <s v=" Glenda James"/>
    <x v="1"/>
    <x v="2"/>
    <x v="1"/>
    <x v="7"/>
    <x v="34"/>
    <x v="339"/>
    <n v="51497"/>
    <x v="617"/>
    <d v="1966-11-10T00:00:00"/>
    <x v="2"/>
    <x v="0"/>
    <n v="37792"/>
    <x v="0"/>
    <s v="Non-Citizen"/>
    <s v="Asian"/>
    <x v="399"/>
    <s v="Not Terminated"/>
    <x v="0"/>
    <x v="18"/>
    <n v="1"/>
    <x v="0"/>
    <n v="1"/>
    <x v="7"/>
    <n v="3"/>
    <s v="Needs Improvement"/>
    <n v="2.7"/>
    <s v="Satisfied"/>
    <n v="1"/>
    <d v="2025-05-22T00:00:00"/>
    <n v="4"/>
    <n v="1"/>
  </r>
  <r>
    <n v="10320"/>
    <s v=" Nicole Smith"/>
    <x v="0"/>
    <x v="1"/>
    <x v="1"/>
    <x v="6"/>
    <x v="32"/>
    <x v="340"/>
    <n v="42239"/>
    <x v="618"/>
    <d v="1969-04-11T00:00:00"/>
    <x v="2"/>
    <x v="1"/>
    <n v="86633"/>
    <x v="1"/>
    <s v="US Citizen"/>
    <s v="Hispanic"/>
    <x v="400"/>
    <s v="Not Terminated"/>
    <x v="1"/>
    <x v="20"/>
    <n v="3"/>
    <x v="2"/>
    <n v="1"/>
    <x v="0"/>
    <n v="4"/>
    <s v="Needs Improvement"/>
    <n v="2.5"/>
    <s v="Very Dissatisfied"/>
    <n v="5"/>
    <d v="2025-11-01T00:00:00"/>
    <n v="5"/>
    <n v="0"/>
  </r>
  <r>
    <n v="10321"/>
    <s v=" Amanda Walker MD"/>
    <x v="1"/>
    <x v="2"/>
    <x v="0"/>
    <x v="8"/>
    <x v="33"/>
    <x v="341"/>
    <n v="84437"/>
    <x v="619"/>
    <d v="1990-07-18T00:00:00"/>
    <x v="1"/>
    <x v="0"/>
    <n v="79689"/>
    <x v="1"/>
    <s v="Non-Citizen"/>
    <s v="Hispanic"/>
    <x v="401"/>
    <s v="Not Terminated"/>
    <x v="1"/>
    <x v="18"/>
    <n v="1"/>
    <x v="2"/>
    <n v="0"/>
    <x v="0"/>
    <n v="1"/>
    <s v="Needs Improvement"/>
    <n v="3.4"/>
    <s v="Satisfied"/>
    <n v="1"/>
    <d v="2025-09-27T00:00:00"/>
    <n v="2"/>
    <n v="5"/>
  </r>
  <r>
    <n v="10322"/>
    <s v=" Mercedes Jones"/>
    <x v="0"/>
    <x v="0"/>
    <x v="1"/>
    <x v="10"/>
    <x v="33"/>
    <x v="342"/>
    <n v="114269"/>
    <x v="620"/>
    <d v="1972-12-14T00:00:00"/>
    <x v="2"/>
    <x v="1"/>
    <n v="66561"/>
    <x v="1"/>
    <s v="US Citizen"/>
    <s v="Other"/>
    <x v="402"/>
    <s v="2024-02-04"/>
    <x v="0"/>
    <x v="19"/>
    <n v="3"/>
    <x v="2"/>
    <n v="0"/>
    <x v="1"/>
    <n v="2"/>
    <s v="PIP"/>
    <n v="4.7"/>
    <s v="Satisfied"/>
    <n v="4"/>
    <d v="2025-04-25T00:00:00"/>
    <n v="1"/>
    <n v="5"/>
  </r>
  <r>
    <n v="10323"/>
    <s v=" Hannah Schneider"/>
    <x v="1"/>
    <x v="2"/>
    <x v="0"/>
    <x v="10"/>
    <x v="0"/>
    <x v="343"/>
    <n v="102440"/>
    <x v="621"/>
    <d v="2002-08-29T00:00:00"/>
    <x v="1"/>
    <x v="0"/>
    <n v="23667"/>
    <x v="0"/>
    <s v="Non-Citizen"/>
    <s v="Asian"/>
    <x v="403"/>
    <s v="Not Terminated"/>
    <x v="1"/>
    <x v="21"/>
    <n v="3"/>
    <x v="2"/>
    <n v="1"/>
    <x v="1"/>
    <n v="1"/>
    <s v="Fully Meets"/>
    <n v="4.5999999999999996"/>
    <s v="Very Dissatisfied"/>
    <n v="5"/>
    <d v="2024-04-11T00:00:00"/>
    <n v="1"/>
    <n v="4"/>
  </r>
  <r>
    <n v="10324"/>
    <s v=" Deborah Perez"/>
    <x v="0"/>
    <x v="0"/>
    <x v="0"/>
    <x v="4"/>
    <x v="3"/>
    <x v="344"/>
    <n v="53807"/>
    <x v="622"/>
    <d v="1993-06-12T00:00:00"/>
    <x v="1"/>
    <x v="18"/>
    <n v="9880"/>
    <x v="0"/>
    <s v="Non-Citizen"/>
    <s v="Hispanic"/>
    <x v="404"/>
    <s v="Not Terminated"/>
    <x v="1"/>
    <x v="22"/>
    <n v="1"/>
    <x v="1"/>
    <n v="1"/>
    <x v="7"/>
    <n v="3"/>
    <s v="Needs Improvement"/>
    <n v="3.6"/>
    <s v="Dissatisfied"/>
    <n v="5"/>
    <d v="2025-12-04T00:00:00"/>
    <n v="5"/>
    <n v="7"/>
  </r>
  <r>
    <n v="10325"/>
    <s v=" David Harris"/>
    <x v="1"/>
    <x v="0"/>
    <x v="0"/>
    <x v="6"/>
    <x v="34"/>
    <x v="345"/>
    <n v="39240"/>
    <x v="623"/>
    <d v="1971-06-09T00:00:00"/>
    <x v="1"/>
    <x v="1"/>
    <n v="69717"/>
    <x v="1"/>
    <s v="Non-Citizen"/>
    <s v="Other"/>
    <x v="405"/>
    <s v="Not Terminated"/>
    <x v="0"/>
    <x v="19"/>
    <n v="3"/>
    <x v="2"/>
    <n v="1"/>
    <x v="7"/>
    <n v="2"/>
    <s v="Fully Meets"/>
    <n v="3.2"/>
    <s v="Neutral"/>
    <n v="3"/>
    <d v="2025-08-29T00:00:00"/>
    <n v="2"/>
    <n v="3"/>
  </r>
  <r>
    <n v="10326"/>
    <s v=" Annette Bishop"/>
    <x v="1"/>
    <x v="1"/>
    <x v="1"/>
    <x v="10"/>
    <x v="33"/>
    <x v="346"/>
    <n v="30295"/>
    <x v="624"/>
    <d v="1970-11-07T00:00:00"/>
    <x v="1"/>
    <x v="18"/>
    <n v="93834"/>
    <x v="0"/>
    <s v="Non-Citizen"/>
    <s v="White"/>
    <x v="406"/>
    <s v="Not Terminated"/>
    <x v="0"/>
    <x v="21"/>
    <n v="3"/>
    <x v="1"/>
    <n v="0"/>
    <x v="1"/>
    <n v="4"/>
    <s v="Exceeds Expectations"/>
    <n v="2.9"/>
    <s v="Very Satisfied"/>
    <n v="0"/>
    <d v="2025-01-27T00:00:00"/>
    <n v="4"/>
    <n v="3"/>
  </r>
  <r>
    <n v="10327"/>
    <s v=" Brian Floyd"/>
    <x v="0"/>
    <x v="2"/>
    <x v="1"/>
    <x v="7"/>
    <x v="34"/>
    <x v="347"/>
    <n v="114766"/>
    <x v="625"/>
    <d v="1994-03-17T00:00:00"/>
    <x v="1"/>
    <x v="15"/>
    <n v="38305"/>
    <x v="0"/>
    <s v="US Citizen"/>
    <s v="Black"/>
    <x v="407"/>
    <s v="Not Terminated"/>
    <x v="1"/>
    <x v="18"/>
    <n v="3"/>
    <x v="0"/>
    <n v="0"/>
    <x v="10"/>
    <n v="1"/>
    <s v="Needs Improvement"/>
    <n v="3.4"/>
    <s v="Very Dissatisfied"/>
    <n v="2"/>
    <d v="2025-03-22T00:00:00"/>
    <n v="2"/>
    <n v="8"/>
  </r>
  <r>
    <n v="10328"/>
    <s v=" Kimberly Franklin"/>
    <x v="1"/>
    <x v="0"/>
    <x v="1"/>
    <x v="10"/>
    <x v="3"/>
    <x v="348"/>
    <n v="74420"/>
    <x v="626"/>
    <d v="1989-11-05T00:00:00"/>
    <x v="2"/>
    <x v="0"/>
    <n v="97249"/>
    <x v="1"/>
    <s v="US Citizen"/>
    <s v="White"/>
    <x v="408"/>
    <s v="2025-04-14"/>
    <x v="1"/>
    <x v="19"/>
    <n v="2"/>
    <x v="0"/>
    <n v="1"/>
    <x v="0"/>
    <n v="1"/>
    <s v="Exceeds Expectations"/>
    <n v="2.6"/>
    <s v="Neutral"/>
    <n v="1"/>
    <d v="2025-10-09T00:00:00"/>
    <n v="1"/>
    <n v="10"/>
  </r>
  <r>
    <n v="10329"/>
    <s v=" Maria Phillips"/>
    <x v="1"/>
    <x v="0"/>
    <x v="1"/>
    <x v="6"/>
    <x v="33"/>
    <x v="349"/>
    <n v="101435"/>
    <x v="627"/>
    <d v="1978-12-18T00:00:00"/>
    <x v="2"/>
    <x v="0"/>
    <n v="96749"/>
    <x v="0"/>
    <s v="US Citizen"/>
    <s v="Other"/>
    <x v="409"/>
    <s v="Not Terminated"/>
    <x v="1"/>
    <x v="21"/>
    <n v="2"/>
    <x v="1"/>
    <n v="1"/>
    <x v="0"/>
    <n v="2"/>
    <s v="Fully Meets"/>
    <n v="4.5999999999999996"/>
    <s v="Dissatisfied"/>
    <n v="2"/>
    <d v="2025-09-08T00:00:00"/>
    <n v="1"/>
    <n v="5"/>
  </r>
  <r>
    <n v="10330"/>
    <s v=" Dennis Moran"/>
    <x v="0"/>
    <x v="0"/>
    <x v="1"/>
    <x v="6"/>
    <x v="3"/>
    <x v="350"/>
    <n v="107787"/>
    <x v="628"/>
    <d v="1986-07-16T00:00:00"/>
    <x v="2"/>
    <x v="0"/>
    <n v="21377"/>
    <x v="1"/>
    <s v="Non-Citizen"/>
    <s v="Hispanic"/>
    <x v="410"/>
    <s v="Not Terminated"/>
    <x v="0"/>
    <x v="18"/>
    <n v="2"/>
    <x v="1"/>
    <n v="1"/>
    <x v="0"/>
    <n v="1"/>
    <s v="PIP"/>
    <n v="2.8"/>
    <s v="Satisfied"/>
    <n v="2"/>
    <d v="2025-05-14T00:00:00"/>
    <n v="1"/>
    <n v="2"/>
  </r>
  <r>
    <n v="10331"/>
    <s v=" Lori Walker"/>
    <x v="0"/>
    <x v="1"/>
    <x v="0"/>
    <x v="8"/>
    <x v="34"/>
    <x v="351"/>
    <n v="47245"/>
    <x v="629"/>
    <d v="1989-09-08T00:00:00"/>
    <x v="1"/>
    <x v="1"/>
    <n v="11384"/>
    <x v="1"/>
    <s v="Non-Citizen"/>
    <s v="Asian"/>
    <x v="411"/>
    <s v="Not Terminated"/>
    <x v="1"/>
    <x v="18"/>
    <n v="2"/>
    <x v="2"/>
    <n v="1"/>
    <x v="9"/>
    <n v="3"/>
    <s v="Fully Meets"/>
    <n v="3.2"/>
    <s v="Very Satisfied"/>
    <n v="0"/>
    <d v="2025-04-15T00:00:00"/>
    <n v="0"/>
    <n v="2"/>
  </r>
  <r>
    <n v="10332"/>
    <s v=" Shawn Riley"/>
    <x v="1"/>
    <x v="1"/>
    <x v="1"/>
    <x v="4"/>
    <x v="33"/>
    <x v="352"/>
    <n v="103974"/>
    <x v="630"/>
    <d v="1974-03-16T00:00:00"/>
    <x v="1"/>
    <x v="15"/>
    <n v="44362"/>
    <x v="1"/>
    <s v="US Citizen"/>
    <s v="White"/>
    <x v="412"/>
    <s v="Not Terminated"/>
    <x v="1"/>
    <x v="21"/>
    <n v="3"/>
    <x v="1"/>
    <n v="0"/>
    <x v="10"/>
    <n v="3"/>
    <s v="Fully Meets"/>
    <n v="3"/>
    <s v="Neutral"/>
    <n v="2"/>
    <d v="2025-03-30T00:00:00"/>
    <n v="1"/>
    <n v="10"/>
  </r>
  <r>
    <n v="10333"/>
    <s v=" Andrew Harris"/>
    <x v="0"/>
    <x v="1"/>
    <x v="1"/>
    <x v="7"/>
    <x v="34"/>
    <x v="353"/>
    <n v="90359"/>
    <x v="631"/>
    <d v="1967-02-27T00:00:00"/>
    <x v="2"/>
    <x v="1"/>
    <n v="66656"/>
    <x v="0"/>
    <s v="US Citizen"/>
    <s v="Other"/>
    <x v="413"/>
    <s v="Not Terminated"/>
    <x v="0"/>
    <x v="21"/>
    <n v="1"/>
    <x v="0"/>
    <n v="0"/>
    <x v="9"/>
    <n v="4"/>
    <s v="Exceeds Expectations"/>
    <n v="2.8"/>
    <s v="Neutral"/>
    <n v="0"/>
    <d v="2025-06-04T00:00:00"/>
    <n v="3"/>
    <n v="0"/>
  </r>
  <r>
    <n v="10334"/>
    <s v=" Susan Thompson"/>
    <x v="0"/>
    <x v="2"/>
    <x v="0"/>
    <x v="8"/>
    <x v="32"/>
    <x v="354"/>
    <n v="116130"/>
    <x v="632"/>
    <d v="1981-08-17T00:00:00"/>
    <x v="1"/>
    <x v="15"/>
    <n v="95832"/>
    <x v="1"/>
    <s v="Non-Citizen"/>
    <s v="White"/>
    <x v="245"/>
    <s v="2023-07-30"/>
    <x v="0"/>
    <x v="22"/>
    <n v="3"/>
    <x v="0"/>
    <n v="0"/>
    <x v="0"/>
    <n v="1"/>
    <s v="Exceeds Expectations"/>
    <n v="4.8"/>
    <s v="Neutral"/>
    <n v="4"/>
    <d v="2025-12-10T00:00:00"/>
    <n v="1"/>
    <n v="0"/>
  </r>
  <r>
    <n v="10335"/>
    <s v=" Courtney Whitaker"/>
    <x v="1"/>
    <x v="2"/>
    <x v="0"/>
    <x v="9"/>
    <x v="33"/>
    <x v="355"/>
    <n v="36661"/>
    <x v="633"/>
    <d v="1984-12-06T00:00:00"/>
    <x v="1"/>
    <x v="0"/>
    <n v="68762"/>
    <x v="0"/>
    <s v="Non-Citizen"/>
    <s v="Hispanic"/>
    <x v="414"/>
    <s v="Not Terminated"/>
    <x v="1"/>
    <x v="19"/>
    <n v="2"/>
    <x v="1"/>
    <n v="1"/>
    <x v="1"/>
    <n v="1"/>
    <s v="Exceeds Expectations"/>
    <n v="4.0999999999999996"/>
    <s v="Dissatisfied"/>
    <n v="4"/>
    <d v="2025-08-27T00:00:00"/>
    <n v="4"/>
    <n v="7"/>
  </r>
  <r>
    <n v="10336"/>
    <s v=" Claire Rosario"/>
    <x v="1"/>
    <x v="1"/>
    <x v="1"/>
    <x v="7"/>
    <x v="3"/>
    <x v="316"/>
    <n v="83144"/>
    <x v="634"/>
    <d v="1970-06-07T00:00:00"/>
    <x v="1"/>
    <x v="0"/>
    <n v="45496"/>
    <x v="1"/>
    <s v="US Citizen"/>
    <s v="Black"/>
    <x v="415"/>
    <s v="Not Terminated"/>
    <x v="0"/>
    <x v="18"/>
    <n v="3"/>
    <x v="0"/>
    <n v="0"/>
    <x v="7"/>
    <n v="3"/>
    <s v="PIP"/>
    <n v="2.8"/>
    <s v="Neutral"/>
    <n v="2"/>
    <d v="2025-09-21T00:00:00"/>
    <n v="0"/>
    <n v="6"/>
  </r>
  <r>
    <n v="10337"/>
    <s v=" John Johnson"/>
    <x v="0"/>
    <x v="2"/>
    <x v="0"/>
    <x v="4"/>
    <x v="3"/>
    <x v="356"/>
    <n v="109571"/>
    <x v="635"/>
    <d v="1989-06-13T00:00:00"/>
    <x v="2"/>
    <x v="15"/>
    <n v="74401"/>
    <x v="1"/>
    <s v="Non-Citizen"/>
    <s v="Hispanic"/>
    <x v="416"/>
    <s v="Not Terminated"/>
    <x v="0"/>
    <x v="18"/>
    <n v="3"/>
    <x v="0"/>
    <n v="0"/>
    <x v="0"/>
    <n v="2"/>
    <s v="PIP"/>
    <n v="4.3"/>
    <s v="Satisfied"/>
    <n v="4"/>
    <d v="2025-10-16T00:00:00"/>
    <n v="2"/>
    <n v="6"/>
  </r>
  <r>
    <n v="10338"/>
    <s v=" Alex Frye"/>
    <x v="0"/>
    <x v="2"/>
    <x v="1"/>
    <x v="8"/>
    <x v="32"/>
    <x v="357"/>
    <n v="100643"/>
    <x v="636"/>
    <d v="1984-02-16T00:00:00"/>
    <x v="1"/>
    <x v="7"/>
    <n v="47725"/>
    <x v="1"/>
    <s v="Non-Citizen"/>
    <s v="Asian"/>
    <x v="417"/>
    <s v="2023-09-02"/>
    <x v="1"/>
    <x v="19"/>
    <n v="1"/>
    <x v="2"/>
    <n v="0"/>
    <x v="9"/>
    <n v="4"/>
    <s v="Needs Improvement"/>
    <n v="2.9"/>
    <s v="Very Satisfied"/>
    <n v="0"/>
    <d v="2025-01-24T00:00:00"/>
    <n v="0"/>
    <n v="8"/>
  </r>
  <r>
    <n v="10339"/>
    <s v=" Richard Gardner"/>
    <x v="0"/>
    <x v="1"/>
    <x v="1"/>
    <x v="4"/>
    <x v="33"/>
    <x v="358"/>
    <n v="70717"/>
    <x v="637"/>
    <d v="1988-07-12T00:00:00"/>
    <x v="2"/>
    <x v="18"/>
    <n v="19656"/>
    <x v="1"/>
    <s v="US Citizen"/>
    <s v="Hispanic"/>
    <x v="163"/>
    <s v="2023-12-28"/>
    <x v="0"/>
    <x v="18"/>
    <n v="1"/>
    <x v="1"/>
    <n v="0"/>
    <x v="9"/>
    <n v="4"/>
    <s v="Needs Improvement"/>
    <n v="2.8"/>
    <s v="Very Satisfied"/>
    <n v="2"/>
    <d v="2024-04-12T00:00:00"/>
    <n v="5"/>
    <n v="4"/>
  </r>
  <r>
    <n v="10340"/>
    <s v=" Ashlee Brewer"/>
    <x v="0"/>
    <x v="0"/>
    <x v="0"/>
    <x v="8"/>
    <x v="32"/>
    <x v="359"/>
    <n v="101817"/>
    <x v="638"/>
    <d v="1971-08-23T00:00:00"/>
    <x v="2"/>
    <x v="1"/>
    <n v="48267"/>
    <x v="1"/>
    <s v="US Citizen"/>
    <s v="Black"/>
    <x v="418"/>
    <s v="2022-08-30"/>
    <x v="1"/>
    <x v="18"/>
    <n v="1"/>
    <x v="2"/>
    <n v="0"/>
    <x v="9"/>
    <n v="4"/>
    <s v="Needs Improvement"/>
    <n v="4.2"/>
    <s v="Dissatisfied"/>
    <n v="1"/>
    <d v="2025-05-29T00:00:00"/>
    <n v="2"/>
    <n v="7"/>
  </r>
  <r>
    <n v="10341"/>
    <s v=" Cynthia Manning"/>
    <x v="1"/>
    <x v="0"/>
    <x v="0"/>
    <x v="4"/>
    <x v="34"/>
    <x v="360"/>
    <n v="106497"/>
    <x v="639"/>
    <d v="1995-11-28T00:00:00"/>
    <x v="2"/>
    <x v="18"/>
    <n v="86213"/>
    <x v="0"/>
    <s v="US Citizen"/>
    <s v="Black"/>
    <x v="419"/>
    <s v="2023-02-17"/>
    <x v="0"/>
    <x v="22"/>
    <n v="2"/>
    <x v="1"/>
    <n v="1"/>
    <x v="7"/>
    <n v="2"/>
    <s v="PIP"/>
    <n v="4.8"/>
    <s v="Neutral"/>
    <n v="0"/>
    <d v="2025-08-13T00:00:00"/>
    <n v="3"/>
    <n v="1"/>
  </r>
  <r>
    <n v="10342"/>
    <s v=" Christy Roberson"/>
    <x v="0"/>
    <x v="2"/>
    <x v="1"/>
    <x v="8"/>
    <x v="33"/>
    <x v="361"/>
    <n v="90263"/>
    <x v="640"/>
    <d v="1977-05-22T00:00:00"/>
    <x v="2"/>
    <x v="0"/>
    <n v="43798"/>
    <x v="0"/>
    <s v="Non-Citizen"/>
    <s v="Hispanic"/>
    <x v="306"/>
    <s v="Not Terminated"/>
    <x v="0"/>
    <x v="21"/>
    <n v="3"/>
    <x v="0"/>
    <n v="1"/>
    <x v="1"/>
    <n v="2"/>
    <s v="Exceeds Expectations"/>
    <n v="2.6"/>
    <s v="Very Dissatisfied"/>
    <n v="4"/>
    <d v="2025-07-28T00:00:00"/>
    <n v="3"/>
    <n v="0"/>
  </r>
  <r>
    <n v="10343"/>
    <s v=" Christina Marshall"/>
    <x v="0"/>
    <x v="2"/>
    <x v="0"/>
    <x v="9"/>
    <x v="0"/>
    <x v="362"/>
    <n v="65947"/>
    <x v="641"/>
    <d v="1985-05-28T00:00:00"/>
    <x v="2"/>
    <x v="18"/>
    <n v="77631"/>
    <x v="0"/>
    <s v="Non-Citizen"/>
    <s v="White"/>
    <x v="420"/>
    <s v="Not Terminated"/>
    <x v="0"/>
    <x v="19"/>
    <n v="1"/>
    <x v="0"/>
    <n v="0"/>
    <x v="7"/>
    <n v="1"/>
    <s v="PIP"/>
    <n v="3.5"/>
    <s v="Very Satisfied"/>
    <n v="2"/>
    <d v="2025-09-09T00:00:00"/>
    <n v="5"/>
    <n v="1"/>
  </r>
  <r>
    <n v="10344"/>
    <s v=" Hannah Casey"/>
    <x v="1"/>
    <x v="2"/>
    <x v="0"/>
    <x v="8"/>
    <x v="32"/>
    <x v="363"/>
    <n v="48957"/>
    <x v="642"/>
    <d v="1991-10-29T00:00:00"/>
    <x v="2"/>
    <x v="18"/>
    <n v="8142"/>
    <x v="1"/>
    <s v="Non-Citizen"/>
    <s v="Black"/>
    <x v="421"/>
    <s v="Not Terminated"/>
    <x v="1"/>
    <x v="18"/>
    <n v="2"/>
    <x v="0"/>
    <n v="1"/>
    <x v="0"/>
    <n v="3"/>
    <s v="PIP"/>
    <n v="3"/>
    <s v="Very Dissatisfied"/>
    <n v="1"/>
    <d v="2025-03-28T00:00:00"/>
    <n v="3"/>
    <n v="2"/>
  </r>
  <r>
    <n v="10345"/>
    <s v=" Randy Griffin"/>
    <x v="0"/>
    <x v="1"/>
    <x v="1"/>
    <x v="10"/>
    <x v="33"/>
    <x v="364"/>
    <n v="62707"/>
    <x v="643"/>
    <d v="1986-11-14T00:00:00"/>
    <x v="2"/>
    <x v="15"/>
    <n v="30490"/>
    <x v="1"/>
    <s v="US Citizen"/>
    <s v="Asian"/>
    <x v="422"/>
    <s v="Not Terminated"/>
    <x v="0"/>
    <x v="19"/>
    <n v="3"/>
    <x v="2"/>
    <n v="1"/>
    <x v="9"/>
    <n v="2"/>
    <s v="Needs Improvement"/>
    <n v="3.8"/>
    <s v="Neutral"/>
    <n v="3"/>
    <d v="2025-09-20T00:00:00"/>
    <n v="0"/>
    <n v="5"/>
  </r>
  <r>
    <n v="10346"/>
    <s v=" Michael Roth"/>
    <x v="0"/>
    <x v="1"/>
    <x v="0"/>
    <x v="8"/>
    <x v="3"/>
    <x v="365"/>
    <n v="69902"/>
    <x v="644"/>
    <d v="1995-01-26T00:00:00"/>
    <x v="1"/>
    <x v="0"/>
    <n v="53497"/>
    <x v="0"/>
    <s v="Non-Citizen"/>
    <s v="Asian"/>
    <x v="423"/>
    <s v="Not Terminated"/>
    <x v="0"/>
    <x v="22"/>
    <n v="2"/>
    <x v="2"/>
    <n v="0"/>
    <x v="0"/>
    <n v="4"/>
    <s v="PIP"/>
    <n v="4.9000000000000004"/>
    <s v="Neutral"/>
    <n v="3"/>
    <d v="2024-11-28T00:00:00"/>
    <n v="1"/>
    <n v="4"/>
  </r>
  <r>
    <n v="10347"/>
    <s v=" Rachel Dunlap"/>
    <x v="1"/>
    <x v="0"/>
    <x v="0"/>
    <x v="8"/>
    <x v="3"/>
    <x v="366"/>
    <n v="46738"/>
    <x v="645"/>
    <d v="2002-11-07T00:00:00"/>
    <x v="1"/>
    <x v="0"/>
    <n v="58107"/>
    <x v="0"/>
    <s v="US Citizen"/>
    <s v="Asian"/>
    <x v="424"/>
    <s v="2021-04-04"/>
    <x v="1"/>
    <x v="18"/>
    <n v="1"/>
    <x v="1"/>
    <n v="1"/>
    <x v="10"/>
    <n v="1"/>
    <s v="PIP"/>
    <n v="3.5"/>
    <s v="Very Satisfied"/>
    <n v="3"/>
    <d v="2025-12-07T00:00:00"/>
    <n v="1"/>
    <n v="2"/>
  </r>
  <r>
    <n v="10348"/>
    <s v=" Carrie Vega"/>
    <x v="0"/>
    <x v="1"/>
    <x v="1"/>
    <x v="7"/>
    <x v="0"/>
    <x v="367"/>
    <n v="41586"/>
    <x v="646"/>
    <d v="1978-01-02T00:00:00"/>
    <x v="2"/>
    <x v="0"/>
    <n v="19701"/>
    <x v="1"/>
    <s v="Non-Citizen"/>
    <s v="Black"/>
    <x v="288"/>
    <s v="Not Terminated"/>
    <x v="1"/>
    <x v="21"/>
    <n v="1"/>
    <x v="2"/>
    <n v="0"/>
    <x v="7"/>
    <n v="1"/>
    <s v="Exceeds Expectations"/>
    <n v="4.5999999999999996"/>
    <s v="Satisfied"/>
    <n v="3"/>
    <d v="2025-03-03T00:00:00"/>
    <n v="3"/>
    <n v="1"/>
  </r>
  <r>
    <n v="10349"/>
    <s v=" Elizabeth York"/>
    <x v="0"/>
    <x v="2"/>
    <x v="1"/>
    <x v="8"/>
    <x v="32"/>
    <x v="368"/>
    <n v="101016"/>
    <x v="647"/>
    <d v="1967-03-23T00:00:00"/>
    <x v="2"/>
    <x v="18"/>
    <n v="19629"/>
    <x v="0"/>
    <s v="US Citizen"/>
    <s v="Asian"/>
    <x v="232"/>
    <s v="Not Terminated"/>
    <x v="0"/>
    <x v="19"/>
    <n v="1"/>
    <x v="2"/>
    <n v="0"/>
    <x v="1"/>
    <n v="2"/>
    <s v="Fully Meets"/>
    <n v="3.6"/>
    <s v="Very Satisfied"/>
    <n v="4"/>
    <d v="2025-09-16T00:00:00"/>
    <n v="2"/>
    <n v="9"/>
  </r>
  <r>
    <n v="10350"/>
    <s v=" John Allen"/>
    <x v="1"/>
    <x v="2"/>
    <x v="0"/>
    <x v="6"/>
    <x v="0"/>
    <x v="369"/>
    <n v="55511"/>
    <x v="648"/>
    <d v="1981-05-16T00:00:00"/>
    <x v="2"/>
    <x v="1"/>
    <n v="82078"/>
    <x v="0"/>
    <s v="Non-Citizen"/>
    <s v="Black"/>
    <x v="333"/>
    <s v="Not Terminated"/>
    <x v="1"/>
    <x v="19"/>
    <n v="2"/>
    <x v="1"/>
    <n v="0"/>
    <x v="10"/>
    <n v="1"/>
    <s v="Needs Improvement"/>
    <n v="5"/>
    <s v="Very Dissatisfied"/>
    <n v="2"/>
    <d v="2025-01-19T00:00:00"/>
    <n v="4"/>
    <n v="0"/>
  </r>
  <r>
    <n v="10351"/>
    <s v=" Andrew Jones"/>
    <x v="0"/>
    <x v="2"/>
    <x v="1"/>
    <x v="6"/>
    <x v="3"/>
    <x v="370"/>
    <n v="31283"/>
    <x v="649"/>
    <d v="1993-03-01T00:00:00"/>
    <x v="2"/>
    <x v="15"/>
    <n v="55212"/>
    <x v="1"/>
    <s v="US Citizen"/>
    <s v="Asian"/>
    <x v="425"/>
    <s v="2022-08-24"/>
    <x v="0"/>
    <x v="19"/>
    <n v="3"/>
    <x v="0"/>
    <n v="1"/>
    <x v="10"/>
    <n v="1"/>
    <s v="Needs Improvement"/>
    <n v="3"/>
    <s v="Dissatisfied"/>
    <n v="5"/>
    <d v="2024-12-27T00:00:00"/>
    <n v="4"/>
    <n v="3"/>
  </r>
  <r>
    <n v="10352"/>
    <s v=" Samantha Collins"/>
    <x v="0"/>
    <x v="2"/>
    <x v="1"/>
    <x v="10"/>
    <x v="32"/>
    <x v="371"/>
    <n v="56295"/>
    <x v="650"/>
    <d v="1985-04-13T00:00:00"/>
    <x v="1"/>
    <x v="18"/>
    <n v="55320"/>
    <x v="1"/>
    <s v="US Citizen"/>
    <s v="Other"/>
    <x v="426"/>
    <s v="2022-06-28"/>
    <x v="1"/>
    <x v="22"/>
    <n v="2"/>
    <x v="2"/>
    <n v="1"/>
    <x v="7"/>
    <n v="3"/>
    <s v="Needs Improvement"/>
    <n v="2.6"/>
    <s v="Very Dissatisfied"/>
    <n v="2"/>
    <d v="2025-08-08T00:00:00"/>
    <n v="3"/>
    <n v="8"/>
  </r>
  <r>
    <n v="10353"/>
    <s v=" Kenneth Duncan"/>
    <x v="0"/>
    <x v="1"/>
    <x v="0"/>
    <x v="4"/>
    <x v="0"/>
    <x v="372"/>
    <n v="114666"/>
    <x v="651"/>
    <d v="1996-06-09T00:00:00"/>
    <x v="1"/>
    <x v="7"/>
    <n v="98034"/>
    <x v="1"/>
    <s v="US Citizen"/>
    <s v="Hispanic"/>
    <x v="427"/>
    <s v="Not Terminated"/>
    <x v="0"/>
    <x v="18"/>
    <n v="1"/>
    <x v="2"/>
    <n v="0"/>
    <x v="7"/>
    <n v="4"/>
    <s v="Needs Improvement"/>
    <n v="3.9"/>
    <s v="Very Dissatisfied"/>
    <n v="2"/>
    <d v="2025-10-18T00:00:00"/>
    <n v="5"/>
    <n v="10"/>
  </r>
  <r>
    <n v="10354"/>
    <s v=" William Smith"/>
    <x v="1"/>
    <x v="2"/>
    <x v="1"/>
    <x v="4"/>
    <x v="34"/>
    <x v="373"/>
    <n v="104079"/>
    <x v="652"/>
    <d v="1970-06-16T00:00:00"/>
    <x v="2"/>
    <x v="15"/>
    <n v="95399"/>
    <x v="0"/>
    <s v="Non-Citizen"/>
    <s v="Hispanic"/>
    <x v="428"/>
    <s v="2025-02-16"/>
    <x v="0"/>
    <x v="18"/>
    <n v="3"/>
    <x v="0"/>
    <n v="0"/>
    <x v="7"/>
    <n v="3"/>
    <s v="PIP"/>
    <n v="2.8"/>
    <s v="Very Satisfied"/>
    <n v="4"/>
    <d v="2025-02-08T00:00:00"/>
    <n v="5"/>
    <n v="1"/>
  </r>
  <r>
    <n v="10355"/>
    <s v=" Jonathan Gay"/>
    <x v="0"/>
    <x v="0"/>
    <x v="1"/>
    <x v="9"/>
    <x v="34"/>
    <x v="374"/>
    <n v="31231"/>
    <x v="653"/>
    <d v="1967-02-05T00:00:00"/>
    <x v="2"/>
    <x v="15"/>
    <n v="77840"/>
    <x v="0"/>
    <s v="Non-Citizen"/>
    <s v="White"/>
    <x v="429"/>
    <s v="2024-07-24"/>
    <x v="0"/>
    <x v="21"/>
    <n v="3"/>
    <x v="1"/>
    <n v="1"/>
    <x v="7"/>
    <n v="4"/>
    <s v="Needs Improvement"/>
    <n v="3.8"/>
    <s v="Very Dissatisfied"/>
    <n v="0"/>
    <d v="2024-10-12T00:00:00"/>
    <n v="1"/>
    <n v="5"/>
  </r>
  <r>
    <n v="10356"/>
    <s v=" Alicia Rice"/>
    <x v="0"/>
    <x v="2"/>
    <x v="0"/>
    <x v="8"/>
    <x v="34"/>
    <x v="375"/>
    <n v="40922"/>
    <x v="654"/>
    <d v="1993-10-27T00:00:00"/>
    <x v="2"/>
    <x v="15"/>
    <n v="74587"/>
    <x v="1"/>
    <s v="US Citizen"/>
    <s v="Hispanic"/>
    <x v="332"/>
    <s v="2024-08-27"/>
    <x v="0"/>
    <x v="18"/>
    <n v="1"/>
    <x v="0"/>
    <n v="0"/>
    <x v="10"/>
    <n v="3"/>
    <s v="PIP"/>
    <n v="4"/>
    <s v="Satisfied"/>
    <n v="1"/>
    <d v="2025-10-27T00:00:00"/>
    <n v="0"/>
    <n v="10"/>
  </r>
  <r>
    <n v="10357"/>
    <s v=" Teresa Hansen"/>
    <x v="0"/>
    <x v="1"/>
    <x v="0"/>
    <x v="9"/>
    <x v="3"/>
    <x v="376"/>
    <n v="36367"/>
    <x v="655"/>
    <d v="1983-05-17T00:00:00"/>
    <x v="2"/>
    <x v="7"/>
    <n v="70876"/>
    <x v="0"/>
    <s v="US Citizen"/>
    <s v="White"/>
    <x v="430"/>
    <s v="Not Terminated"/>
    <x v="1"/>
    <x v="21"/>
    <n v="2"/>
    <x v="1"/>
    <n v="0"/>
    <x v="0"/>
    <n v="2"/>
    <s v="PIP"/>
    <n v="4.8"/>
    <s v="Dissatisfied"/>
    <n v="3"/>
    <d v="2025-11-07T00:00:00"/>
    <n v="4"/>
    <n v="9"/>
  </r>
  <r>
    <n v="10358"/>
    <s v=" Kim Lee"/>
    <x v="0"/>
    <x v="0"/>
    <x v="0"/>
    <x v="4"/>
    <x v="34"/>
    <x v="377"/>
    <n v="50709"/>
    <x v="656"/>
    <d v="1970-09-02T00:00:00"/>
    <x v="2"/>
    <x v="15"/>
    <n v="67546"/>
    <x v="0"/>
    <s v="US Citizen"/>
    <s v="Asian"/>
    <x v="431"/>
    <s v="Not Terminated"/>
    <x v="0"/>
    <x v="22"/>
    <n v="3"/>
    <x v="1"/>
    <n v="0"/>
    <x v="7"/>
    <n v="1"/>
    <s v="Fully Meets"/>
    <n v="4.9000000000000004"/>
    <s v="Dissatisfied"/>
    <n v="0"/>
    <d v="2025-03-20T00:00:00"/>
    <n v="4"/>
    <n v="5"/>
  </r>
  <r>
    <n v="10359"/>
    <s v=" Amber Alvarez"/>
    <x v="1"/>
    <x v="2"/>
    <x v="0"/>
    <x v="10"/>
    <x v="34"/>
    <x v="378"/>
    <n v="83456"/>
    <x v="657"/>
    <d v="1984-12-08T00:00:00"/>
    <x v="1"/>
    <x v="7"/>
    <n v="13448"/>
    <x v="1"/>
    <s v="Non-Citizen"/>
    <s v="Hispanic"/>
    <x v="432"/>
    <s v="2021-04-13"/>
    <x v="0"/>
    <x v="20"/>
    <n v="1"/>
    <x v="2"/>
    <n v="0"/>
    <x v="9"/>
    <n v="2"/>
    <s v="Fully Meets"/>
    <n v="4.7"/>
    <s v="Very Dissatisfied"/>
    <n v="5"/>
    <d v="2024-09-11T00:00:00"/>
    <n v="1"/>
    <n v="8"/>
  </r>
  <r>
    <n v="10360"/>
    <s v=" Spencer Romero"/>
    <x v="0"/>
    <x v="0"/>
    <x v="0"/>
    <x v="4"/>
    <x v="0"/>
    <x v="379"/>
    <n v="89937"/>
    <x v="658"/>
    <d v="1998-12-26T00:00:00"/>
    <x v="1"/>
    <x v="15"/>
    <n v="88392"/>
    <x v="0"/>
    <s v="Non-Citizen"/>
    <s v="Hispanic"/>
    <x v="433"/>
    <s v="2025-04-07"/>
    <x v="0"/>
    <x v="22"/>
    <n v="3"/>
    <x v="2"/>
    <n v="1"/>
    <x v="7"/>
    <n v="1"/>
    <s v="Fully Meets"/>
    <n v="3.8"/>
    <s v="Very Satisfied"/>
    <n v="5"/>
    <d v="2025-08-15T00:00:00"/>
    <n v="5"/>
    <n v="3"/>
  </r>
  <r>
    <n v="10361"/>
    <s v=" Patricia Jackson"/>
    <x v="0"/>
    <x v="2"/>
    <x v="0"/>
    <x v="6"/>
    <x v="34"/>
    <x v="380"/>
    <n v="75664"/>
    <x v="659"/>
    <d v="1971-03-03T00:00:00"/>
    <x v="1"/>
    <x v="1"/>
    <n v="21467"/>
    <x v="1"/>
    <s v="Non-Citizen"/>
    <s v="White"/>
    <x v="434"/>
    <s v="2022-12-27"/>
    <x v="0"/>
    <x v="20"/>
    <n v="3"/>
    <x v="0"/>
    <n v="0"/>
    <x v="10"/>
    <n v="1"/>
    <s v="Exceeds Expectations"/>
    <n v="3.3"/>
    <s v="Satisfied"/>
    <n v="4"/>
    <d v="2025-05-15T00:00:00"/>
    <n v="1"/>
    <n v="1"/>
  </r>
  <r>
    <n v="10362"/>
    <s v=" Austin Harris"/>
    <x v="1"/>
    <x v="2"/>
    <x v="0"/>
    <x v="8"/>
    <x v="3"/>
    <x v="381"/>
    <n v="118170"/>
    <x v="660"/>
    <d v="1995-11-17T00:00:00"/>
    <x v="2"/>
    <x v="7"/>
    <n v="33348"/>
    <x v="1"/>
    <s v="US Citizen"/>
    <s v="Asian"/>
    <x v="435"/>
    <s v="Not Terminated"/>
    <x v="1"/>
    <x v="21"/>
    <n v="1"/>
    <x v="0"/>
    <n v="1"/>
    <x v="1"/>
    <n v="2"/>
    <s v="Exceeds Expectations"/>
    <n v="3.3"/>
    <s v="Satisfied"/>
    <n v="3"/>
    <d v="2025-02-08T00:00:00"/>
    <n v="0"/>
    <n v="0"/>
  </r>
  <r>
    <n v="10363"/>
    <s v=" Robert Barrera"/>
    <x v="0"/>
    <x v="1"/>
    <x v="0"/>
    <x v="9"/>
    <x v="33"/>
    <x v="382"/>
    <n v="71243"/>
    <x v="661"/>
    <d v="1996-04-04T00:00:00"/>
    <x v="1"/>
    <x v="0"/>
    <n v="55969"/>
    <x v="0"/>
    <s v="US Citizen"/>
    <s v="Other"/>
    <x v="436"/>
    <s v="Not Terminated"/>
    <x v="1"/>
    <x v="21"/>
    <n v="1"/>
    <x v="2"/>
    <n v="1"/>
    <x v="0"/>
    <n v="3"/>
    <s v="Fully Meets"/>
    <n v="3.7"/>
    <s v="Satisfied"/>
    <n v="0"/>
    <d v="2025-03-18T00:00:00"/>
    <n v="0"/>
    <n v="0"/>
  </r>
  <r>
    <n v="10364"/>
    <s v=" Lisa Strickland"/>
    <x v="1"/>
    <x v="2"/>
    <x v="1"/>
    <x v="6"/>
    <x v="3"/>
    <x v="383"/>
    <n v="69799"/>
    <x v="662"/>
    <d v="1993-02-11T00:00:00"/>
    <x v="2"/>
    <x v="0"/>
    <n v="33318"/>
    <x v="1"/>
    <s v="Non-Citizen"/>
    <s v="Asian"/>
    <x v="245"/>
    <s v="Not Terminated"/>
    <x v="1"/>
    <x v="19"/>
    <n v="3"/>
    <x v="0"/>
    <n v="1"/>
    <x v="9"/>
    <n v="1"/>
    <s v="Exceeds Expectations"/>
    <n v="4.0999999999999996"/>
    <s v="Neutral"/>
    <n v="3"/>
    <d v="2025-08-02T00:00:00"/>
    <n v="5"/>
    <n v="9"/>
  </r>
  <r>
    <n v="10365"/>
    <s v=" Jesus Ramirez"/>
    <x v="1"/>
    <x v="1"/>
    <x v="0"/>
    <x v="6"/>
    <x v="34"/>
    <x v="384"/>
    <n v="48050"/>
    <x v="663"/>
    <d v="1974-04-04T00:00:00"/>
    <x v="2"/>
    <x v="0"/>
    <n v="38162"/>
    <x v="1"/>
    <s v="US Citizen"/>
    <s v="Other"/>
    <x v="437"/>
    <s v="2025-07-09"/>
    <x v="0"/>
    <x v="19"/>
    <n v="3"/>
    <x v="1"/>
    <n v="0"/>
    <x v="0"/>
    <n v="1"/>
    <s v="Fully Meets"/>
    <n v="4.3"/>
    <s v="Neutral"/>
    <n v="2"/>
    <d v="2025-05-02T00:00:00"/>
    <n v="2"/>
    <n v="8"/>
  </r>
  <r>
    <n v="10366"/>
    <s v=" Bobby Lopez"/>
    <x v="0"/>
    <x v="0"/>
    <x v="0"/>
    <x v="7"/>
    <x v="0"/>
    <x v="385"/>
    <n v="59999"/>
    <x v="664"/>
    <d v="2001-09-11T00:00:00"/>
    <x v="2"/>
    <x v="15"/>
    <n v="54900"/>
    <x v="1"/>
    <s v="Non-Citizen"/>
    <s v="Other"/>
    <x v="438"/>
    <s v="Not Terminated"/>
    <x v="0"/>
    <x v="20"/>
    <n v="3"/>
    <x v="0"/>
    <n v="0"/>
    <x v="9"/>
    <n v="3"/>
    <s v="Exceeds Expectations"/>
    <n v="3.6"/>
    <s v="Very Dissatisfied"/>
    <n v="5"/>
    <d v="2024-11-28T00:00:00"/>
    <n v="2"/>
    <n v="2"/>
  </r>
  <r>
    <n v="10367"/>
    <s v=" Jeffrey Simpson"/>
    <x v="0"/>
    <x v="0"/>
    <x v="0"/>
    <x v="8"/>
    <x v="0"/>
    <x v="386"/>
    <n v="102327"/>
    <x v="665"/>
    <d v="1991-11-25T00:00:00"/>
    <x v="1"/>
    <x v="18"/>
    <n v="28334"/>
    <x v="1"/>
    <s v="US Citizen"/>
    <s v="Other"/>
    <x v="439"/>
    <s v="2025-01-02"/>
    <x v="0"/>
    <x v="20"/>
    <n v="1"/>
    <x v="1"/>
    <n v="0"/>
    <x v="10"/>
    <n v="1"/>
    <s v="PIP"/>
    <n v="3.1"/>
    <s v="Dissatisfied"/>
    <n v="1"/>
    <d v="2025-11-02T00:00:00"/>
    <n v="0"/>
    <n v="8"/>
  </r>
  <r>
    <n v="10368"/>
    <s v=" Wayne Thomas"/>
    <x v="1"/>
    <x v="0"/>
    <x v="1"/>
    <x v="6"/>
    <x v="34"/>
    <x v="387"/>
    <n v="60865"/>
    <x v="666"/>
    <d v="1984-10-25T00:00:00"/>
    <x v="2"/>
    <x v="1"/>
    <n v="18040"/>
    <x v="1"/>
    <s v="US Citizen"/>
    <s v="Hispanic"/>
    <x v="440"/>
    <s v="Not Terminated"/>
    <x v="0"/>
    <x v="18"/>
    <n v="2"/>
    <x v="1"/>
    <n v="1"/>
    <x v="7"/>
    <n v="2"/>
    <s v="Exceeds Expectations"/>
    <n v="2.6"/>
    <s v="Satisfied"/>
    <n v="1"/>
    <d v="2025-01-27T00:00:00"/>
    <n v="5"/>
    <n v="5"/>
  </r>
  <r>
    <n v="10369"/>
    <s v=" James Daugherty"/>
    <x v="1"/>
    <x v="2"/>
    <x v="0"/>
    <x v="8"/>
    <x v="32"/>
    <x v="388"/>
    <n v="67564"/>
    <x v="667"/>
    <d v="1990-09-13T00:00:00"/>
    <x v="1"/>
    <x v="15"/>
    <n v="83324"/>
    <x v="0"/>
    <s v="US Citizen"/>
    <s v="Other"/>
    <x v="441"/>
    <s v="Not Terminated"/>
    <x v="0"/>
    <x v="20"/>
    <n v="3"/>
    <x v="0"/>
    <n v="1"/>
    <x v="9"/>
    <n v="1"/>
    <s v="Exceeds Expectations"/>
    <n v="4.0999999999999996"/>
    <s v="Very Satisfied"/>
    <n v="3"/>
    <d v="2025-10-28T00:00:00"/>
    <n v="5"/>
    <n v="10"/>
  </r>
  <r>
    <n v="10370"/>
    <s v=" Jacob Wagner"/>
    <x v="1"/>
    <x v="1"/>
    <x v="0"/>
    <x v="10"/>
    <x v="0"/>
    <x v="389"/>
    <n v="79049"/>
    <x v="668"/>
    <d v="1991-03-27T00:00:00"/>
    <x v="1"/>
    <x v="1"/>
    <n v="62384"/>
    <x v="0"/>
    <s v="US Citizen"/>
    <s v="White"/>
    <x v="220"/>
    <s v="Not Terminated"/>
    <x v="0"/>
    <x v="19"/>
    <n v="3"/>
    <x v="0"/>
    <n v="1"/>
    <x v="1"/>
    <n v="2"/>
    <s v="Fully Meets"/>
    <n v="3.6"/>
    <s v="Neutral"/>
    <n v="0"/>
    <d v="2025-11-02T00:00:00"/>
    <n v="1"/>
    <n v="3"/>
  </r>
  <r>
    <n v="10371"/>
    <s v=" Rachel Murphy"/>
    <x v="0"/>
    <x v="1"/>
    <x v="1"/>
    <x v="6"/>
    <x v="0"/>
    <x v="390"/>
    <n v="54442"/>
    <x v="669"/>
    <d v="1974-08-30T00:00:00"/>
    <x v="2"/>
    <x v="1"/>
    <n v="64153"/>
    <x v="1"/>
    <s v="Non-Citizen"/>
    <s v="Hispanic"/>
    <x v="442"/>
    <s v="2024-03-01"/>
    <x v="0"/>
    <x v="19"/>
    <n v="3"/>
    <x v="1"/>
    <n v="1"/>
    <x v="7"/>
    <n v="4"/>
    <s v="Exceeds Expectations"/>
    <n v="2.8"/>
    <s v="Neutral"/>
    <n v="3"/>
    <d v="2024-12-29T00:00:00"/>
    <n v="4"/>
    <n v="0"/>
  </r>
  <r>
    <n v="10372"/>
    <s v=" Dana Howell"/>
    <x v="0"/>
    <x v="0"/>
    <x v="0"/>
    <x v="10"/>
    <x v="33"/>
    <x v="391"/>
    <n v="57879"/>
    <x v="670"/>
    <d v="1969-08-30T00:00:00"/>
    <x v="1"/>
    <x v="1"/>
    <n v="51687"/>
    <x v="1"/>
    <s v="US Citizen"/>
    <s v="Hispanic"/>
    <x v="443"/>
    <s v="Not Terminated"/>
    <x v="1"/>
    <x v="19"/>
    <n v="1"/>
    <x v="0"/>
    <n v="1"/>
    <x v="10"/>
    <n v="1"/>
    <s v="PIP"/>
    <n v="4.9000000000000004"/>
    <s v="Satisfied"/>
    <n v="1"/>
    <d v="2025-06-16T00:00:00"/>
    <n v="1"/>
    <n v="7"/>
  </r>
  <r>
    <n v="10373"/>
    <s v=" Kelly Simon"/>
    <x v="0"/>
    <x v="2"/>
    <x v="0"/>
    <x v="9"/>
    <x v="3"/>
    <x v="392"/>
    <n v="116619"/>
    <x v="671"/>
    <d v="1981-04-06T00:00:00"/>
    <x v="2"/>
    <x v="18"/>
    <n v="44283"/>
    <x v="0"/>
    <s v="Non-Citizen"/>
    <s v="Asian"/>
    <x v="444"/>
    <s v="Not Terminated"/>
    <x v="0"/>
    <x v="22"/>
    <n v="2"/>
    <x v="0"/>
    <n v="0"/>
    <x v="10"/>
    <n v="1"/>
    <s v="Fully Meets"/>
    <n v="4.4000000000000004"/>
    <s v="Dissatisfied"/>
    <n v="5"/>
    <d v="2025-03-17T00:00:00"/>
    <n v="5"/>
    <n v="0"/>
  </r>
  <r>
    <n v="10374"/>
    <s v=" Kevin Walter"/>
    <x v="1"/>
    <x v="1"/>
    <x v="1"/>
    <x v="7"/>
    <x v="32"/>
    <x v="393"/>
    <n v="41541"/>
    <x v="672"/>
    <d v="1966-03-22T00:00:00"/>
    <x v="1"/>
    <x v="0"/>
    <n v="33479"/>
    <x v="1"/>
    <s v="US Citizen"/>
    <s v="Black"/>
    <x v="445"/>
    <s v="Not Terminated"/>
    <x v="1"/>
    <x v="20"/>
    <n v="3"/>
    <x v="1"/>
    <n v="0"/>
    <x v="7"/>
    <n v="1"/>
    <s v="Fully Meets"/>
    <n v="3.4"/>
    <s v="Neutral"/>
    <n v="1"/>
    <d v="2024-12-13T00:00:00"/>
    <n v="5"/>
    <n v="0"/>
  </r>
  <r>
    <n v="10375"/>
    <s v=" Kayla Fisher"/>
    <x v="1"/>
    <x v="0"/>
    <x v="0"/>
    <x v="8"/>
    <x v="33"/>
    <x v="394"/>
    <n v="65120"/>
    <x v="673"/>
    <d v="1986-02-23T00:00:00"/>
    <x v="1"/>
    <x v="15"/>
    <n v="41787"/>
    <x v="1"/>
    <s v="US Citizen"/>
    <s v="Hispanic"/>
    <x v="446"/>
    <s v="Not Terminated"/>
    <x v="1"/>
    <x v="19"/>
    <n v="3"/>
    <x v="2"/>
    <n v="0"/>
    <x v="9"/>
    <n v="4"/>
    <s v="Needs Improvement"/>
    <n v="4"/>
    <s v="Satisfied"/>
    <n v="0"/>
    <d v="2024-03-11T00:00:00"/>
    <n v="4"/>
    <n v="8"/>
  </r>
  <r>
    <n v="10376"/>
    <s v=" Felicia Montoya"/>
    <x v="1"/>
    <x v="1"/>
    <x v="0"/>
    <x v="8"/>
    <x v="33"/>
    <x v="395"/>
    <n v="78516"/>
    <x v="674"/>
    <d v="1968-09-11T00:00:00"/>
    <x v="1"/>
    <x v="18"/>
    <n v="47439"/>
    <x v="1"/>
    <s v="US Citizen"/>
    <s v="Asian"/>
    <x v="447"/>
    <s v="2022-09-03"/>
    <x v="0"/>
    <x v="21"/>
    <n v="1"/>
    <x v="2"/>
    <n v="0"/>
    <x v="10"/>
    <n v="1"/>
    <s v="PIP"/>
    <n v="4.0999999999999996"/>
    <s v="Dissatisfied"/>
    <n v="3"/>
    <d v="2024-11-16T00:00:00"/>
    <n v="1"/>
    <n v="9"/>
  </r>
  <r>
    <n v="10377"/>
    <s v=" Jorge Haney"/>
    <x v="1"/>
    <x v="2"/>
    <x v="1"/>
    <x v="8"/>
    <x v="32"/>
    <x v="396"/>
    <n v="104399"/>
    <x v="675"/>
    <d v="1969-03-02T00:00:00"/>
    <x v="2"/>
    <x v="0"/>
    <n v="8424"/>
    <x v="0"/>
    <s v="US Citizen"/>
    <s v="Other"/>
    <x v="448"/>
    <s v="Not Terminated"/>
    <x v="0"/>
    <x v="18"/>
    <n v="2"/>
    <x v="0"/>
    <n v="1"/>
    <x v="7"/>
    <n v="4"/>
    <s v="Fully Meets"/>
    <n v="2.8"/>
    <s v="Very Dissatisfied"/>
    <n v="1"/>
    <d v="2024-12-18T00:00:00"/>
    <n v="1"/>
    <n v="1"/>
  </r>
  <r>
    <n v="10378"/>
    <s v=" Amanda Mullins"/>
    <x v="1"/>
    <x v="2"/>
    <x v="0"/>
    <x v="8"/>
    <x v="34"/>
    <x v="397"/>
    <n v="65240"/>
    <x v="676"/>
    <d v="1991-07-21T00:00:00"/>
    <x v="2"/>
    <x v="1"/>
    <n v="32449"/>
    <x v="1"/>
    <s v="Non-Citizen"/>
    <s v="Hispanic"/>
    <x v="449"/>
    <s v="Not Terminated"/>
    <x v="0"/>
    <x v="20"/>
    <n v="2"/>
    <x v="2"/>
    <n v="1"/>
    <x v="7"/>
    <n v="4"/>
    <s v="Fully Meets"/>
    <n v="4.3"/>
    <s v="Dissatisfied"/>
    <n v="1"/>
    <d v="2025-12-07T00:00:00"/>
    <n v="1"/>
    <n v="2"/>
  </r>
  <r>
    <n v="10379"/>
    <s v=" Mary Brooks"/>
    <x v="0"/>
    <x v="0"/>
    <x v="0"/>
    <x v="9"/>
    <x v="34"/>
    <x v="398"/>
    <n v="49520"/>
    <x v="677"/>
    <d v="1989-04-22T00:00:00"/>
    <x v="1"/>
    <x v="7"/>
    <n v="48210"/>
    <x v="1"/>
    <s v="US Citizen"/>
    <s v="Hispanic"/>
    <x v="450"/>
    <s v="Not Terminated"/>
    <x v="0"/>
    <x v="19"/>
    <n v="2"/>
    <x v="0"/>
    <n v="0"/>
    <x v="0"/>
    <n v="2"/>
    <s v="Needs Improvement"/>
    <n v="2.7"/>
    <s v="Satisfied"/>
    <n v="4"/>
    <d v="2025-04-15T00:00:00"/>
    <n v="4"/>
    <n v="2"/>
  </r>
  <r>
    <n v="10380"/>
    <s v=" Sue Orr"/>
    <x v="0"/>
    <x v="1"/>
    <x v="0"/>
    <x v="10"/>
    <x v="0"/>
    <x v="399"/>
    <n v="55926"/>
    <x v="678"/>
    <d v="1996-03-05T00:00:00"/>
    <x v="2"/>
    <x v="7"/>
    <n v="42626"/>
    <x v="1"/>
    <s v="US Citizen"/>
    <s v="White"/>
    <x v="451"/>
    <s v="2023-09-11"/>
    <x v="1"/>
    <x v="18"/>
    <n v="1"/>
    <x v="0"/>
    <n v="1"/>
    <x v="7"/>
    <n v="3"/>
    <s v="Needs Improvement"/>
    <n v="4.5"/>
    <s v="Very Satisfied"/>
    <n v="4"/>
    <d v="2025-01-29T00:00:00"/>
    <n v="0"/>
    <n v="10"/>
  </r>
  <r>
    <n v="10381"/>
    <s v=" Sarah Sullivan"/>
    <x v="0"/>
    <x v="2"/>
    <x v="0"/>
    <x v="6"/>
    <x v="3"/>
    <x v="400"/>
    <n v="102679"/>
    <x v="679"/>
    <d v="1981-07-13T00:00:00"/>
    <x v="1"/>
    <x v="15"/>
    <n v="78818"/>
    <x v="0"/>
    <s v="Non-Citizen"/>
    <s v="Black"/>
    <x v="452"/>
    <s v="2022-02-08"/>
    <x v="1"/>
    <x v="19"/>
    <n v="2"/>
    <x v="2"/>
    <n v="0"/>
    <x v="0"/>
    <n v="3"/>
    <s v="Needs Improvement"/>
    <n v="2.8"/>
    <s v="Very Dissatisfied"/>
    <n v="4"/>
    <d v="2025-04-17T00:00:00"/>
    <n v="2"/>
    <n v="8"/>
  </r>
  <r>
    <n v="10382"/>
    <s v=" Kathy Sullivan"/>
    <x v="1"/>
    <x v="2"/>
    <x v="0"/>
    <x v="8"/>
    <x v="33"/>
    <x v="401"/>
    <n v="32245"/>
    <x v="680"/>
    <d v="1999-05-24T00:00:00"/>
    <x v="2"/>
    <x v="1"/>
    <n v="90456"/>
    <x v="1"/>
    <s v="US Citizen"/>
    <s v="Hispanic"/>
    <x v="453"/>
    <s v="Not Terminated"/>
    <x v="1"/>
    <x v="21"/>
    <n v="1"/>
    <x v="0"/>
    <n v="0"/>
    <x v="9"/>
    <n v="2"/>
    <s v="PIP"/>
    <n v="2.8"/>
    <s v="Dissatisfied"/>
    <n v="0"/>
    <d v="2025-10-10T00:00:00"/>
    <n v="5"/>
    <n v="6"/>
  </r>
  <r>
    <n v="10383"/>
    <s v=" Michelle Dean"/>
    <x v="1"/>
    <x v="0"/>
    <x v="0"/>
    <x v="6"/>
    <x v="3"/>
    <x v="402"/>
    <n v="84838"/>
    <x v="681"/>
    <d v="1970-04-16T00:00:00"/>
    <x v="1"/>
    <x v="15"/>
    <n v="13543"/>
    <x v="0"/>
    <s v="Non-Citizen"/>
    <s v="White"/>
    <x v="454"/>
    <s v="Not Terminated"/>
    <x v="0"/>
    <x v="21"/>
    <n v="2"/>
    <x v="0"/>
    <n v="1"/>
    <x v="1"/>
    <n v="2"/>
    <s v="Fully Meets"/>
    <n v="4.4000000000000004"/>
    <s v="Very Satisfied"/>
    <n v="5"/>
    <d v="2024-01-12T00:00:00"/>
    <n v="5"/>
    <n v="7"/>
  </r>
  <r>
    <n v="10384"/>
    <s v=" Madeline Weiss"/>
    <x v="1"/>
    <x v="0"/>
    <x v="1"/>
    <x v="9"/>
    <x v="33"/>
    <x v="403"/>
    <n v="84703"/>
    <x v="682"/>
    <d v="1995-04-09T00:00:00"/>
    <x v="1"/>
    <x v="18"/>
    <n v="49307"/>
    <x v="1"/>
    <s v="US Citizen"/>
    <s v="Other"/>
    <x v="455"/>
    <s v="2021-02-21"/>
    <x v="0"/>
    <x v="18"/>
    <n v="3"/>
    <x v="1"/>
    <n v="1"/>
    <x v="10"/>
    <n v="4"/>
    <s v="Exceeds Expectations"/>
    <n v="3"/>
    <s v="Satisfied"/>
    <n v="3"/>
    <d v="2025-08-02T00:00:00"/>
    <n v="3"/>
    <n v="3"/>
  </r>
  <r>
    <n v="10385"/>
    <s v=" Joshua Sims"/>
    <x v="0"/>
    <x v="0"/>
    <x v="0"/>
    <x v="4"/>
    <x v="32"/>
    <x v="404"/>
    <n v="69420"/>
    <x v="683"/>
    <d v="1985-02-18T00:00:00"/>
    <x v="2"/>
    <x v="7"/>
    <n v="99949"/>
    <x v="1"/>
    <s v="Non-Citizen"/>
    <s v="Hispanic"/>
    <x v="456"/>
    <s v="2024-08-12"/>
    <x v="1"/>
    <x v="22"/>
    <n v="2"/>
    <x v="0"/>
    <n v="1"/>
    <x v="9"/>
    <n v="2"/>
    <s v="Fully Meets"/>
    <n v="3.9"/>
    <s v="Dissatisfied"/>
    <n v="0"/>
    <d v="2025-06-24T00:00:00"/>
    <n v="2"/>
    <n v="5"/>
  </r>
  <r>
    <n v="10386"/>
    <s v=" Logan Barron"/>
    <x v="1"/>
    <x v="1"/>
    <x v="1"/>
    <x v="7"/>
    <x v="3"/>
    <x v="405"/>
    <n v="112817"/>
    <x v="684"/>
    <d v="1986-01-11T00:00:00"/>
    <x v="1"/>
    <x v="18"/>
    <n v="8243"/>
    <x v="1"/>
    <s v="Non-Citizen"/>
    <s v="Black"/>
    <x v="457"/>
    <s v="Not Terminated"/>
    <x v="0"/>
    <x v="21"/>
    <n v="1"/>
    <x v="0"/>
    <n v="0"/>
    <x v="10"/>
    <n v="2"/>
    <s v="Needs Improvement"/>
    <n v="2.8"/>
    <s v="Very Satisfied"/>
    <n v="3"/>
    <d v="2025-02-09T00:00:00"/>
    <n v="5"/>
    <n v="9"/>
  </r>
  <r>
    <n v="10387"/>
    <s v=" Michael Green"/>
    <x v="0"/>
    <x v="2"/>
    <x v="1"/>
    <x v="4"/>
    <x v="0"/>
    <x v="406"/>
    <n v="45487"/>
    <x v="685"/>
    <d v="1997-11-01T00:00:00"/>
    <x v="2"/>
    <x v="0"/>
    <n v="94346"/>
    <x v="0"/>
    <s v="US Citizen"/>
    <s v="Other"/>
    <x v="458"/>
    <s v="Not Terminated"/>
    <x v="0"/>
    <x v="22"/>
    <n v="3"/>
    <x v="0"/>
    <n v="1"/>
    <x v="9"/>
    <n v="1"/>
    <s v="PIP"/>
    <n v="4.2"/>
    <s v="Dissatisfied"/>
    <n v="0"/>
    <d v="2025-07-08T00:00:00"/>
    <n v="2"/>
    <n v="6"/>
  </r>
  <r>
    <n v="10388"/>
    <s v=" Ana Kim"/>
    <x v="1"/>
    <x v="2"/>
    <x v="0"/>
    <x v="10"/>
    <x v="0"/>
    <x v="407"/>
    <n v="47570"/>
    <x v="686"/>
    <d v="1977-06-24T00:00:00"/>
    <x v="1"/>
    <x v="15"/>
    <n v="98978"/>
    <x v="0"/>
    <s v="Non-Citizen"/>
    <s v="Other"/>
    <x v="459"/>
    <s v="Not Terminated"/>
    <x v="0"/>
    <x v="21"/>
    <n v="3"/>
    <x v="0"/>
    <n v="0"/>
    <x v="1"/>
    <n v="1"/>
    <s v="Needs Improvement"/>
    <n v="3.4"/>
    <s v="Dissatisfied"/>
    <n v="5"/>
    <d v="2025-01-19T00:00:00"/>
    <n v="5"/>
    <n v="1"/>
  </r>
  <r>
    <n v="10389"/>
    <s v=" Adam Sanchez DDS"/>
    <x v="0"/>
    <x v="2"/>
    <x v="1"/>
    <x v="7"/>
    <x v="32"/>
    <x v="408"/>
    <n v="86204"/>
    <x v="687"/>
    <d v="1983-07-27T00:00:00"/>
    <x v="2"/>
    <x v="1"/>
    <n v="13172"/>
    <x v="0"/>
    <s v="US Citizen"/>
    <s v="Hispanic"/>
    <x v="460"/>
    <s v="2022-08-26"/>
    <x v="1"/>
    <x v="20"/>
    <n v="1"/>
    <x v="1"/>
    <n v="0"/>
    <x v="7"/>
    <n v="3"/>
    <s v="Fully Meets"/>
    <n v="3.5"/>
    <s v="Neutral"/>
    <n v="5"/>
    <d v="2025-10-14T00:00:00"/>
    <n v="4"/>
    <n v="9"/>
  </r>
  <r>
    <n v="10390"/>
    <s v=" Aaron Johnson PhD"/>
    <x v="0"/>
    <x v="2"/>
    <x v="0"/>
    <x v="10"/>
    <x v="34"/>
    <x v="409"/>
    <n v="33779"/>
    <x v="688"/>
    <d v="1966-05-23T00:00:00"/>
    <x v="2"/>
    <x v="0"/>
    <n v="97412"/>
    <x v="0"/>
    <s v="Non-Citizen"/>
    <s v="White"/>
    <x v="461"/>
    <s v="2022-11-07"/>
    <x v="0"/>
    <x v="21"/>
    <n v="3"/>
    <x v="1"/>
    <n v="0"/>
    <x v="10"/>
    <n v="1"/>
    <s v="PIP"/>
    <n v="3.4"/>
    <s v="Satisfied"/>
    <n v="3"/>
    <d v="2025-04-20T00:00:00"/>
    <n v="3"/>
    <n v="1"/>
  </r>
  <r>
    <n v="10391"/>
    <s v=" Bailey Wood"/>
    <x v="1"/>
    <x v="1"/>
    <x v="0"/>
    <x v="9"/>
    <x v="32"/>
    <x v="410"/>
    <n v="61480"/>
    <x v="689"/>
    <d v="2002-05-09T00:00:00"/>
    <x v="1"/>
    <x v="15"/>
    <n v="86622"/>
    <x v="0"/>
    <s v="US Citizen"/>
    <s v="Hispanic"/>
    <x v="462"/>
    <s v="Not Terminated"/>
    <x v="1"/>
    <x v="19"/>
    <n v="2"/>
    <x v="2"/>
    <n v="0"/>
    <x v="9"/>
    <n v="3"/>
    <s v="Fully Meets"/>
    <n v="3.4"/>
    <s v="Neutral"/>
    <n v="3"/>
    <d v="2025-07-30T00:00:00"/>
    <n v="4"/>
    <n v="1"/>
  </r>
  <r>
    <n v="10392"/>
    <s v=" Stephanie Jackson"/>
    <x v="1"/>
    <x v="2"/>
    <x v="0"/>
    <x v="6"/>
    <x v="0"/>
    <x v="411"/>
    <n v="99984"/>
    <x v="690"/>
    <d v="1984-09-22T00:00:00"/>
    <x v="1"/>
    <x v="7"/>
    <n v="12688"/>
    <x v="0"/>
    <s v="US Citizen"/>
    <s v="Other"/>
    <x v="463"/>
    <s v="2025-01-18"/>
    <x v="0"/>
    <x v="20"/>
    <n v="3"/>
    <x v="2"/>
    <n v="0"/>
    <x v="1"/>
    <n v="4"/>
    <s v="Exceeds Expectations"/>
    <n v="4.8"/>
    <s v="Satisfied"/>
    <n v="0"/>
    <d v="2025-07-18T00:00:00"/>
    <n v="2"/>
    <n v="10"/>
  </r>
  <r>
    <n v="10393"/>
    <s v=" Mary Huffman"/>
    <x v="0"/>
    <x v="0"/>
    <x v="0"/>
    <x v="10"/>
    <x v="33"/>
    <x v="412"/>
    <n v="36590"/>
    <x v="691"/>
    <d v="1999-03-16T00:00:00"/>
    <x v="2"/>
    <x v="18"/>
    <n v="69715"/>
    <x v="1"/>
    <s v="Non-Citizen"/>
    <s v="Other"/>
    <x v="464"/>
    <s v="Not Terminated"/>
    <x v="1"/>
    <x v="18"/>
    <n v="1"/>
    <x v="0"/>
    <n v="0"/>
    <x v="9"/>
    <n v="3"/>
    <s v="Needs Improvement"/>
    <n v="3.3"/>
    <s v="Dissatisfied"/>
    <n v="3"/>
    <d v="2024-11-21T00:00:00"/>
    <n v="2"/>
    <n v="0"/>
  </r>
  <r>
    <n v="10394"/>
    <s v=" Robert Brandt"/>
    <x v="1"/>
    <x v="1"/>
    <x v="1"/>
    <x v="6"/>
    <x v="34"/>
    <x v="413"/>
    <n v="30824"/>
    <x v="692"/>
    <d v="1989-08-29T00:00:00"/>
    <x v="2"/>
    <x v="15"/>
    <n v="82037"/>
    <x v="0"/>
    <s v="US Citizen"/>
    <s v="White"/>
    <x v="465"/>
    <s v="Not Terminated"/>
    <x v="0"/>
    <x v="22"/>
    <n v="2"/>
    <x v="0"/>
    <n v="0"/>
    <x v="9"/>
    <n v="2"/>
    <s v="PIP"/>
    <n v="4.9000000000000004"/>
    <s v="Satisfied"/>
    <n v="0"/>
    <d v="2025-08-29T00:00:00"/>
    <n v="2"/>
    <n v="7"/>
  </r>
  <r>
    <n v="10395"/>
    <s v=" Tammy Martin"/>
    <x v="0"/>
    <x v="1"/>
    <x v="0"/>
    <x v="6"/>
    <x v="3"/>
    <x v="414"/>
    <n v="54374"/>
    <x v="693"/>
    <d v="1975-12-11T00:00:00"/>
    <x v="1"/>
    <x v="0"/>
    <n v="10517"/>
    <x v="0"/>
    <s v="US Citizen"/>
    <s v="Other"/>
    <x v="466"/>
    <s v="2023-06-13"/>
    <x v="0"/>
    <x v="20"/>
    <n v="3"/>
    <x v="0"/>
    <n v="0"/>
    <x v="9"/>
    <n v="3"/>
    <s v="Needs Improvement"/>
    <n v="4.4000000000000004"/>
    <s v="Neutral"/>
    <n v="3"/>
    <d v="2025-01-27T00:00:00"/>
    <n v="2"/>
    <n v="2"/>
  </r>
  <r>
    <n v="10396"/>
    <s v=" Shannon Collier"/>
    <x v="0"/>
    <x v="2"/>
    <x v="0"/>
    <x v="9"/>
    <x v="32"/>
    <x v="415"/>
    <n v="72243"/>
    <x v="694"/>
    <d v="1995-02-16T00:00:00"/>
    <x v="2"/>
    <x v="15"/>
    <n v="65183"/>
    <x v="0"/>
    <s v="US Citizen"/>
    <s v="Other"/>
    <x v="467"/>
    <s v="Not Terminated"/>
    <x v="1"/>
    <x v="18"/>
    <n v="2"/>
    <x v="0"/>
    <n v="0"/>
    <x v="1"/>
    <n v="3"/>
    <s v="Fully Meets"/>
    <n v="4.8"/>
    <s v="Neutral"/>
    <n v="0"/>
    <d v="2025-07-05T00:00:00"/>
    <n v="2"/>
    <n v="9"/>
  </r>
  <r>
    <n v="10397"/>
    <s v=" Arthur Gregory"/>
    <x v="1"/>
    <x v="2"/>
    <x v="1"/>
    <x v="6"/>
    <x v="33"/>
    <x v="416"/>
    <n v="90199"/>
    <x v="695"/>
    <d v="1972-10-23T00:00:00"/>
    <x v="2"/>
    <x v="1"/>
    <n v="7344"/>
    <x v="0"/>
    <s v="US Citizen"/>
    <s v="Other"/>
    <x v="468"/>
    <s v="2025-10-31"/>
    <x v="0"/>
    <x v="20"/>
    <n v="3"/>
    <x v="2"/>
    <n v="0"/>
    <x v="10"/>
    <n v="4"/>
    <s v="Needs Improvement"/>
    <n v="5"/>
    <s v="Very Dissatisfied"/>
    <n v="0"/>
    <d v="2024-04-12T00:00:00"/>
    <n v="3"/>
    <n v="5"/>
  </r>
  <r>
    <n v="10398"/>
    <s v=" Jose Jennings"/>
    <x v="0"/>
    <x v="2"/>
    <x v="0"/>
    <x v="10"/>
    <x v="32"/>
    <x v="417"/>
    <n v="70826"/>
    <x v="696"/>
    <d v="1972-02-03T00:00:00"/>
    <x v="1"/>
    <x v="0"/>
    <n v="75007"/>
    <x v="0"/>
    <s v="US Citizen"/>
    <s v="Asian"/>
    <x v="469"/>
    <s v="2024-09-23"/>
    <x v="0"/>
    <x v="21"/>
    <n v="2"/>
    <x v="1"/>
    <n v="0"/>
    <x v="9"/>
    <n v="2"/>
    <s v="Exceeds Expectations"/>
    <n v="4.7"/>
    <s v="Very Satisfied"/>
    <n v="3"/>
    <d v="2025-08-22T00:00:00"/>
    <n v="5"/>
    <n v="6"/>
  </r>
  <r>
    <n v="10399"/>
    <s v=" Robert Porter"/>
    <x v="1"/>
    <x v="0"/>
    <x v="1"/>
    <x v="9"/>
    <x v="34"/>
    <x v="418"/>
    <n v="66097"/>
    <x v="697"/>
    <d v="1969-11-17T00:00:00"/>
    <x v="1"/>
    <x v="7"/>
    <n v="39535"/>
    <x v="0"/>
    <s v="US Citizen"/>
    <s v="Hispanic"/>
    <x v="470"/>
    <s v="2023-10-05"/>
    <x v="0"/>
    <x v="19"/>
    <n v="3"/>
    <x v="1"/>
    <n v="1"/>
    <x v="1"/>
    <n v="2"/>
    <s v="PIP"/>
    <n v="3"/>
    <s v="Neutral"/>
    <n v="0"/>
    <d v="2024-11-22T00:00:00"/>
    <n v="0"/>
    <n v="8"/>
  </r>
  <r>
    <n v="10400"/>
    <s v=" April Crawford"/>
    <x v="1"/>
    <x v="0"/>
    <x v="1"/>
    <x v="8"/>
    <x v="33"/>
    <x v="419"/>
    <n v="117335"/>
    <x v="698"/>
    <d v="1980-06-06T00:00:00"/>
    <x v="1"/>
    <x v="0"/>
    <n v="8364"/>
    <x v="1"/>
    <s v="Non-Citizen"/>
    <s v="Hispanic"/>
    <x v="471"/>
    <s v="2021-12-21"/>
    <x v="1"/>
    <x v="21"/>
    <n v="3"/>
    <x v="1"/>
    <n v="1"/>
    <x v="10"/>
    <n v="2"/>
    <s v="Fully Meets"/>
    <n v="4.8"/>
    <s v="Neutral"/>
    <n v="3"/>
    <d v="2025-12-10T00:00:00"/>
    <n v="1"/>
    <n v="9"/>
  </r>
  <r>
    <n v="10401"/>
    <s v=" Marie Stevenson"/>
    <x v="1"/>
    <x v="1"/>
    <x v="0"/>
    <x v="10"/>
    <x v="0"/>
    <x v="420"/>
    <n v="78913"/>
    <x v="699"/>
    <d v="1996-03-03T00:00:00"/>
    <x v="2"/>
    <x v="15"/>
    <n v="15319"/>
    <x v="1"/>
    <s v="Non-Citizen"/>
    <s v="Black"/>
    <x v="472"/>
    <s v="Not Terminated"/>
    <x v="1"/>
    <x v="20"/>
    <n v="1"/>
    <x v="1"/>
    <n v="0"/>
    <x v="10"/>
    <n v="4"/>
    <s v="Fully Meets"/>
    <n v="4.5"/>
    <s v="Dissatisfied"/>
    <n v="5"/>
    <d v="2025-03-21T00:00:00"/>
    <n v="3"/>
    <n v="7"/>
  </r>
  <r>
    <n v="10402"/>
    <s v=" Paula Gray"/>
    <x v="0"/>
    <x v="1"/>
    <x v="1"/>
    <x v="9"/>
    <x v="32"/>
    <x v="421"/>
    <n v="42267"/>
    <x v="700"/>
    <d v="1968-04-13T00:00:00"/>
    <x v="2"/>
    <x v="15"/>
    <n v="91761"/>
    <x v="0"/>
    <s v="Non-Citizen"/>
    <s v="White"/>
    <x v="473"/>
    <s v="2025-06-08"/>
    <x v="0"/>
    <x v="22"/>
    <n v="3"/>
    <x v="0"/>
    <n v="1"/>
    <x v="0"/>
    <n v="4"/>
    <s v="Exceeds Expectations"/>
    <n v="3.5"/>
    <s v="Satisfied"/>
    <n v="5"/>
    <d v="2025-04-07T00:00:00"/>
    <n v="0"/>
    <n v="2"/>
  </r>
  <r>
    <n v="10403"/>
    <s v=" Jessica Marquez"/>
    <x v="1"/>
    <x v="2"/>
    <x v="1"/>
    <x v="8"/>
    <x v="33"/>
    <x v="422"/>
    <n v="73727"/>
    <x v="701"/>
    <d v="1967-12-28T00:00:00"/>
    <x v="2"/>
    <x v="15"/>
    <n v="63765"/>
    <x v="0"/>
    <s v="Non-Citizen"/>
    <s v="Other"/>
    <x v="474"/>
    <s v="Not Terminated"/>
    <x v="1"/>
    <x v="19"/>
    <n v="2"/>
    <x v="1"/>
    <n v="1"/>
    <x v="1"/>
    <n v="1"/>
    <s v="Exceeds Expectations"/>
    <n v="3.7"/>
    <s v="Satisfied"/>
    <n v="5"/>
    <d v="2024-12-26T00:00:00"/>
    <n v="4"/>
    <n v="1"/>
  </r>
  <r>
    <n v="10404"/>
    <s v=" Connie Simmons"/>
    <x v="1"/>
    <x v="2"/>
    <x v="1"/>
    <x v="9"/>
    <x v="3"/>
    <x v="423"/>
    <n v="115167"/>
    <x v="702"/>
    <d v="1992-02-03T00:00:00"/>
    <x v="1"/>
    <x v="1"/>
    <n v="22857"/>
    <x v="0"/>
    <s v="US Citizen"/>
    <s v="Other"/>
    <x v="475"/>
    <s v="2022-07-10"/>
    <x v="1"/>
    <x v="22"/>
    <n v="1"/>
    <x v="0"/>
    <n v="1"/>
    <x v="0"/>
    <n v="2"/>
    <s v="Needs Improvement"/>
    <n v="2.5"/>
    <s v="Very Satisfied"/>
    <n v="5"/>
    <d v="2025-02-13T00:00:00"/>
    <n v="5"/>
    <n v="6"/>
  </r>
  <r>
    <n v="10405"/>
    <s v=" Jean Miranda"/>
    <x v="1"/>
    <x v="2"/>
    <x v="1"/>
    <x v="10"/>
    <x v="0"/>
    <x v="424"/>
    <n v="93845"/>
    <x v="703"/>
    <d v="1995-07-03T00:00:00"/>
    <x v="2"/>
    <x v="18"/>
    <n v="86929"/>
    <x v="0"/>
    <s v="Non-Citizen"/>
    <s v="Asian"/>
    <x v="476"/>
    <s v="Not Terminated"/>
    <x v="1"/>
    <x v="19"/>
    <n v="1"/>
    <x v="2"/>
    <n v="1"/>
    <x v="10"/>
    <n v="2"/>
    <s v="Fully Meets"/>
    <n v="3.3"/>
    <s v="Neutral"/>
    <n v="5"/>
    <d v="2025-02-24T00:00:00"/>
    <n v="5"/>
    <n v="2"/>
  </r>
  <r>
    <n v="10406"/>
    <s v=" Deborah Carr"/>
    <x v="1"/>
    <x v="0"/>
    <x v="1"/>
    <x v="10"/>
    <x v="3"/>
    <x v="425"/>
    <n v="91410"/>
    <x v="704"/>
    <d v="1972-05-21T00:00:00"/>
    <x v="1"/>
    <x v="7"/>
    <n v="14252"/>
    <x v="0"/>
    <s v="US Citizen"/>
    <s v="Black"/>
    <x v="477"/>
    <s v="2025-09-16"/>
    <x v="0"/>
    <x v="21"/>
    <n v="2"/>
    <x v="0"/>
    <n v="1"/>
    <x v="0"/>
    <n v="2"/>
    <s v="Exceeds Expectations"/>
    <n v="4.7"/>
    <s v="Neutral"/>
    <n v="3"/>
    <d v="2025-08-22T00:00:00"/>
    <n v="5"/>
    <n v="4"/>
  </r>
  <r>
    <n v="10407"/>
    <s v=" Michael Duarte"/>
    <x v="1"/>
    <x v="0"/>
    <x v="0"/>
    <x v="8"/>
    <x v="33"/>
    <x v="426"/>
    <n v="74567"/>
    <x v="705"/>
    <d v="1995-09-05T00:00:00"/>
    <x v="1"/>
    <x v="18"/>
    <n v="61091"/>
    <x v="0"/>
    <s v="Non-Citizen"/>
    <s v="White"/>
    <x v="478"/>
    <s v="Not Terminated"/>
    <x v="0"/>
    <x v="19"/>
    <n v="1"/>
    <x v="0"/>
    <n v="1"/>
    <x v="9"/>
    <n v="2"/>
    <s v="Needs Improvement"/>
    <n v="4.7"/>
    <s v="Neutral"/>
    <n v="1"/>
    <d v="2025-11-06T00:00:00"/>
    <n v="2"/>
    <n v="1"/>
  </r>
  <r>
    <n v="10408"/>
    <s v=" Jaclyn Rogers"/>
    <x v="0"/>
    <x v="0"/>
    <x v="1"/>
    <x v="7"/>
    <x v="32"/>
    <x v="427"/>
    <n v="67427"/>
    <x v="706"/>
    <d v="1980-02-09T00:00:00"/>
    <x v="1"/>
    <x v="1"/>
    <n v="90499"/>
    <x v="0"/>
    <s v="Non-Citizen"/>
    <s v="Hispanic"/>
    <x v="479"/>
    <s v="Not Terminated"/>
    <x v="0"/>
    <x v="20"/>
    <n v="2"/>
    <x v="2"/>
    <n v="1"/>
    <x v="1"/>
    <n v="1"/>
    <s v="Needs Improvement"/>
    <n v="4"/>
    <s v="Very Dissatisfied"/>
    <n v="3"/>
    <d v="2025-02-20T00:00:00"/>
    <n v="5"/>
    <n v="1"/>
  </r>
  <r>
    <n v="10409"/>
    <s v=" Kristi Mora"/>
    <x v="0"/>
    <x v="0"/>
    <x v="0"/>
    <x v="7"/>
    <x v="32"/>
    <x v="428"/>
    <n v="50017"/>
    <x v="707"/>
    <d v="1978-01-24T00:00:00"/>
    <x v="2"/>
    <x v="18"/>
    <n v="41673"/>
    <x v="0"/>
    <s v="Non-Citizen"/>
    <s v="Hispanic"/>
    <x v="480"/>
    <s v="Not Terminated"/>
    <x v="1"/>
    <x v="20"/>
    <n v="1"/>
    <x v="0"/>
    <n v="0"/>
    <x v="10"/>
    <n v="2"/>
    <s v="PIP"/>
    <n v="4.8"/>
    <s v="Dissatisfied"/>
    <n v="4"/>
    <d v="2024-11-27T00:00:00"/>
    <n v="3"/>
    <n v="3"/>
  </r>
  <r>
    <n v="10410"/>
    <s v=" Angelica Barnes"/>
    <x v="1"/>
    <x v="0"/>
    <x v="1"/>
    <x v="7"/>
    <x v="3"/>
    <x v="429"/>
    <n v="61069"/>
    <x v="708"/>
    <d v="1997-09-01T00:00:00"/>
    <x v="1"/>
    <x v="15"/>
    <n v="8849"/>
    <x v="1"/>
    <s v="US Citizen"/>
    <s v="White"/>
    <x v="481"/>
    <s v="2021-12-19"/>
    <x v="0"/>
    <x v="20"/>
    <n v="2"/>
    <x v="2"/>
    <n v="1"/>
    <x v="0"/>
    <n v="2"/>
    <s v="Fully Meets"/>
    <n v="4.0999999999999996"/>
    <s v="Dissatisfied"/>
    <n v="3"/>
    <d v="2025-08-09T00:00:00"/>
    <n v="1"/>
    <n v="8"/>
  </r>
  <r>
    <n v="10411"/>
    <s v=" Terry Greer"/>
    <x v="0"/>
    <x v="1"/>
    <x v="0"/>
    <x v="8"/>
    <x v="33"/>
    <x v="430"/>
    <n v="75034"/>
    <x v="709"/>
    <d v="1993-03-11T00:00:00"/>
    <x v="2"/>
    <x v="7"/>
    <n v="89668"/>
    <x v="0"/>
    <s v="US Citizen"/>
    <s v="Hispanic"/>
    <x v="482"/>
    <s v="Not Terminated"/>
    <x v="1"/>
    <x v="19"/>
    <n v="3"/>
    <x v="2"/>
    <n v="0"/>
    <x v="0"/>
    <n v="1"/>
    <s v="Exceeds Expectations"/>
    <n v="3.6"/>
    <s v="Very Satisfied"/>
    <n v="0"/>
    <d v="2025-01-01T00:00:00"/>
    <n v="0"/>
    <n v="1"/>
  </r>
  <r>
    <n v="10412"/>
    <s v=" Patricia Ramos"/>
    <x v="0"/>
    <x v="0"/>
    <x v="0"/>
    <x v="6"/>
    <x v="34"/>
    <x v="431"/>
    <n v="96399"/>
    <x v="710"/>
    <d v="1986-12-16T00:00:00"/>
    <x v="1"/>
    <x v="18"/>
    <n v="82042"/>
    <x v="1"/>
    <s v="Non-Citizen"/>
    <s v="Other"/>
    <x v="483"/>
    <s v="Not Terminated"/>
    <x v="1"/>
    <x v="19"/>
    <n v="2"/>
    <x v="1"/>
    <n v="1"/>
    <x v="0"/>
    <n v="1"/>
    <s v="Exceeds Expectations"/>
    <n v="4.4000000000000004"/>
    <s v="Very Dissatisfied"/>
    <n v="3"/>
    <d v="2025-05-09T00:00:00"/>
    <n v="3"/>
    <n v="6"/>
  </r>
  <r>
    <n v="10413"/>
    <s v=" Gregory Kim"/>
    <x v="0"/>
    <x v="1"/>
    <x v="1"/>
    <x v="7"/>
    <x v="32"/>
    <x v="432"/>
    <n v="72980"/>
    <x v="711"/>
    <d v="1992-12-05T00:00:00"/>
    <x v="2"/>
    <x v="18"/>
    <n v="71516"/>
    <x v="0"/>
    <s v="US Citizen"/>
    <s v="Hispanic"/>
    <x v="484"/>
    <s v="Not Terminated"/>
    <x v="0"/>
    <x v="20"/>
    <n v="1"/>
    <x v="2"/>
    <n v="0"/>
    <x v="10"/>
    <n v="4"/>
    <s v="Needs Improvement"/>
    <n v="2.6"/>
    <s v="Very Satisfied"/>
    <n v="4"/>
    <d v="2025-01-10T00:00:00"/>
    <n v="0"/>
    <n v="9"/>
  </r>
  <r>
    <n v="10414"/>
    <s v=" Nicole Garner"/>
    <x v="0"/>
    <x v="2"/>
    <x v="1"/>
    <x v="10"/>
    <x v="0"/>
    <x v="433"/>
    <n v="34808"/>
    <x v="712"/>
    <d v="1997-12-28T00:00:00"/>
    <x v="2"/>
    <x v="18"/>
    <n v="59672"/>
    <x v="1"/>
    <s v="US Citizen"/>
    <s v="Hispanic"/>
    <x v="485"/>
    <s v="Not Terminated"/>
    <x v="1"/>
    <x v="20"/>
    <n v="2"/>
    <x v="1"/>
    <n v="0"/>
    <x v="10"/>
    <n v="1"/>
    <s v="Needs Improvement"/>
    <n v="4"/>
    <s v="Very Dissatisfied"/>
    <n v="2"/>
    <d v="2025-07-09T00:00:00"/>
    <n v="2"/>
    <n v="5"/>
  </r>
  <r>
    <n v="10415"/>
    <s v=" Vickie Jarvis"/>
    <x v="1"/>
    <x v="2"/>
    <x v="1"/>
    <x v="10"/>
    <x v="3"/>
    <x v="434"/>
    <n v="109151"/>
    <x v="713"/>
    <d v="2002-06-08T00:00:00"/>
    <x v="1"/>
    <x v="0"/>
    <n v="75046"/>
    <x v="1"/>
    <s v="US Citizen"/>
    <s v="Black"/>
    <x v="486"/>
    <s v="Not Terminated"/>
    <x v="0"/>
    <x v="21"/>
    <n v="2"/>
    <x v="1"/>
    <n v="0"/>
    <x v="10"/>
    <n v="4"/>
    <s v="Exceeds Expectations"/>
    <n v="2.8"/>
    <s v="Satisfied"/>
    <n v="1"/>
    <d v="2024-03-11T00:00:00"/>
    <n v="5"/>
    <n v="6"/>
  </r>
  <r>
    <n v="10416"/>
    <s v=" Angel Kelley"/>
    <x v="0"/>
    <x v="2"/>
    <x v="1"/>
    <x v="8"/>
    <x v="3"/>
    <x v="435"/>
    <n v="39797"/>
    <x v="714"/>
    <d v="1969-10-03T00:00:00"/>
    <x v="2"/>
    <x v="0"/>
    <n v="95508"/>
    <x v="0"/>
    <s v="Non-Citizen"/>
    <s v="Other"/>
    <x v="487"/>
    <s v="Not Terminated"/>
    <x v="0"/>
    <x v="18"/>
    <n v="3"/>
    <x v="2"/>
    <n v="1"/>
    <x v="7"/>
    <n v="3"/>
    <s v="PIP"/>
    <n v="4.9000000000000004"/>
    <s v="Very Dissatisfied"/>
    <n v="0"/>
    <d v="2025-09-10T00:00:00"/>
    <n v="4"/>
    <n v="8"/>
  </r>
  <r>
    <n v="10417"/>
    <s v=" Tammy Bell"/>
    <x v="1"/>
    <x v="1"/>
    <x v="0"/>
    <x v="9"/>
    <x v="0"/>
    <x v="436"/>
    <n v="87609"/>
    <x v="715"/>
    <d v="1988-03-23T00:00:00"/>
    <x v="1"/>
    <x v="15"/>
    <n v="19960"/>
    <x v="0"/>
    <s v="US Citizen"/>
    <s v="Other"/>
    <x v="488"/>
    <s v="Not Terminated"/>
    <x v="1"/>
    <x v="20"/>
    <n v="3"/>
    <x v="1"/>
    <n v="0"/>
    <x v="7"/>
    <n v="4"/>
    <s v="Exceeds Expectations"/>
    <n v="4.0999999999999996"/>
    <s v="Neutral"/>
    <n v="3"/>
    <d v="2025-08-02T00:00:00"/>
    <n v="3"/>
    <n v="2"/>
  </r>
  <r>
    <n v="10418"/>
    <s v=" Matthew Price"/>
    <x v="1"/>
    <x v="0"/>
    <x v="0"/>
    <x v="8"/>
    <x v="0"/>
    <x v="437"/>
    <n v="77095"/>
    <x v="716"/>
    <d v="1982-04-04T00:00:00"/>
    <x v="2"/>
    <x v="18"/>
    <n v="23800"/>
    <x v="0"/>
    <s v="US Citizen"/>
    <s v="Hispanic"/>
    <x v="286"/>
    <s v="Not Terminated"/>
    <x v="0"/>
    <x v="19"/>
    <n v="2"/>
    <x v="1"/>
    <n v="1"/>
    <x v="7"/>
    <n v="2"/>
    <s v="Exceeds Expectations"/>
    <n v="4.3"/>
    <s v="Very Dissatisfied"/>
    <n v="2"/>
    <d v="2025-06-17T00:00:00"/>
    <n v="2"/>
    <n v="10"/>
  </r>
  <r>
    <n v="10419"/>
    <s v=" Javier James"/>
    <x v="0"/>
    <x v="2"/>
    <x v="0"/>
    <x v="7"/>
    <x v="3"/>
    <x v="438"/>
    <n v="72538"/>
    <x v="717"/>
    <d v="1971-01-06T00:00:00"/>
    <x v="1"/>
    <x v="7"/>
    <n v="15128"/>
    <x v="1"/>
    <s v="US Citizen"/>
    <s v="Black"/>
    <x v="489"/>
    <s v="2025-07-19"/>
    <x v="1"/>
    <x v="20"/>
    <n v="3"/>
    <x v="2"/>
    <n v="0"/>
    <x v="0"/>
    <n v="4"/>
    <s v="Fully Meets"/>
    <n v="3.5"/>
    <s v="Neutral"/>
    <n v="5"/>
    <d v="2025-08-07T00:00:00"/>
    <n v="1"/>
    <n v="10"/>
  </r>
  <r>
    <n v="10420"/>
    <s v=" Laura Richardson"/>
    <x v="0"/>
    <x v="0"/>
    <x v="0"/>
    <x v="9"/>
    <x v="0"/>
    <x v="439"/>
    <n v="80396"/>
    <x v="718"/>
    <d v="1969-03-12T00:00:00"/>
    <x v="1"/>
    <x v="15"/>
    <n v="93131"/>
    <x v="0"/>
    <s v="US Citizen"/>
    <s v="Black"/>
    <x v="490"/>
    <s v="Not Terminated"/>
    <x v="0"/>
    <x v="18"/>
    <n v="2"/>
    <x v="0"/>
    <n v="0"/>
    <x v="1"/>
    <n v="1"/>
    <s v="Needs Improvement"/>
    <n v="2.9"/>
    <s v="Satisfied"/>
    <n v="4"/>
    <d v="2025-06-08T00:00:00"/>
    <n v="0"/>
    <n v="1"/>
  </r>
  <r>
    <n v="10421"/>
    <s v=" Dr. Richard Lowe"/>
    <x v="1"/>
    <x v="0"/>
    <x v="1"/>
    <x v="7"/>
    <x v="32"/>
    <x v="440"/>
    <n v="73482"/>
    <x v="719"/>
    <d v="1983-06-26T00:00:00"/>
    <x v="1"/>
    <x v="7"/>
    <n v="77671"/>
    <x v="0"/>
    <s v="US Citizen"/>
    <s v="Black"/>
    <x v="491"/>
    <s v="Not Terminated"/>
    <x v="0"/>
    <x v="18"/>
    <n v="2"/>
    <x v="1"/>
    <n v="1"/>
    <x v="7"/>
    <n v="4"/>
    <s v="Needs Improvement"/>
    <n v="3.4"/>
    <s v="Very Dissatisfied"/>
    <n v="5"/>
    <d v="2025-09-08T00:00:00"/>
    <n v="5"/>
    <n v="4"/>
  </r>
  <r>
    <n v="10422"/>
    <s v=" Patrick Buck"/>
    <x v="0"/>
    <x v="1"/>
    <x v="0"/>
    <x v="7"/>
    <x v="33"/>
    <x v="441"/>
    <n v="61633"/>
    <x v="720"/>
    <d v="1982-12-08T00:00:00"/>
    <x v="1"/>
    <x v="1"/>
    <n v="53031"/>
    <x v="1"/>
    <s v="Non-Citizen"/>
    <s v="White"/>
    <x v="492"/>
    <s v="Not Terminated"/>
    <x v="1"/>
    <x v="19"/>
    <n v="1"/>
    <x v="1"/>
    <n v="0"/>
    <x v="9"/>
    <n v="4"/>
    <s v="Exceeds Expectations"/>
    <n v="3.6"/>
    <s v="Dissatisfied"/>
    <n v="0"/>
    <d v="2024-11-11T00:00:00"/>
    <n v="4"/>
    <n v="5"/>
  </r>
  <r>
    <n v="10423"/>
    <s v=" John Garcia"/>
    <x v="0"/>
    <x v="2"/>
    <x v="1"/>
    <x v="10"/>
    <x v="32"/>
    <x v="442"/>
    <n v="50502"/>
    <x v="721"/>
    <d v="1980-03-14T00:00:00"/>
    <x v="2"/>
    <x v="15"/>
    <n v="92630"/>
    <x v="0"/>
    <s v="US Citizen"/>
    <s v="White"/>
    <x v="493"/>
    <s v="Not Terminated"/>
    <x v="1"/>
    <x v="19"/>
    <n v="2"/>
    <x v="0"/>
    <n v="1"/>
    <x v="1"/>
    <n v="1"/>
    <s v="Needs Improvement"/>
    <n v="4.8"/>
    <s v="Very Satisfied"/>
    <n v="1"/>
    <d v="2025-08-21T00:00:00"/>
    <n v="1"/>
    <n v="2"/>
  </r>
  <r>
    <n v="10424"/>
    <s v=" Jacob Barnett"/>
    <x v="0"/>
    <x v="1"/>
    <x v="1"/>
    <x v="7"/>
    <x v="33"/>
    <x v="443"/>
    <n v="80077"/>
    <x v="722"/>
    <d v="1976-10-08T00:00:00"/>
    <x v="2"/>
    <x v="18"/>
    <n v="75939"/>
    <x v="0"/>
    <s v="US Citizen"/>
    <s v="Asian"/>
    <x v="494"/>
    <s v="Not Terminated"/>
    <x v="1"/>
    <x v="19"/>
    <n v="1"/>
    <x v="1"/>
    <n v="1"/>
    <x v="7"/>
    <n v="3"/>
    <s v="Fully Meets"/>
    <n v="2.7"/>
    <s v="Neutral"/>
    <n v="0"/>
    <d v="2025-02-18T00:00:00"/>
    <n v="0"/>
    <n v="1"/>
  </r>
  <r>
    <n v="10425"/>
    <s v=" Richard Olson"/>
    <x v="0"/>
    <x v="1"/>
    <x v="0"/>
    <x v="7"/>
    <x v="0"/>
    <x v="444"/>
    <n v="107141"/>
    <x v="723"/>
    <d v="2002-08-28T00:00:00"/>
    <x v="2"/>
    <x v="1"/>
    <n v="55986"/>
    <x v="1"/>
    <s v="Non-Citizen"/>
    <s v="Other"/>
    <x v="495"/>
    <s v="Not Terminated"/>
    <x v="1"/>
    <x v="19"/>
    <n v="3"/>
    <x v="2"/>
    <n v="1"/>
    <x v="9"/>
    <n v="4"/>
    <s v="Exceeds Expectations"/>
    <n v="3.1"/>
    <s v="Neutral"/>
    <n v="2"/>
    <d v="2025-04-04T00:00:00"/>
    <n v="4"/>
    <n v="1"/>
  </r>
  <r>
    <n v="10426"/>
    <s v=" Sarah Davis"/>
    <x v="1"/>
    <x v="0"/>
    <x v="1"/>
    <x v="4"/>
    <x v="33"/>
    <x v="445"/>
    <n v="42428"/>
    <x v="724"/>
    <d v="1990-02-07T00:00:00"/>
    <x v="2"/>
    <x v="15"/>
    <n v="77385"/>
    <x v="1"/>
    <s v="Non-Citizen"/>
    <s v="White"/>
    <x v="496"/>
    <s v="Not Terminated"/>
    <x v="1"/>
    <x v="19"/>
    <n v="3"/>
    <x v="1"/>
    <n v="1"/>
    <x v="7"/>
    <n v="1"/>
    <s v="Needs Improvement"/>
    <n v="4"/>
    <s v="Dissatisfied"/>
    <n v="5"/>
    <d v="2024-12-16T00:00:00"/>
    <n v="1"/>
    <n v="6"/>
  </r>
  <r>
    <n v="10427"/>
    <s v=" Janet Washington"/>
    <x v="1"/>
    <x v="0"/>
    <x v="1"/>
    <x v="7"/>
    <x v="34"/>
    <x v="446"/>
    <n v="74209"/>
    <x v="725"/>
    <d v="1986-09-02T00:00:00"/>
    <x v="2"/>
    <x v="18"/>
    <n v="43782"/>
    <x v="0"/>
    <s v="US Citizen"/>
    <s v="White"/>
    <x v="497"/>
    <s v="Not Terminated"/>
    <x v="1"/>
    <x v="20"/>
    <n v="2"/>
    <x v="0"/>
    <n v="1"/>
    <x v="9"/>
    <n v="1"/>
    <s v="Fully Meets"/>
    <n v="3.6"/>
    <s v="Very Dissatisfied"/>
    <n v="2"/>
    <d v="2025-01-25T00:00:00"/>
    <n v="0"/>
    <n v="7"/>
  </r>
  <r>
    <n v="10428"/>
    <s v=" Alexis Navarro"/>
    <x v="1"/>
    <x v="0"/>
    <x v="1"/>
    <x v="10"/>
    <x v="32"/>
    <x v="447"/>
    <n v="100274"/>
    <x v="726"/>
    <d v="1988-04-22T00:00:00"/>
    <x v="2"/>
    <x v="18"/>
    <n v="11525"/>
    <x v="1"/>
    <s v="Non-Citizen"/>
    <s v="White"/>
    <x v="498"/>
    <s v="Not Terminated"/>
    <x v="1"/>
    <x v="22"/>
    <n v="2"/>
    <x v="2"/>
    <n v="1"/>
    <x v="7"/>
    <n v="1"/>
    <s v="Fully Meets"/>
    <n v="4.7"/>
    <s v="Dissatisfied"/>
    <n v="3"/>
    <d v="2025-01-09T00:00:00"/>
    <n v="3"/>
    <n v="9"/>
  </r>
  <r>
    <n v="10429"/>
    <s v=" Robert Ward"/>
    <x v="0"/>
    <x v="0"/>
    <x v="1"/>
    <x v="7"/>
    <x v="3"/>
    <x v="448"/>
    <n v="107327"/>
    <x v="727"/>
    <d v="1965-12-22T00:00:00"/>
    <x v="2"/>
    <x v="18"/>
    <n v="32399"/>
    <x v="1"/>
    <s v="Non-Citizen"/>
    <s v="Hispanic"/>
    <x v="499"/>
    <s v="Not Terminated"/>
    <x v="1"/>
    <x v="22"/>
    <n v="1"/>
    <x v="1"/>
    <n v="0"/>
    <x v="10"/>
    <n v="1"/>
    <s v="PIP"/>
    <n v="3.5"/>
    <s v="Satisfied"/>
    <n v="1"/>
    <d v="2025-12-09T00:00:00"/>
    <n v="4"/>
    <n v="8"/>
  </r>
  <r>
    <n v="10430"/>
    <s v=" Alyssa Carroll"/>
    <x v="1"/>
    <x v="2"/>
    <x v="0"/>
    <x v="6"/>
    <x v="3"/>
    <x v="449"/>
    <n v="89252"/>
    <x v="728"/>
    <d v="1997-09-21T00:00:00"/>
    <x v="1"/>
    <x v="1"/>
    <n v="61230"/>
    <x v="1"/>
    <s v="US Citizen"/>
    <s v="Black"/>
    <x v="190"/>
    <s v="Not Terminated"/>
    <x v="0"/>
    <x v="19"/>
    <n v="1"/>
    <x v="1"/>
    <n v="1"/>
    <x v="1"/>
    <n v="4"/>
    <s v="Fully Meets"/>
    <n v="4.7"/>
    <s v="Very Satisfied"/>
    <n v="1"/>
    <d v="2025-10-20T00:00:00"/>
    <n v="1"/>
    <n v="3"/>
  </r>
  <r>
    <n v="10431"/>
    <s v=" Jason Rivera"/>
    <x v="1"/>
    <x v="0"/>
    <x v="1"/>
    <x v="7"/>
    <x v="34"/>
    <x v="450"/>
    <n v="104706"/>
    <x v="729"/>
    <d v="1985-05-20T00:00:00"/>
    <x v="1"/>
    <x v="1"/>
    <n v="59562"/>
    <x v="1"/>
    <s v="US Citizen"/>
    <s v="Hispanic"/>
    <x v="500"/>
    <s v="2023-08-15"/>
    <x v="1"/>
    <x v="18"/>
    <n v="1"/>
    <x v="2"/>
    <n v="0"/>
    <x v="1"/>
    <n v="3"/>
    <s v="Fully Meets"/>
    <n v="3.9"/>
    <s v="Satisfied"/>
    <n v="5"/>
    <d v="2025-06-21T00:00:00"/>
    <n v="5"/>
    <n v="6"/>
  </r>
  <r>
    <n v="10432"/>
    <s v=" Richard Solomon"/>
    <x v="0"/>
    <x v="0"/>
    <x v="1"/>
    <x v="4"/>
    <x v="34"/>
    <x v="451"/>
    <n v="115645"/>
    <x v="730"/>
    <d v="1980-12-12T00:00:00"/>
    <x v="1"/>
    <x v="1"/>
    <n v="87644"/>
    <x v="1"/>
    <s v="Non-Citizen"/>
    <s v="Hispanic"/>
    <x v="501"/>
    <s v="2021-04-02"/>
    <x v="1"/>
    <x v="18"/>
    <n v="1"/>
    <x v="2"/>
    <n v="0"/>
    <x v="10"/>
    <n v="3"/>
    <s v="PIP"/>
    <n v="4.5"/>
    <s v="Neutral"/>
    <n v="5"/>
    <d v="2025-08-29T00:00:00"/>
    <n v="1"/>
    <n v="9"/>
  </r>
  <r>
    <n v="10433"/>
    <s v=" Nicholas Franco"/>
    <x v="1"/>
    <x v="0"/>
    <x v="0"/>
    <x v="7"/>
    <x v="33"/>
    <x v="452"/>
    <n v="109886"/>
    <x v="731"/>
    <d v="1976-10-30T00:00:00"/>
    <x v="2"/>
    <x v="0"/>
    <n v="39827"/>
    <x v="0"/>
    <s v="US Citizen"/>
    <s v="Black"/>
    <x v="502"/>
    <s v="2022-12-31"/>
    <x v="1"/>
    <x v="19"/>
    <n v="3"/>
    <x v="2"/>
    <n v="1"/>
    <x v="9"/>
    <n v="2"/>
    <s v="PIP"/>
    <n v="2.5"/>
    <s v="Neutral"/>
    <n v="5"/>
    <d v="2025-03-14T00:00:00"/>
    <n v="4"/>
    <n v="10"/>
  </r>
  <r>
    <n v="10434"/>
    <s v=" Kelly Williams"/>
    <x v="1"/>
    <x v="1"/>
    <x v="1"/>
    <x v="6"/>
    <x v="33"/>
    <x v="453"/>
    <n v="117016"/>
    <x v="732"/>
    <d v="1991-10-25T00:00:00"/>
    <x v="1"/>
    <x v="0"/>
    <n v="58480"/>
    <x v="1"/>
    <s v="Non-Citizen"/>
    <s v="Black"/>
    <x v="503"/>
    <s v="2021-06-13"/>
    <x v="1"/>
    <x v="22"/>
    <n v="1"/>
    <x v="0"/>
    <n v="0"/>
    <x v="10"/>
    <n v="1"/>
    <s v="Exceeds Expectations"/>
    <n v="3.1"/>
    <s v="Very Satisfied"/>
    <n v="2"/>
    <d v="2025-08-16T00:00:00"/>
    <n v="2"/>
    <n v="8"/>
  </r>
  <r>
    <n v="10435"/>
    <s v=" Mr. Joseph Chandler"/>
    <x v="0"/>
    <x v="2"/>
    <x v="0"/>
    <x v="7"/>
    <x v="0"/>
    <x v="454"/>
    <n v="77372"/>
    <x v="733"/>
    <d v="1966-03-10T00:00:00"/>
    <x v="1"/>
    <x v="0"/>
    <n v="37226"/>
    <x v="0"/>
    <s v="Non-Citizen"/>
    <s v="Other"/>
    <x v="504"/>
    <s v="2022-04-05"/>
    <x v="0"/>
    <x v="19"/>
    <n v="3"/>
    <x v="2"/>
    <n v="1"/>
    <x v="10"/>
    <n v="4"/>
    <s v="Exceeds Expectations"/>
    <n v="2.6"/>
    <s v="Satisfied"/>
    <n v="3"/>
    <d v="2025-02-07T00:00:00"/>
    <n v="0"/>
    <n v="3"/>
  </r>
  <r>
    <n v="10436"/>
    <s v=" Andrea Clark"/>
    <x v="1"/>
    <x v="0"/>
    <x v="1"/>
    <x v="10"/>
    <x v="32"/>
    <x v="455"/>
    <n v="36878"/>
    <x v="734"/>
    <d v="1972-01-19T00:00:00"/>
    <x v="1"/>
    <x v="0"/>
    <n v="40640"/>
    <x v="1"/>
    <s v="Non-Citizen"/>
    <s v="Black"/>
    <x v="112"/>
    <s v="Not Terminated"/>
    <x v="0"/>
    <x v="22"/>
    <n v="2"/>
    <x v="2"/>
    <n v="0"/>
    <x v="10"/>
    <n v="3"/>
    <s v="PIP"/>
    <n v="3"/>
    <s v="Very Satisfied"/>
    <n v="5"/>
    <d v="2025-01-02T00:00:00"/>
    <n v="3"/>
    <n v="9"/>
  </r>
  <r>
    <n v="10437"/>
    <s v=" Nicholas Rivera"/>
    <x v="0"/>
    <x v="2"/>
    <x v="0"/>
    <x v="6"/>
    <x v="33"/>
    <x v="456"/>
    <n v="119991"/>
    <x v="735"/>
    <d v="1979-07-11T00:00:00"/>
    <x v="2"/>
    <x v="0"/>
    <n v="73341"/>
    <x v="0"/>
    <s v="US Citizen"/>
    <s v="Other"/>
    <x v="505"/>
    <s v="Not Terminated"/>
    <x v="0"/>
    <x v="22"/>
    <n v="3"/>
    <x v="0"/>
    <n v="0"/>
    <x v="7"/>
    <n v="1"/>
    <s v="Fully Meets"/>
    <n v="4.5"/>
    <s v="Neutral"/>
    <n v="1"/>
    <d v="2024-12-31T00:00:00"/>
    <n v="5"/>
    <n v="6"/>
  </r>
  <r>
    <n v="10438"/>
    <s v=" Donald Young"/>
    <x v="0"/>
    <x v="1"/>
    <x v="1"/>
    <x v="6"/>
    <x v="0"/>
    <x v="457"/>
    <n v="62929"/>
    <x v="736"/>
    <d v="1975-02-17T00:00:00"/>
    <x v="1"/>
    <x v="7"/>
    <n v="27597"/>
    <x v="0"/>
    <s v="Non-Citizen"/>
    <s v="Other"/>
    <x v="506"/>
    <s v="Not Terminated"/>
    <x v="0"/>
    <x v="21"/>
    <n v="3"/>
    <x v="0"/>
    <n v="1"/>
    <x v="1"/>
    <n v="2"/>
    <s v="PIP"/>
    <n v="4.3"/>
    <s v="Neutral"/>
    <n v="0"/>
    <d v="2025-09-22T00:00:00"/>
    <n v="5"/>
    <n v="8"/>
  </r>
  <r>
    <n v="10439"/>
    <s v=" Vanessa Lucas"/>
    <x v="1"/>
    <x v="2"/>
    <x v="1"/>
    <x v="7"/>
    <x v="32"/>
    <x v="458"/>
    <n v="76198"/>
    <x v="737"/>
    <d v="1999-02-10T00:00:00"/>
    <x v="2"/>
    <x v="15"/>
    <n v="60914"/>
    <x v="0"/>
    <s v="Non-Citizen"/>
    <s v="Hispanic"/>
    <x v="507"/>
    <s v="2021-11-29"/>
    <x v="1"/>
    <x v="22"/>
    <n v="1"/>
    <x v="1"/>
    <n v="1"/>
    <x v="1"/>
    <n v="3"/>
    <s v="Exceeds Expectations"/>
    <n v="2.8"/>
    <s v="Neutral"/>
    <n v="5"/>
    <d v="2025-02-04T00:00:00"/>
    <n v="0"/>
    <n v="7"/>
  </r>
  <r>
    <n v="10440"/>
    <s v=" Michael Smith"/>
    <x v="0"/>
    <x v="2"/>
    <x v="1"/>
    <x v="7"/>
    <x v="34"/>
    <x v="459"/>
    <n v="56267"/>
    <x v="738"/>
    <d v="1972-08-21T00:00:00"/>
    <x v="2"/>
    <x v="18"/>
    <n v="11989"/>
    <x v="1"/>
    <s v="Non-Citizen"/>
    <s v="Black"/>
    <x v="508"/>
    <s v="Not Terminated"/>
    <x v="0"/>
    <x v="21"/>
    <n v="3"/>
    <x v="0"/>
    <n v="1"/>
    <x v="1"/>
    <n v="3"/>
    <s v="PIP"/>
    <n v="2.7"/>
    <s v="Dissatisfied"/>
    <n v="1"/>
    <d v="2025-06-05T00:00:00"/>
    <n v="0"/>
    <n v="6"/>
  </r>
  <r>
    <n v="10441"/>
    <s v=" Katelyn Cox"/>
    <x v="0"/>
    <x v="1"/>
    <x v="0"/>
    <x v="8"/>
    <x v="34"/>
    <x v="460"/>
    <n v="40827"/>
    <x v="739"/>
    <d v="1982-02-13T00:00:00"/>
    <x v="1"/>
    <x v="1"/>
    <n v="19128"/>
    <x v="1"/>
    <s v="Non-Citizen"/>
    <s v="White"/>
    <x v="509"/>
    <s v="Not Terminated"/>
    <x v="0"/>
    <x v="20"/>
    <n v="3"/>
    <x v="0"/>
    <n v="0"/>
    <x v="0"/>
    <n v="1"/>
    <s v="Fully Meets"/>
    <n v="5"/>
    <s v="Neutral"/>
    <n v="0"/>
    <d v="2025-05-16T00:00:00"/>
    <n v="5"/>
    <n v="2"/>
  </r>
  <r>
    <n v="10442"/>
    <s v=" Stephen Montoya"/>
    <x v="0"/>
    <x v="2"/>
    <x v="1"/>
    <x v="6"/>
    <x v="3"/>
    <x v="461"/>
    <n v="99491"/>
    <x v="740"/>
    <d v="1971-09-26T00:00:00"/>
    <x v="1"/>
    <x v="15"/>
    <n v="72441"/>
    <x v="1"/>
    <s v="US Citizen"/>
    <s v="Black"/>
    <x v="510"/>
    <s v="2024-03-23"/>
    <x v="0"/>
    <x v="19"/>
    <n v="1"/>
    <x v="0"/>
    <n v="1"/>
    <x v="0"/>
    <n v="2"/>
    <s v="PIP"/>
    <n v="3.4"/>
    <s v="Dissatisfied"/>
    <n v="3"/>
    <d v="2025-06-05T00:00:00"/>
    <n v="5"/>
    <n v="8"/>
  </r>
  <r>
    <n v="10443"/>
    <s v=" Laura Turner"/>
    <x v="1"/>
    <x v="1"/>
    <x v="0"/>
    <x v="10"/>
    <x v="32"/>
    <x v="462"/>
    <n v="77775"/>
    <x v="741"/>
    <d v="1993-11-17T00:00:00"/>
    <x v="1"/>
    <x v="1"/>
    <n v="41336"/>
    <x v="0"/>
    <s v="Non-Citizen"/>
    <s v="White"/>
    <x v="511"/>
    <s v="Not Terminated"/>
    <x v="0"/>
    <x v="19"/>
    <n v="1"/>
    <x v="1"/>
    <n v="0"/>
    <x v="0"/>
    <n v="4"/>
    <s v="Fully Meets"/>
    <n v="4.5999999999999996"/>
    <s v="Very Satisfied"/>
    <n v="5"/>
    <d v="2025-01-19T00:00:00"/>
    <n v="2"/>
    <n v="1"/>
  </r>
  <r>
    <n v="10444"/>
    <s v=" Michele Lloyd"/>
    <x v="0"/>
    <x v="0"/>
    <x v="1"/>
    <x v="8"/>
    <x v="3"/>
    <x v="463"/>
    <n v="39173"/>
    <x v="742"/>
    <d v="1985-01-04T00:00:00"/>
    <x v="2"/>
    <x v="1"/>
    <n v="56434"/>
    <x v="1"/>
    <s v="US Citizen"/>
    <s v="White"/>
    <x v="512"/>
    <s v="Not Terminated"/>
    <x v="1"/>
    <x v="20"/>
    <n v="1"/>
    <x v="1"/>
    <n v="0"/>
    <x v="0"/>
    <n v="3"/>
    <s v="Exceeds Expectations"/>
    <n v="4.9000000000000004"/>
    <s v="Very Satisfied"/>
    <n v="1"/>
    <d v="2025-08-08T00:00:00"/>
    <n v="4"/>
    <n v="10"/>
  </r>
  <r>
    <n v="10445"/>
    <s v=" Jared Nelson MD"/>
    <x v="0"/>
    <x v="2"/>
    <x v="0"/>
    <x v="8"/>
    <x v="3"/>
    <x v="464"/>
    <n v="96827"/>
    <x v="743"/>
    <d v="1971-09-13T00:00:00"/>
    <x v="1"/>
    <x v="7"/>
    <n v="40392"/>
    <x v="1"/>
    <s v="US Citizen"/>
    <s v="Asian"/>
    <x v="513"/>
    <s v="Not Terminated"/>
    <x v="0"/>
    <x v="21"/>
    <n v="2"/>
    <x v="2"/>
    <n v="1"/>
    <x v="0"/>
    <n v="4"/>
    <s v="Exceeds Expectations"/>
    <n v="4.5"/>
    <s v="Very Satisfied"/>
    <n v="4"/>
    <d v="2025-11-04T00:00:00"/>
    <n v="5"/>
    <n v="0"/>
  </r>
  <r>
    <n v="10446"/>
    <s v=" Cassandra Mitchell"/>
    <x v="0"/>
    <x v="0"/>
    <x v="1"/>
    <x v="10"/>
    <x v="33"/>
    <x v="465"/>
    <n v="105248"/>
    <x v="744"/>
    <d v="1997-07-09T00:00:00"/>
    <x v="2"/>
    <x v="18"/>
    <n v="64756"/>
    <x v="0"/>
    <s v="US Citizen"/>
    <s v="Hispanic"/>
    <x v="402"/>
    <s v="Not Terminated"/>
    <x v="1"/>
    <x v="19"/>
    <n v="1"/>
    <x v="2"/>
    <n v="1"/>
    <x v="1"/>
    <n v="4"/>
    <s v="Needs Improvement"/>
    <n v="3"/>
    <s v="Satisfied"/>
    <n v="2"/>
    <d v="2025-10-16T00:00:00"/>
    <n v="2"/>
    <n v="9"/>
  </r>
  <r>
    <n v="10447"/>
    <s v=" David Bennett"/>
    <x v="1"/>
    <x v="0"/>
    <x v="1"/>
    <x v="4"/>
    <x v="33"/>
    <x v="466"/>
    <n v="63008"/>
    <x v="745"/>
    <d v="1984-08-12T00:00:00"/>
    <x v="2"/>
    <x v="15"/>
    <n v="10679"/>
    <x v="1"/>
    <s v="Non-Citizen"/>
    <s v="Other"/>
    <x v="514"/>
    <s v="Not Terminated"/>
    <x v="0"/>
    <x v="22"/>
    <n v="2"/>
    <x v="0"/>
    <n v="1"/>
    <x v="10"/>
    <n v="1"/>
    <s v="Fully Meets"/>
    <n v="4.5999999999999996"/>
    <s v="Satisfied"/>
    <n v="4"/>
    <d v="2025-01-15T00:00:00"/>
    <n v="0"/>
    <n v="3"/>
  </r>
  <r>
    <n v="10448"/>
    <s v=" John Murphy"/>
    <x v="1"/>
    <x v="2"/>
    <x v="0"/>
    <x v="7"/>
    <x v="32"/>
    <x v="467"/>
    <n v="58565"/>
    <x v="746"/>
    <d v="1991-07-10T00:00:00"/>
    <x v="2"/>
    <x v="15"/>
    <n v="5872"/>
    <x v="1"/>
    <s v="US Citizen"/>
    <s v="White"/>
    <x v="515"/>
    <s v="2025-02-13"/>
    <x v="1"/>
    <x v="18"/>
    <n v="3"/>
    <x v="0"/>
    <n v="0"/>
    <x v="0"/>
    <n v="4"/>
    <s v="PIP"/>
    <n v="3.6"/>
    <s v="Very Dissatisfied"/>
    <n v="0"/>
    <d v="2025-06-17T00:00:00"/>
    <n v="5"/>
    <n v="4"/>
  </r>
  <r>
    <n v="10449"/>
    <s v=" Tyler Bryant"/>
    <x v="1"/>
    <x v="1"/>
    <x v="1"/>
    <x v="10"/>
    <x v="3"/>
    <x v="468"/>
    <n v="109341"/>
    <x v="747"/>
    <d v="1996-06-15T00:00:00"/>
    <x v="1"/>
    <x v="15"/>
    <n v="97716"/>
    <x v="1"/>
    <s v="US Citizen"/>
    <s v="Other"/>
    <x v="344"/>
    <s v="Not Terminated"/>
    <x v="0"/>
    <x v="21"/>
    <n v="1"/>
    <x v="0"/>
    <n v="0"/>
    <x v="0"/>
    <n v="4"/>
    <s v="Fully Meets"/>
    <n v="2.6"/>
    <s v="Very Dissatisfied"/>
    <n v="4"/>
    <d v="2025-10-17T00:00:00"/>
    <n v="4"/>
    <n v="6"/>
  </r>
  <r>
    <n v="10450"/>
    <s v=" Sylvia Wall"/>
    <x v="0"/>
    <x v="0"/>
    <x v="0"/>
    <x v="8"/>
    <x v="33"/>
    <x v="469"/>
    <n v="57774"/>
    <x v="748"/>
    <d v="1984-07-01T00:00:00"/>
    <x v="1"/>
    <x v="0"/>
    <n v="24190"/>
    <x v="1"/>
    <s v="Non-Citizen"/>
    <s v="Hispanic"/>
    <x v="516"/>
    <s v="Not Terminated"/>
    <x v="0"/>
    <x v="20"/>
    <n v="3"/>
    <x v="1"/>
    <n v="1"/>
    <x v="7"/>
    <n v="4"/>
    <s v="Fully Meets"/>
    <n v="3"/>
    <s v="Very Satisfied"/>
    <n v="0"/>
    <d v="2025-03-09T00:00:00"/>
    <n v="4"/>
    <n v="5"/>
  </r>
  <r>
    <n v="10451"/>
    <s v=" Nicholas Whitney"/>
    <x v="0"/>
    <x v="0"/>
    <x v="1"/>
    <x v="10"/>
    <x v="3"/>
    <x v="470"/>
    <n v="118586"/>
    <x v="749"/>
    <d v="1980-10-26T00:00:00"/>
    <x v="1"/>
    <x v="7"/>
    <n v="27228"/>
    <x v="0"/>
    <s v="Non-Citizen"/>
    <s v="Hispanic"/>
    <x v="517"/>
    <s v="Not Terminated"/>
    <x v="0"/>
    <x v="20"/>
    <n v="1"/>
    <x v="2"/>
    <n v="0"/>
    <x v="10"/>
    <n v="2"/>
    <s v="Exceeds Expectations"/>
    <n v="2.6"/>
    <s v="Very Satisfied"/>
    <n v="1"/>
    <d v="2025-10-02T00:00:00"/>
    <n v="1"/>
    <n v="2"/>
  </r>
  <r>
    <n v="10452"/>
    <s v=" Alexandra Diaz"/>
    <x v="0"/>
    <x v="1"/>
    <x v="0"/>
    <x v="4"/>
    <x v="3"/>
    <x v="471"/>
    <n v="77533"/>
    <x v="750"/>
    <d v="1972-06-05T00:00:00"/>
    <x v="1"/>
    <x v="18"/>
    <n v="4125"/>
    <x v="0"/>
    <s v="Non-Citizen"/>
    <s v="White"/>
    <x v="518"/>
    <s v="2023-09-06"/>
    <x v="1"/>
    <x v="22"/>
    <n v="3"/>
    <x v="0"/>
    <n v="1"/>
    <x v="9"/>
    <n v="2"/>
    <s v="Exceeds Expectations"/>
    <n v="3.7"/>
    <s v="Very Satisfied"/>
    <n v="2"/>
    <d v="2025-02-09T00:00:00"/>
    <n v="4"/>
    <n v="0"/>
  </r>
  <r>
    <n v="10453"/>
    <s v=" Maureen Miller"/>
    <x v="0"/>
    <x v="0"/>
    <x v="0"/>
    <x v="7"/>
    <x v="0"/>
    <x v="472"/>
    <n v="78566"/>
    <x v="751"/>
    <d v="1988-02-12T00:00:00"/>
    <x v="1"/>
    <x v="7"/>
    <n v="10973"/>
    <x v="0"/>
    <s v="Non-Citizen"/>
    <s v="Black"/>
    <x v="519"/>
    <s v="Not Terminated"/>
    <x v="1"/>
    <x v="18"/>
    <n v="3"/>
    <x v="2"/>
    <n v="1"/>
    <x v="0"/>
    <n v="2"/>
    <s v="Needs Improvement"/>
    <n v="4.9000000000000004"/>
    <s v="Dissatisfied"/>
    <n v="3"/>
    <d v="2025-01-25T00:00:00"/>
    <n v="5"/>
    <n v="4"/>
  </r>
  <r>
    <n v="10454"/>
    <s v=" Steven Morales"/>
    <x v="0"/>
    <x v="0"/>
    <x v="1"/>
    <x v="9"/>
    <x v="0"/>
    <x v="473"/>
    <n v="58828"/>
    <x v="752"/>
    <d v="1979-09-16T00:00:00"/>
    <x v="1"/>
    <x v="7"/>
    <n v="51787"/>
    <x v="1"/>
    <s v="US Citizen"/>
    <s v="Black"/>
    <x v="520"/>
    <s v="Not Terminated"/>
    <x v="1"/>
    <x v="20"/>
    <n v="2"/>
    <x v="2"/>
    <n v="1"/>
    <x v="7"/>
    <n v="3"/>
    <s v="Fully Meets"/>
    <n v="4.7"/>
    <s v="Very Satisfied"/>
    <n v="1"/>
    <d v="2025-10-24T00:00:00"/>
    <n v="4"/>
    <n v="3"/>
  </r>
  <r>
    <n v="10455"/>
    <s v=" Shawn Alvarado"/>
    <x v="1"/>
    <x v="2"/>
    <x v="1"/>
    <x v="7"/>
    <x v="0"/>
    <x v="474"/>
    <n v="55198"/>
    <x v="753"/>
    <d v="1972-06-27T00:00:00"/>
    <x v="1"/>
    <x v="1"/>
    <n v="6578"/>
    <x v="1"/>
    <s v="Non-Citizen"/>
    <s v="Asian"/>
    <x v="521"/>
    <s v="2024-12-24"/>
    <x v="0"/>
    <x v="21"/>
    <n v="3"/>
    <x v="0"/>
    <n v="1"/>
    <x v="10"/>
    <n v="1"/>
    <s v="PIP"/>
    <n v="2.9"/>
    <s v="Satisfied"/>
    <n v="3"/>
    <d v="2025-10-28T00:00:00"/>
    <n v="3"/>
    <n v="2"/>
  </r>
  <r>
    <n v="10456"/>
    <s v=" David Townsend"/>
    <x v="0"/>
    <x v="0"/>
    <x v="0"/>
    <x v="9"/>
    <x v="34"/>
    <x v="475"/>
    <n v="60579"/>
    <x v="754"/>
    <d v="2000-09-10T00:00:00"/>
    <x v="2"/>
    <x v="7"/>
    <n v="63398"/>
    <x v="1"/>
    <s v="Non-Citizen"/>
    <s v="Other"/>
    <x v="522"/>
    <s v="Not Terminated"/>
    <x v="0"/>
    <x v="22"/>
    <n v="1"/>
    <x v="0"/>
    <n v="0"/>
    <x v="9"/>
    <n v="1"/>
    <s v="Needs Improvement"/>
    <n v="2.7"/>
    <s v="Very Dissatisfied"/>
    <n v="4"/>
    <d v="2025-02-20T00:00:00"/>
    <n v="1"/>
    <n v="5"/>
  </r>
  <r>
    <n v="10457"/>
    <s v=" Noah Gray"/>
    <x v="0"/>
    <x v="2"/>
    <x v="0"/>
    <x v="6"/>
    <x v="34"/>
    <x v="476"/>
    <n v="101608"/>
    <x v="755"/>
    <d v="1972-10-09T00:00:00"/>
    <x v="1"/>
    <x v="15"/>
    <n v="4919"/>
    <x v="1"/>
    <s v="US Citizen"/>
    <s v="Hispanic"/>
    <x v="523"/>
    <s v="Not Terminated"/>
    <x v="0"/>
    <x v="19"/>
    <n v="1"/>
    <x v="0"/>
    <n v="1"/>
    <x v="10"/>
    <n v="2"/>
    <s v="Needs Improvement"/>
    <n v="2.8"/>
    <s v="Satisfied"/>
    <n v="3"/>
    <d v="2024-11-17T00:00:00"/>
    <n v="0"/>
    <n v="6"/>
  </r>
  <r>
    <n v="10458"/>
    <s v=" Alison Edwards MD"/>
    <x v="1"/>
    <x v="0"/>
    <x v="0"/>
    <x v="6"/>
    <x v="34"/>
    <x v="477"/>
    <n v="103158"/>
    <x v="756"/>
    <d v="1974-07-19T00:00:00"/>
    <x v="1"/>
    <x v="0"/>
    <n v="41142"/>
    <x v="0"/>
    <s v="US Citizen"/>
    <s v="Black"/>
    <x v="524"/>
    <s v="Not Terminated"/>
    <x v="1"/>
    <x v="21"/>
    <n v="1"/>
    <x v="1"/>
    <n v="0"/>
    <x v="10"/>
    <n v="1"/>
    <s v="Needs Improvement"/>
    <n v="3.5"/>
    <s v="Satisfied"/>
    <n v="5"/>
    <d v="2025-05-13T00:00:00"/>
    <n v="5"/>
    <n v="6"/>
  </r>
  <r>
    <n v="10459"/>
    <s v=" Sabrina King"/>
    <x v="0"/>
    <x v="0"/>
    <x v="1"/>
    <x v="7"/>
    <x v="32"/>
    <x v="478"/>
    <n v="32686"/>
    <x v="757"/>
    <d v="1966-12-18T00:00:00"/>
    <x v="1"/>
    <x v="0"/>
    <n v="22282"/>
    <x v="1"/>
    <s v="US Citizen"/>
    <s v="Black"/>
    <x v="525"/>
    <s v="Not Terminated"/>
    <x v="0"/>
    <x v="22"/>
    <n v="1"/>
    <x v="2"/>
    <n v="0"/>
    <x v="0"/>
    <n v="2"/>
    <s v="PIP"/>
    <n v="3.6"/>
    <s v="Dissatisfied"/>
    <n v="5"/>
    <d v="2025-11-09T00:00:00"/>
    <n v="4"/>
    <n v="6"/>
  </r>
  <r>
    <n v="10460"/>
    <s v=" Edward Wells"/>
    <x v="1"/>
    <x v="0"/>
    <x v="1"/>
    <x v="8"/>
    <x v="3"/>
    <x v="479"/>
    <n v="30260"/>
    <x v="758"/>
    <d v="1965-06-23T00:00:00"/>
    <x v="2"/>
    <x v="1"/>
    <n v="10058"/>
    <x v="1"/>
    <s v="Non-Citizen"/>
    <s v="White"/>
    <x v="526"/>
    <s v="Not Terminated"/>
    <x v="0"/>
    <x v="22"/>
    <n v="3"/>
    <x v="1"/>
    <n v="1"/>
    <x v="7"/>
    <n v="3"/>
    <s v="Exceeds Expectations"/>
    <n v="4.7"/>
    <s v="Dissatisfied"/>
    <n v="1"/>
    <d v="2025-04-08T00:00:00"/>
    <n v="2"/>
    <n v="5"/>
  </r>
  <r>
    <n v="10461"/>
    <s v=" Cindy Nunez"/>
    <x v="1"/>
    <x v="2"/>
    <x v="1"/>
    <x v="10"/>
    <x v="33"/>
    <x v="480"/>
    <n v="64949"/>
    <x v="759"/>
    <d v="1984-10-15T00:00:00"/>
    <x v="2"/>
    <x v="1"/>
    <n v="74028"/>
    <x v="0"/>
    <s v="US Citizen"/>
    <s v="Black"/>
    <x v="527"/>
    <s v="2025-01-10"/>
    <x v="1"/>
    <x v="18"/>
    <n v="2"/>
    <x v="2"/>
    <n v="1"/>
    <x v="10"/>
    <n v="3"/>
    <s v="PIP"/>
    <n v="4"/>
    <s v="Satisfied"/>
    <n v="0"/>
    <d v="2025-03-13T00:00:00"/>
    <n v="1"/>
    <n v="8"/>
  </r>
  <r>
    <n v="10462"/>
    <s v=" Andrea Mitchell"/>
    <x v="0"/>
    <x v="2"/>
    <x v="1"/>
    <x v="8"/>
    <x v="3"/>
    <x v="481"/>
    <n v="62708"/>
    <x v="760"/>
    <d v="1984-01-14T00:00:00"/>
    <x v="2"/>
    <x v="7"/>
    <n v="24360"/>
    <x v="0"/>
    <s v="US Citizen"/>
    <s v="Asian"/>
    <x v="528"/>
    <s v="Not Terminated"/>
    <x v="1"/>
    <x v="19"/>
    <n v="2"/>
    <x v="0"/>
    <n v="0"/>
    <x v="9"/>
    <n v="3"/>
    <s v="PIP"/>
    <n v="3.7"/>
    <s v="Neutral"/>
    <n v="2"/>
    <d v="2025-03-27T00:00:00"/>
    <n v="4"/>
    <n v="8"/>
  </r>
  <r>
    <n v="10463"/>
    <s v=" Danny Holmes"/>
    <x v="0"/>
    <x v="2"/>
    <x v="0"/>
    <x v="9"/>
    <x v="33"/>
    <x v="482"/>
    <n v="110701"/>
    <x v="761"/>
    <d v="1985-08-09T00:00:00"/>
    <x v="2"/>
    <x v="1"/>
    <n v="8439"/>
    <x v="1"/>
    <s v="Non-Citizen"/>
    <s v="Other"/>
    <x v="529"/>
    <s v="Not Terminated"/>
    <x v="0"/>
    <x v="22"/>
    <n v="1"/>
    <x v="0"/>
    <n v="0"/>
    <x v="9"/>
    <n v="4"/>
    <s v="Exceeds Expectations"/>
    <n v="4.4000000000000004"/>
    <s v="Very Satisfied"/>
    <n v="3"/>
    <d v="2025-01-21T00:00:00"/>
    <n v="5"/>
    <n v="9"/>
  </r>
  <r>
    <n v="10464"/>
    <s v=" Jeffery Chandler"/>
    <x v="1"/>
    <x v="0"/>
    <x v="1"/>
    <x v="7"/>
    <x v="34"/>
    <x v="483"/>
    <n v="51332"/>
    <x v="762"/>
    <d v="1975-08-29T00:00:00"/>
    <x v="1"/>
    <x v="18"/>
    <n v="49950"/>
    <x v="1"/>
    <s v="US Citizen"/>
    <s v="Other"/>
    <x v="272"/>
    <s v="Not Terminated"/>
    <x v="0"/>
    <x v="18"/>
    <n v="2"/>
    <x v="0"/>
    <n v="1"/>
    <x v="10"/>
    <n v="3"/>
    <s v="Needs Improvement"/>
    <n v="4.7"/>
    <s v="Satisfied"/>
    <n v="3"/>
    <d v="2025-06-28T00:00:00"/>
    <n v="0"/>
    <n v="5"/>
  </r>
  <r>
    <n v="10465"/>
    <s v=" Frank Church"/>
    <x v="0"/>
    <x v="1"/>
    <x v="1"/>
    <x v="9"/>
    <x v="32"/>
    <x v="484"/>
    <n v="35108"/>
    <x v="763"/>
    <d v="1980-04-25T00:00:00"/>
    <x v="2"/>
    <x v="0"/>
    <n v="14638"/>
    <x v="1"/>
    <s v="US Citizen"/>
    <s v="Black"/>
    <x v="530"/>
    <s v="Not Terminated"/>
    <x v="1"/>
    <x v="20"/>
    <n v="1"/>
    <x v="2"/>
    <n v="1"/>
    <x v="0"/>
    <n v="2"/>
    <s v="Needs Improvement"/>
    <n v="5"/>
    <s v="Very Dissatisfied"/>
    <n v="0"/>
    <d v="2025-05-21T00:00:00"/>
    <n v="3"/>
    <n v="4"/>
  </r>
  <r>
    <n v="10466"/>
    <s v=" Mario White"/>
    <x v="1"/>
    <x v="0"/>
    <x v="1"/>
    <x v="4"/>
    <x v="3"/>
    <x v="485"/>
    <n v="89058"/>
    <x v="764"/>
    <d v="1987-10-25T00:00:00"/>
    <x v="2"/>
    <x v="1"/>
    <n v="43553"/>
    <x v="1"/>
    <s v="US Citizen"/>
    <s v="Black"/>
    <x v="531"/>
    <s v="Not Terminated"/>
    <x v="0"/>
    <x v="20"/>
    <n v="2"/>
    <x v="0"/>
    <n v="0"/>
    <x v="1"/>
    <n v="1"/>
    <s v="PIP"/>
    <n v="3.1"/>
    <s v="Very Satisfied"/>
    <n v="4"/>
    <d v="2025-04-04T00:00:00"/>
    <n v="0"/>
    <n v="3"/>
  </r>
  <r>
    <n v="10467"/>
    <s v=" Kathy Carter"/>
    <x v="1"/>
    <x v="1"/>
    <x v="0"/>
    <x v="9"/>
    <x v="3"/>
    <x v="486"/>
    <n v="80129"/>
    <x v="765"/>
    <d v="1967-06-25T00:00:00"/>
    <x v="1"/>
    <x v="1"/>
    <n v="30516"/>
    <x v="1"/>
    <s v="US Citizen"/>
    <s v="Hispanic"/>
    <x v="532"/>
    <s v="2023-12-20"/>
    <x v="1"/>
    <x v="21"/>
    <n v="3"/>
    <x v="2"/>
    <n v="0"/>
    <x v="0"/>
    <n v="2"/>
    <s v="Needs Improvement"/>
    <n v="2.5"/>
    <s v="Dissatisfied"/>
    <n v="3"/>
    <d v="2025-07-25T00:00:00"/>
    <n v="4"/>
    <n v="3"/>
  </r>
  <r>
    <n v="10468"/>
    <s v=" Stephanie Escobar"/>
    <x v="1"/>
    <x v="1"/>
    <x v="0"/>
    <x v="4"/>
    <x v="0"/>
    <x v="487"/>
    <n v="44294"/>
    <x v="766"/>
    <d v="1998-08-02T00:00:00"/>
    <x v="1"/>
    <x v="7"/>
    <n v="40740"/>
    <x v="0"/>
    <s v="US Citizen"/>
    <s v="Asian"/>
    <x v="533"/>
    <s v="Not Terminated"/>
    <x v="1"/>
    <x v="20"/>
    <n v="3"/>
    <x v="2"/>
    <n v="1"/>
    <x v="10"/>
    <n v="4"/>
    <s v="Needs Improvement"/>
    <n v="4.7"/>
    <s v="Very Dissatisfied"/>
    <n v="0"/>
    <d v="2024-06-11T00:00:00"/>
    <n v="1"/>
    <n v="5"/>
  </r>
  <r>
    <n v="10469"/>
    <s v=" Claudia Rowe"/>
    <x v="0"/>
    <x v="0"/>
    <x v="0"/>
    <x v="4"/>
    <x v="33"/>
    <x v="488"/>
    <n v="35994"/>
    <x v="767"/>
    <d v="1976-07-05T00:00:00"/>
    <x v="2"/>
    <x v="18"/>
    <n v="39634"/>
    <x v="1"/>
    <s v="US Citizen"/>
    <s v="Other"/>
    <x v="534"/>
    <s v="Not Terminated"/>
    <x v="0"/>
    <x v="22"/>
    <n v="1"/>
    <x v="1"/>
    <n v="0"/>
    <x v="7"/>
    <n v="3"/>
    <s v="PIP"/>
    <n v="4.5"/>
    <s v="Very Dissatisfied"/>
    <n v="1"/>
    <d v="2025-06-14T00:00:00"/>
    <n v="0"/>
    <n v="9"/>
  </r>
  <r>
    <n v="10470"/>
    <s v=" Charles Beard"/>
    <x v="1"/>
    <x v="1"/>
    <x v="0"/>
    <x v="10"/>
    <x v="0"/>
    <x v="489"/>
    <n v="117278"/>
    <x v="768"/>
    <d v="1979-10-01T00:00:00"/>
    <x v="1"/>
    <x v="15"/>
    <n v="68254"/>
    <x v="0"/>
    <s v="Non-Citizen"/>
    <s v="Black"/>
    <x v="535"/>
    <s v="Not Terminated"/>
    <x v="1"/>
    <x v="20"/>
    <n v="2"/>
    <x v="1"/>
    <n v="1"/>
    <x v="9"/>
    <n v="4"/>
    <s v="PIP"/>
    <n v="2.8"/>
    <s v="Dissatisfied"/>
    <n v="0"/>
    <d v="2025-06-05T00:00:00"/>
    <n v="4"/>
    <n v="1"/>
  </r>
  <r>
    <n v="10471"/>
    <s v=" William May"/>
    <x v="1"/>
    <x v="0"/>
    <x v="0"/>
    <x v="8"/>
    <x v="0"/>
    <x v="490"/>
    <n v="113257"/>
    <x v="769"/>
    <d v="1979-08-26T00:00:00"/>
    <x v="1"/>
    <x v="18"/>
    <n v="94662"/>
    <x v="0"/>
    <s v="US Citizen"/>
    <s v="Black"/>
    <x v="536"/>
    <s v="Not Terminated"/>
    <x v="0"/>
    <x v="18"/>
    <n v="2"/>
    <x v="1"/>
    <n v="1"/>
    <x v="7"/>
    <n v="2"/>
    <s v="Needs Improvement"/>
    <n v="2.5"/>
    <s v="Very Satisfied"/>
    <n v="2"/>
    <d v="2025-02-27T00:00:00"/>
    <n v="1"/>
    <n v="3"/>
  </r>
  <r>
    <n v="10472"/>
    <s v=" Angela Harmon"/>
    <x v="0"/>
    <x v="0"/>
    <x v="0"/>
    <x v="8"/>
    <x v="3"/>
    <x v="491"/>
    <n v="107508"/>
    <x v="770"/>
    <d v="1980-09-29T00:00:00"/>
    <x v="2"/>
    <x v="15"/>
    <n v="52759"/>
    <x v="1"/>
    <s v="US Citizen"/>
    <s v="Black"/>
    <x v="537"/>
    <s v="Not Terminated"/>
    <x v="1"/>
    <x v="21"/>
    <n v="1"/>
    <x v="1"/>
    <n v="0"/>
    <x v="9"/>
    <n v="3"/>
    <s v="Exceeds Expectations"/>
    <n v="4.9000000000000004"/>
    <s v="Dissatisfied"/>
    <n v="2"/>
    <d v="2025-07-10T00:00:00"/>
    <n v="0"/>
    <n v="1"/>
  </r>
  <r>
    <n v="10473"/>
    <s v=" Joseph Sanchez"/>
    <x v="0"/>
    <x v="2"/>
    <x v="1"/>
    <x v="10"/>
    <x v="34"/>
    <x v="492"/>
    <n v="76308"/>
    <x v="771"/>
    <d v="1975-08-14T00:00:00"/>
    <x v="2"/>
    <x v="0"/>
    <n v="42740"/>
    <x v="1"/>
    <s v="US Citizen"/>
    <s v="Black"/>
    <x v="538"/>
    <s v="2021-03-30"/>
    <x v="1"/>
    <x v="20"/>
    <n v="2"/>
    <x v="1"/>
    <n v="1"/>
    <x v="10"/>
    <n v="4"/>
    <s v="Needs Improvement"/>
    <n v="2.7"/>
    <s v="Dissatisfied"/>
    <n v="1"/>
    <d v="2025-05-03T00:00:00"/>
    <n v="0"/>
    <n v="8"/>
  </r>
  <r>
    <n v="10474"/>
    <s v=" Amanda Decker"/>
    <x v="1"/>
    <x v="2"/>
    <x v="1"/>
    <x v="8"/>
    <x v="34"/>
    <x v="493"/>
    <n v="74776"/>
    <x v="772"/>
    <d v="1997-06-04T00:00:00"/>
    <x v="2"/>
    <x v="18"/>
    <n v="89703"/>
    <x v="1"/>
    <s v="Non-Citizen"/>
    <s v="White"/>
    <x v="539"/>
    <s v="Not Terminated"/>
    <x v="0"/>
    <x v="19"/>
    <n v="1"/>
    <x v="2"/>
    <n v="0"/>
    <x v="10"/>
    <n v="4"/>
    <s v="Fully Meets"/>
    <n v="4.9000000000000004"/>
    <s v="Very Satisfied"/>
    <n v="5"/>
    <d v="2025-12-09T00:00:00"/>
    <n v="3"/>
    <n v="10"/>
  </r>
  <r>
    <n v="10475"/>
    <s v=" Duane Anthony"/>
    <x v="1"/>
    <x v="2"/>
    <x v="1"/>
    <x v="9"/>
    <x v="33"/>
    <x v="494"/>
    <n v="116465"/>
    <x v="773"/>
    <d v="2000-01-10T00:00:00"/>
    <x v="1"/>
    <x v="15"/>
    <n v="91934"/>
    <x v="1"/>
    <s v="Non-Citizen"/>
    <s v="White"/>
    <x v="540"/>
    <s v="Not Terminated"/>
    <x v="0"/>
    <x v="20"/>
    <n v="2"/>
    <x v="1"/>
    <n v="0"/>
    <x v="0"/>
    <n v="2"/>
    <s v="Fully Meets"/>
    <n v="3.2"/>
    <s v="Neutral"/>
    <n v="0"/>
    <d v="2025-02-25T00:00:00"/>
    <n v="1"/>
    <n v="7"/>
  </r>
  <r>
    <n v="10476"/>
    <s v=" Dawn Melton"/>
    <x v="0"/>
    <x v="0"/>
    <x v="0"/>
    <x v="6"/>
    <x v="32"/>
    <x v="495"/>
    <n v="65420"/>
    <x v="774"/>
    <d v="1979-07-26T00:00:00"/>
    <x v="2"/>
    <x v="18"/>
    <n v="31115"/>
    <x v="0"/>
    <s v="Non-Citizen"/>
    <s v="Black"/>
    <x v="541"/>
    <s v="Not Terminated"/>
    <x v="0"/>
    <x v="19"/>
    <n v="2"/>
    <x v="2"/>
    <n v="0"/>
    <x v="0"/>
    <n v="1"/>
    <s v="Exceeds Expectations"/>
    <n v="4.0999999999999996"/>
    <s v="Very Satisfied"/>
    <n v="2"/>
    <d v="2025-07-30T00:00:00"/>
    <n v="1"/>
    <n v="6"/>
  </r>
  <r>
    <n v="10477"/>
    <s v=" Thomas Duran"/>
    <x v="1"/>
    <x v="1"/>
    <x v="0"/>
    <x v="9"/>
    <x v="3"/>
    <x v="496"/>
    <n v="86020"/>
    <x v="775"/>
    <d v="2003-08-02T00:00:00"/>
    <x v="2"/>
    <x v="15"/>
    <n v="67611"/>
    <x v="0"/>
    <s v="US Citizen"/>
    <s v="White"/>
    <x v="542"/>
    <s v="Not Terminated"/>
    <x v="1"/>
    <x v="22"/>
    <n v="3"/>
    <x v="1"/>
    <n v="0"/>
    <x v="1"/>
    <n v="2"/>
    <s v="PIP"/>
    <n v="2.5"/>
    <s v="Very Satisfied"/>
    <n v="5"/>
    <d v="2025-10-01T00:00:00"/>
    <n v="3"/>
    <n v="1"/>
  </r>
  <r>
    <n v="10478"/>
    <s v=" Michael Hill"/>
    <x v="0"/>
    <x v="2"/>
    <x v="0"/>
    <x v="7"/>
    <x v="0"/>
    <x v="497"/>
    <n v="87837"/>
    <x v="776"/>
    <d v="1981-01-06T00:00:00"/>
    <x v="2"/>
    <x v="18"/>
    <n v="78242"/>
    <x v="0"/>
    <s v="US Citizen"/>
    <s v="Hispanic"/>
    <x v="543"/>
    <s v="2025-05-03"/>
    <x v="1"/>
    <x v="19"/>
    <n v="3"/>
    <x v="2"/>
    <n v="1"/>
    <x v="9"/>
    <n v="1"/>
    <s v="Fully Meets"/>
    <n v="3.1"/>
    <s v="Dissatisfied"/>
    <n v="3"/>
    <d v="2025-01-19T00:00:00"/>
    <n v="3"/>
    <n v="8"/>
  </r>
  <r>
    <n v="10479"/>
    <s v=" Michael Herman"/>
    <x v="0"/>
    <x v="0"/>
    <x v="0"/>
    <x v="6"/>
    <x v="33"/>
    <x v="498"/>
    <n v="51317"/>
    <x v="777"/>
    <d v="1989-11-21T00:00:00"/>
    <x v="2"/>
    <x v="15"/>
    <n v="2495"/>
    <x v="0"/>
    <s v="US Citizen"/>
    <s v="White"/>
    <x v="544"/>
    <s v="Not Terminated"/>
    <x v="0"/>
    <x v="19"/>
    <n v="2"/>
    <x v="1"/>
    <n v="0"/>
    <x v="1"/>
    <n v="4"/>
    <s v="Fully Meets"/>
    <n v="3.9"/>
    <s v="Satisfied"/>
    <n v="3"/>
    <d v="2025-08-06T00:00:00"/>
    <n v="5"/>
    <n v="1"/>
  </r>
  <r>
    <n v="10480"/>
    <s v=" Logan Wright"/>
    <x v="0"/>
    <x v="0"/>
    <x v="1"/>
    <x v="4"/>
    <x v="3"/>
    <x v="499"/>
    <n v="103936"/>
    <x v="778"/>
    <d v="1987-04-17T00:00:00"/>
    <x v="2"/>
    <x v="0"/>
    <n v="19683"/>
    <x v="0"/>
    <s v="US Citizen"/>
    <s v="Hispanic"/>
    <x v="545"/>
    <s v="Not Terminated"/>
    <x v="1"/>
    <x v="19"/>
    <n v="1"/>
    <x v="1"/>
    <n v="0"/>
    <x v="1"/>
    <n v="3"/>
    <s v="Exceeds Expectations"/>
    <n v="4.5"/>
    <s v="Neutral"/>
    <n v="0"/>
    <d v="2025-12-03T00:00:00"/>
    <n v="2"/>
    <n v="6"/>
  </r>
  <r>
    <n v="10481"/>
    <s v=" Jimmy Simmons"/>
    <x v="0"/>
    <x v="1"/>
    <x v="0"/>
    <x v="6"/>
    <x v="3"/>
    <x v="500"/>
    <n v="89821"/>
    <x v="779"/>
    <d v="1967-12-10T00:00:00"/>
    <x v="1"/>
    <x v="1"/>
    <n v="82540"/>
    <x v="1"/>
    <s v="Non-Citizen"/>
    <s v="Black"/>
    <x v="546"/>
    <s v="2020-12-18"/>
    <x v="0"/>
    <x v="22"/>
    <n v="2"/>
    <x v="0"/>
    <n v="1"/>
    <x v="0"/>
    <n v="1"/>
    <s v="Exceeds Expectations"/>
    <n v="4.0999999999999996"/>
    <s v="Dissatisfied"/>
    <n v="2"/>
    <d v="2025-02-21T00:00:00"/>
    <n v="0"/>
    <n v="1"/>
  </r>
  <r>
    <n v="10482"/>
    <s v=" Mrs. Patricia Sutton"/>
    <x v="1"/>
    <x v="1"/>
    <x v="1"/>
    <x v="6"/>
    <x v="34"/>
    <x v="501"/>
    <n v="87056"/>
    <x v="780"/>
    <d v="1974-08-15T00:00:00"/>
    <x v="2"/>
    <x v="0"/>
    <n v="99862"/>
    <x v="1"/>
    <s v="Non-Citizen"/>
    <s v="Black"/>
    <x v="547"/>
    <s v="2022-02-06"/>
    <x v="0"/>
    <x v="20"/>
    <n v="3"/>
    <x v="1"/>
    <n v="0"/>
    <x v="9"/>
    <n v="3"/>
    <s v="PIP"/>
    <n v="4.2"/>
    <s v="Very Satisfied"/>
    <n v="1"/>
    <d v="2025-09-18T00:00:00"/>
    <n v="2"/>
    <n v="4"/>
  </r>
  <r>
    <n v="10483"/>
    <s v=" Rodney Marquez"/>
    <x v="1"/>
    <x v="1"/>
    <x v="1"/>
    <x v="6"/>
    <x v="0"/>
    <x v="502"/>
    <n v="48899"/>
    <x v="781"/>
    <d v="1967-08-25T00:00:00"/>
    <x v="2"/>
    <x v="18"/>
    <n v="38687"/>
    <x v="0"/>
    <s v="US Citizen"/>
    <s v="Asian"/>
    <x v="548"/>
    <s v="2022-07-14"/>
    <x v="0"/>
    <x v="21"/>
    <n v="3"/>
    <x v="2"/>
    <n v="0"/>
    <x v="10"/>
    <n v="3"/>
    <s v="PIP"/>
    <n v="4.3"/>
    <s v="Very Satisfied"/>
    <n v="3"/>
    <d v="2025-04-19T00:00:00"/>
    <n v="4"/>
    <n v="9"/>
  </r>
  <r>
    <n v="10484"/>
    <s v=" Charles Jones"/>
    <x v="1"/>
    <x v="1"/>
    <x v="0"/>
    <x v="10"/>
    <x v="32"/>
    <x v="503"/>
    <n v="102433"/>
    <x v="782"/>
    <d v="1981-09-02T00:00:00"/>
    <x v="2"/>
    <x v="0"/>
    <n v="71113"/>
    <x v="1"/>
    <s v="US Citizen"/>
    <s v="Hispanic"/>
    <x v="549"/>
    <s v="Not Terminated"/>
    <x v="1"/>
    <x v="18"/>
    <n v="2"/>
    <x v="2"/>
    <n v="0"/>
    <x v="9"/>
    <n v="4"/>
    <s v="Needs Improvement"/>
    <n v="4.8"/>
    <s v="Dissatisfied"/>
    <n v="0"/>
    <d v="2024-12-22T00:00:00"/>
    <n v="2"/>
    <n v="3"/>
  </r>
  <r>
    <n v="10485"/>
    <s v=" Julie Schmidt"/>
    <x v="0"/>
    <x v="1"/>
    <x v="0"/>
    <x v="6"/>
    <x v="33"/>
    <x v="504"/>
    <n v="32633"/>
    <x v="783"/>
    <d v="1993-10-02T00:00:00"/>
    <x v="1"/>
    <x v="0"/>
    <n v="50354"/>
    <x v="0"/>
    <s v="US Citizen"/>
    <s v="Hispanic"/>
    <x v="420"/>
    <s v="Not Terminated"/>
    <x v="1"/>
    <x v="20"/>
    <n v="1"/>
    <x v="2"/>
    <n v="0"/>
    <x v="9"/>
    <n v="2"/>
    <s v="Needs Improvement"/>
    <n v="4.7"/>
    <s v="Very Satisfied"/>
    <n v="2"/>
    <d v="2025-09-22T00:00:00"/>
    <n v="0"/>
    <n v="2"/>
  </r>
  <r>
    <n v="10486"/>
    <s v=" Hannah Robinson"/>
    <x v="1"/>
    <x v="0"/>
    <x v="0"/>
    <x v="9"/>
    <x v="3"/>
    <x v="505"/>
    <n v="102727"/>
    <x v="784"/>
    <d v="2003-08-22T00:00:00"/>
    <x v="2"/>
    <x v="7"/>
    <n v="20248"/>
    <x v="0"/>
    <s v="Non-Citizen"/>
    <s v="Other"/>
    <x v="550"/>
    <s v="2024-05-04"/>
    <x v="1"/>
    <x v="18"/>
    <n v="1"/>
    <x v="1"/>
    <n v="1"/>
    <x v="7"/>
    <n v="1"/>
    <s v="PIP"/>
    <n v="2.5"/>
    <s v="Very Satisfied"/>
    <n v="5"/>
    <d v="2025-07-07T00:00:00"/>
    <n v="3"/>
    <n v="3"/>
  </r>
  <r>
    <n v="10487"/>
    <s v=" Steven Jackson"/>
    <x v="0"/>
    <x v="0"/>
    <x v="0"/>
    <x v="6"/>
    <x v="33"/>
    <x v="506"/>
    <n v="111361"/>
    <x v="785"/>
    <d v="1987-06-07T00:00:00"/>
    <x v="1"/>
    <x v="15"/>
    <n v="37996"/>
    <x v="1"/>
    <s v="Non-Citizen"/>
    <s v="Asian"/>
    <x v="551"/>
    <s v="2022-04-05"/>
    <x v="1"/>
    <x v="20"/>
    <n v="2"/>
    <x v="0"/>
    <n v="1"/>
    <x v="1"/>
    <n v="3"/>
    <s v="Needs Improvement"/>
    <n v="2.8"/>
    <s v="Neutral"/>
    <n v="4"/>
    <d v="2025-05-27T00:00:00"/>
    <n v="5"/>
    <n v="4"/>
  </r>
  <r>
    <n v="10488"/>
    <s v=" Sarah Martinez"/>
    <x v="1"/>
    <x v="2"/>
    <x v="1"/>
    <x v="7"/>
    <x v="34"/>
    <x v="507"/>
    <n v="116772"/>
    <x v="786"/>
    <d v="2001-10-19T00:00:00"/>
    <x v="1"/>
    <x v="0"/>
    <n v="77521"/>
    <x v="1"/>
    <s v="Non-Citizen"/>
    <s v="White"/>
    <x v="552"/>
    <s v="2021-05-04"/>
    <x v="1"/>
    <x v="21"/>
    <n v="3"/>
    <x v="1"/>
    <n v="0"/>
    <x v="7"/>
    <n v="4"/>
    <s v="Exceeds Expectations"/>
    <n v="2.5"/>
    <s v="Very Dissatisfied"/>
    <n v="4"/>
    <d v="2025-04-08T00:00:00"/>
    <n v="1"/>
    <n v="3"/>
  </r>
  <r>
    <n v="10489"/>
    <s v=" James Ball"/>
    <x v="1"/>
    <x v="1"/>
    <x v="0"/>
    <x v="4"/>
    <x v="34"/>
    <x v="508"/>
    <n v="46205"/>
    <x v="787"/>
    <d v="1983-08-06T00:00:00"/>
    <x v="2"/>
    <x v="15"/>
    <n v="98003"/>
    <x v="0"/>
    <s v="Non-Citizen"/>
    <s v="White"/>
    <x v="553"/>
    <s v="Not Terminated"/>
    <x v="0"/>
    <x v="20"/>
    <n v="2"/>
    <x v="1"/>
    <n v="1"/>
    <x v="0"/>
    <n v="4"/>
    <s v="PIP"/>
    <n v="4.3"/>
    <s v="Neutral"/>
    <n v="2"/>
    <d v="2024-11-15T00:00:00"/>
    <n v="4"/>
    <n v="3"/>
  </r>
  <r>
    <n v="10490"/>
    <s v=" Carol Mathis"/>
    <x v="1"/>
    <x v="2"/>
    <x v="1"/>
    <x v="4"/>
    <x v="0"/>
    <x v="509"/>
    <n v="87656"/>
    <x v="788"/>
    <d v="1980-06-23T00:00:00"/>
    <x v="1"/>
    <x v="7"/>
    <n v="22515"/>
    <x v="0"/>
    <s v="US Citizen"/>
    <s v="Asian"/>
    <x v="554"/>
    <s v="2023-04-07"/>
    <x v="0"/>
    <x v="21"/>
    <n v="2"/>
    <x v="0"/>
    <n v="0"/>
    <x v="9"/>
    <n v="4"/>
    <s v="Needs Improvement"/>
    <n v="2.5"/>
    <s v="Dissatisfied"/>
    <n v="5"/>
    <d v="2025-09-26T00:00:00"/>
    <n v="0"/>
    <n v="6"/>
  </r>
  <r>
    <n v="10491"/>
    <s v=" Teresa Tapia"/>
    <x v="0"/>
    <x v="2"/>
    <x v="0"/>
    <x v="6"/>
    <x v="34"/>
    <x v="510"/>
    <n v="62205"/>
    <x v="789"/>
    <d v="1973-11-18T00:00:00"/>
    <x v="2"/>
    <x v="18"/>
    <n v="31534"/>
    <x v="0"/>
    <s v="US Citizen"/>
    <s v="Black"/>
    <x v="555"/>
    <s v="2024-05-20"/>
    <x v="0"/>
    <x v="19"/>
    <n v="1"/>
    <x v="1"/>
    <n v="0"/>
    <x v="7"/>
    <n v="4"/>
    <s v="Needs Improvement"/>
    <n v="3.8"/>
    <s v="Very Dissatisfied"/>
    <n v="2"/>
    <d v="2025-03-22T00:00:00"/>
    <n v="0"/>
    <n v="5"/>
  </r>
  <r>
    <n v="10492"/>
    <s v=" Jessica Ortiz"/>
    <x v="1"/>
    <x v="0"/>
    <x v="0"/>
    <x v="10"/>
    <x v="32"/>
    <x v="511"/>
    <n v="62196"/>
    <x v="790"/>
    <d v="2002-12-04T00:00:00"/>
    <x v="1"/>
    <x v="1"/>
    <n v="91371"/>
    <x v="0"/>
    <s v="Non-Citizen"/>
    <s v="Asian"/>
    <x v="556"/>
    <s v="2021-11-20"/>
    <x v="0"/>
    <x v="20"/>
    <n v="3"/>
    <x v="1"/>
    <n v="0"/>
    <x v="7"/>
    <n v="1"/>
    <s v="PIP"/>
    <n v="4.3"/>
    <s v="Neutral"/>
    <n v="5"/>
    <d v="2025-07-13T00:00:00"/>
    <n v="1"/>
    <n v="7"/>
  </r>
  <r>
    <n v="10493"/>
    <s v=" Jonathan Stafford"/>
    <x v="0"/>
    <x v="2"/>
    <x v="1"/>
    <x v="6"/>
    <x v="33"/>
    <x v="512"/>
    <n v="74190"/>
    <x v="791"/>
    <d v="1976-07-02T00:00:00"/>
    <x v="1"/>
    <x v="15"/>
    <n v="90555"/>
    <x v="0"/>
    <s v="Non-Citizen"/>
    <s v="Hispanic"/>
    <x v="557"/>
    <s v="Not Terminated"/>
    <x v="1"/>
    <x v="21"/>
    <n v="1"/>
    <x v="1"/>
    <n v="0"/>
    <x v="0"/>
    <n v="4"/>
    <s v="Fully Meets"/>
    <n v="3.1"/>
    <s v="Very Dissatisfied"/>
    <n v="1"/>
    <d v="2024-11-19T00:00:00"/>
    <n v="4"/>
    <n v="3"/>
  </r>
  <r>
    <n v="10494"/>
    <s v=" Melissa Johnson"/>
    <x v="1"/>
    <x v="0"/>
    <x v="1"/>
    <x v="6"/>
    <x v="34"/>
    <x v="513"/>
    <n v="65081"/>
    <x v="792"/>
    <d v="1984-08-31T00:00:00"/>
    <x v="2"/>
    <x v="15"/>
    <n v="15847"/>
    <x v="0"/>
    <s v="US Citizen"/>
    <s v="Asian"/>
    <x v="558"/>
    <s v="Not Terminated"/>
    <x v="1"/>
    <x v="18"/>
    <n v="1"/>
    <x v="1"/>
    <n v="1"/>
    <x v="1"/>
    <n v="1"/>
    <s v="PIP"/>
    <n v="4.8"/>
    <s v="Satisfied"/>
    <n v="1"/>
    <d v="2025-08-29T00:00:00"/>
    <n v="1"/>
    <n v="2"/>
  </r>
  <r>
    <n v="10495"/>
    <s v=" Christopher Barnett"/>
    <x v="1"/>
    <x v="0"/>
    <x v="0"/>
    <x v="4"/>
    <x v="0"/>
    <x v="514"/>
    <n v="77922"/>
    <x v="793"/>
    <d v="2000-08-31T00:00:00"/>
    <x v="1"/>
    <x v="1"/>
    <n v="37519"/>
    <x v="0"/>
    <s v="US Citizen"/>
    <s v="Other"/>
    <x v="559"/>
    <s v="Not Terminated"/>
    <x v="0"/>
    <x v="18"/>
    <n v="3"/>
    <x v="2"/>
    <n v="0"/>
    <x v="0"/>
    <n v="4"/>
    <s v="Exceeds Expectations"/>
    <n v="4.8"/>
    <s v="Dissatisfied"/>
    <n v="5"/>
    <d v="2025-06-02T00:00:00"/>
    <n v="1"/>
    <n v="2"/>
  </r>
  <r>
    <n v="10496"/>
    <s v=" Ethan Gibson"/>
    <x v="1"/>
    <x v="2"/>
    <x v="1"/>
    <x v="4"/>
    <x v="0"/>
    <x v="515"/>
    <n v="59754"/>
    <x v="794"/>
    <d v="1986-11-11T00:00:00"/>
    <x v="1"/>
    <x v="15"/>
    <n v="93215"/>
    <x v="0"/>
    <s v="US Citizen"/>
    <s v="White"/>
    <x v="560"/>
    <s v="2024-06-14"/>
    <x v="1"/>
    <x v="20"/>
    <n v="3"/>
    <x v="2"/>
    <n v="1"/>
    <x v="1"/>
    <n v="3"/>
    <s v="Needs Improvement"/>
    <n v="3.6"/>
    <s v="Very Satisfied"/>
    <n v="4"/>
    <d v="2025-08-16T00:00:00"/>
    <n v="3"/>
    <n v="10"/>
  </r>
  <r>
    <n v="10497"/>
    <s v=" Justin Mitchell"/>
    <x v="1"/>
    <x v="1"/>
    <x v="0"/>
    <x v="7"/>
    <x v="3"/>
    <x v="516"/>
    <n v="48399"/>
    <x v="795"/>
    <d v="1964-12-25T00:00:00"/>
    <x v="2"/>
    <x v="15"/>
    <n v="50804"/>
    <x v="0"/>
    <s v="Non-Citizen"/>
    <s v="Other"/>
    <x v="114"/>
    <s v="Not Terminated"/>
    <x v="1"/>
    <x v="19"/>
    <n v="3"/>
    <x v="1"/>
    <n v="0"/>
    <x v="0"/>
    <n v="3"/>
    <s v="Fully Meets"/>
    <n v="4.9000000000000004"/>
    <s v="Neutral"/>
    <n v="0"/>
    <d v="2025-04-26T00:00:00"/>
    <n v="0"/>
    <n v="5"/>
  </r>
  <r>
    <n v="10498"/>
    <s v=" Tyler Green"/>
    <x v="1"/>
    <x v="0"/>
    <x v="1"/>
    <x v="10"/>
    <x v="32"/>
    <x v="517"/>
    <n v="63104"/>
    <x v="796"/>
    <d v="1977-07-11T00:00:00"/>
    <x v="1"/>
    <x v="7"/>
    <n v="91767"/>
    <x v="1"/>
    <s v="US Citizen"/>
    <s v="White"/>
    <x v="561"/>
    <s v="Not Terminated"/>
    <x v="0"/>
    <x v="21"/>
    <n v="3"/>
    <x v="2"/>
    <n v="0"/>
    <x v="1"/>
    <n v="2"/>
    <s v="Exceeds Expectations"/>
    <n v="4.4000000000000004"/>
    <s v="Neutral"/>
    <n v="5"/>
    <d v="2025-05-16T00:00:00"/>
    <n v="1"/>
    <n v="10"/>
  </r>
  <r>
    <n v="10499"/>
    <s v=" Jennifer Black"/>
    <x v="0"/>
    <x v="1"/>
    <x v="0"/>
    <x v="7"/>
    <x v="0"/>
    <x v="518"/>
    <n v="88538"/>
    <x v="797"/>
    <d v="1969-12-12T00:00:00"/>
    <x v="2"/>
    <x v="15"/>
    <n v="46439"/>
    <x v="0"/>
    <s v="US Citizen"/>
    <s v="Other"/>
    <x v="562"/>
    <s v="Not Terminated"/>
    <x v="1"/>
    <x v="19"/>
    <n v="3"/>
    <x v="2"/>
    <n v="0"/>
    <x v="1"/>
    <n v="2"/>
    <s v="PIP"/>
    <n v="4.0999999999999996"/>
    <s v="Very Dissatisfied"/>
    <n v="2"/>
    <d v="2025-05-06T00:00:00"/>
    <n v="1"/>
    <n v="4"/>
  </r>
  <r>
    <n v="10500"/>
    <s v=" Michael Cline"/>
    <x v="0"/>
    <x v="0"/>
    <x v="1"/>
    <x v="9"/>
    <x v="32"/>
    <x v="519"/>
    <n v="85011"/>
    <x v="798"/>
    <d v="1989-06-06T00:00:00"/>
    <x v="1"/>
    <x v="0"/>
    <n v="26776"/>
    <x v="0"/>
    <s v="US Citizen"/>
    <s v="Other"/>
    <x v="563"/>
    <s v="Not Terminated"/>
    <x v="0"/>
    <x v="18"/>
    <n v="3"/>
    <x v="0"/>
    <n v="0"/>
    <x v="7"/>
    <n v="1"/>
    <s v="Fully Meets"/>
    <n v="2.6"/>
    <s v="Very Dissatisfied"/>
    <n v="5"/>
    <d v="2025-04-23T00:00:00"/>
    <n v="4"/>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78014F-4F24-4045-8254-35FBB9A316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5" firstHeaderRow="1" firstDataRow="1" firstDataCol="1"/>
  <pivotFields count="36">
    <pivotField dataField="1" showAll="0"/>
    <pivotField showAll="0"/>
    <pivotField showAll="0"/>
    <pivotField showAll="0"/>
    <pivotField showAll="0">
      <items count="3">
        <item x="1"/>
        <item x="0"/>
        <item t="default"/>
      </items>
    </pivotField>
    <pivotField axis="axisRow" showAll="0">
      <items count="12">
        <item x="3"/>
        <item x="5"/>
        <item x="9"/>
        <item x="7"/>
        <item x="6"/>
        <item x="1"/>
        <item x="10"/>
        <item x="0"/>
        <item x="8"/>
        <item x="4"/>
        <item x="2"/>
        <item t="default"/>
      </items>
    </pivotField>
    <pivotField showAll="0">
      <items count="36">
        <item x="10"/>
        <item x="22"/>
        <item x="11"/>
        <item x="17"/>
        <item x="13"/>
        <item x="31"/>
        <item x="5"/>
        <item x="30"/>
        <item x="28"/>
        <item x="6"/>
        <item x="14"/>
        <item x="21"/>
        <item x="7"/>
        <item x="34"/>
        <item x="20"/>
        <item x="29"/>
        <item x="26"/>
        <item x="18"/>
        <item x="4"/>
        <item x="33"/>
        <item x="19"/>
        <item x="23"/>
        <item x="27"/>
        <item x="9"/>
        <item x="0"/>
        <item x="2"/>
        <item x="32"/>
        <item x="16"/>
        <item x="24"/>
        <item x="25"/>
        <item x="3"/>
        <item x="12"/>
        <item x="8"/>
        <item x="1"/>
        <item x="15"/>
        <item t="default"/>
      </items>
    </pivotField>
    <pivotField showAll="0">
      <items count="521">
        <item x="326"/>
        <item x="310"/>
        <item x="442"/>
        <item x="177"/>
        <item x="452"/>
        <item x="60"/>
        <item x="189"/>
        <item x="343"/>
        <item x="6"/>
        <item x="399"/>
        <item x="32"/>
        <item x="218"/>
        <item x="463"/>
        <item x="366"/>
        <item x="313"/>
        <item x="369"/>
        <item x="24"/>
        <item x="5"/>
        <item x="480"/>
        <item x="145"/>
        <item x="373"/>
        <item x="454"/>
        <item x="329"/>
        <item x="330"/>
        <item x="107"/>
        <item x="134"/>
        <item x="188"/>
        <item x="459"/>
        <item x="446"/>
        <item x="139"/>
        <item x="143"/>
        <item x="166"/>
        <item x="421"/>
        <item x="497"/>
        <item x="414"/>
        <item x="101"/>
        <item x="283"/>
        <item x="469"/>
        <item x="439"/>
        <item x="40"/>
        <item x="294"/>
        <item x="492"/>
        <item x="488"/>
        <item x="293"/>
        <item x="20"/>
        <item x="276"/>
        <item x="12"/>
        <item x="494"/>
        <item x="8"/>
        <item x="248"/>
        <item x="298"/>
        <item x="19"/>
        <item x="212"/>
        <item x="88"/>
        <item x="141"/>
        <item x="148"/>
        <item x="112"/>
        <item x="420"/>
        <item x="106"/>
        <item x="86"/>
        <item x="407"/>
        <item x="274"/>
        <item x="142"/>
        <item x="389"/>
        <item x="216"/>
        <item x="291"/>
        <item x="146"/>
        <item x="227"/>
        <item x="257"/>
        <item x="233"/>
        <item x="219"/>
        <item x="499"/>
        <item x="175"/>
        <item x="180"/>
        <item x="264"/>
        <item x="47"/>
        <item x="431"/>
        <item x="355"/>
        <item x="35"/>
        <item x="28"/>
        <item x="124"/>
        <item x="484"/>
        <item x="100"/>
        <item x="507"/>
        <item x="358"/>
        <item x="97"/>
        <item x="94"/>
        <item x="182"/>
        <item x="265"/>
        <item x="323"/>
        <item x="185"/>
        <item x="404"/>
        <item x="64"/>
        <item x="289"/>
        <item x="424"/>
        <item x="66"/>
        <item x="58"/>
        <item x="56"/>
        <item x="443"/>
        <item x="384"/>
        <item x="428"/>
        <item x="113"/>
        <item x="363"/>
        <item x="444"/>
        <item x="52"/>
        <item x="73"/>
        <item x="282"/>
        <item x="280"/>
        <item x="95"/>
        <item x="21"/>
        <item x="42"/>
        <item x="324"/>
        <item x="220"/>
        <item x="409"/>
        <item x="495"/>
        <item x="441"/>
        <item x="195"/>
        <item x="187"/>
        <item x="315"/>
        <item x="33"/>
        <item x="314"/>
        <item x="481"/>
        <item x="361"/>
        <item x="168"/>
        <item x="68"/>
        <item x="226"/>
        <item x="149"/>
        <item x="37"/>
        <item x="147"/>
        <item x="325"/>
        <item x="215"/>
        <item x="10"/>
        <item x="181"/>
        <item x="411"/>
        <item x="204"/>
        <item x="199"/>
        <item x="125"/>
        <item x="18"/>
        <item x="243"/>
        <item x="202"/>
        <item x="114"/>
        <item x="511"/>
        <item x="296"/>
        <item x="397"/>
        <item x="381"/>
        <item x="473"/>
        <item x="229"/>
        <item x="154"/>
        <item x="77"/>
        <item x="402"/>
        <item x="284"/>
        <item x="3"/>
        <item x="44"/>
        <item x="71"/>
        <item x="49"/>
        <item x="140"/>
        <item x="322"/>
        <item x="81"/>
        <item x="340"/>
        <item x="109"/>
        <item x="17"/>
        <item x="128"/>
        <item x="244"/>
        <item x="377"/>
        <item x="491"/>
        <item x="378"/>
        <item x="150"/>
        <item x="445"/>
        <item x="211"/>
        <item x="415"/>
        <item x="190"/>
        <item x="105"/>
        <item x="238"/>
        <item x="129"/>
        <item x="380"/>
        <item x="103"/>
        <item x="67"/>
        <item x="418"/>
        <item x="29"/>
        <item x="23"/>
        <item x="198"/>
        <item x="228"/>
        <item x="82"/>
        <item x="203"/>
        <item x="193"/>
        <item x="501"/>
        <item x="300"/>
        <item x="278"/>
        <item x="342"/>
        <item x="328"/>
        <item x="345"/>
        <item x="434"/>
        <item x="335"/>
        <item x="400"/>
        <item x="514"/>
        <item x="255"/>
        <item x="239"/>
        <item x="279"/>
        <item x="121"/>
        <item x="429"/>
        <item x="256"/>
        <item x="13"/>
        <item x="272"/>
        <item x="364"/>
        <item x="408"/>
        <item x="223"/>
        <item x="305"/>
        <item x="386"/>
        <item x="130"/>
        <item x="119"/>
        <item x="38"/>
        <item x="83"/>
        <item x="135"/>
        <item x="435"/>
        <item x="410"/>
        <item x="367"/>
        <item x="201"/>
        <item x="36"/>
        <item x="356"/>
        <item x="436"/>
        <item x="451"/>
        <item x="308"/>
        <item x="470"/>
        <item x="15"/>
        <item x="440"/>
        <item x="513"/>
        <item x="22"/>
        <item x="519"/>
        <item x="205"/>
        <item x="365"/>
        <item x="518"/>
        <item x="192"/>
        <item x="347"/>
        <item x="236"/>
        <item x="30"/>
        <item x="254"/>
        <item x="151"/>
        <item x="234"/>
        <item x="472"/>
        <item x="221"/>
        <item x="348"/>
        <item x="517"/>
        <item x="476"/>
        <item x="169"/>
        <item x="115"/>
        <item x="48"/>
        <item x="433"/>
        <item x="388"/>
        <item x="14"/>
        <item x="222"/>
        <item x="259"/>
        <item x="164"/>
        <item x="362"/>
        <item x="417"/>
        <item x="237"/>
        <item x="252"/>
        <item x="457"/>
        <item x="508"/>
        <item x="99"/>
        <item x="401"/>
        <item x="316"/>
        <item x="41"/>
        <item x="288"/>
        <item x="479"/>
        <item x="98"/>
        <item x="262"/>
        <item x="250"/>
        <item x="123"/>
        <item x="498"/>
        <item x="136"/>
        <item x="39"/>
        <item x="85"/>
        <item x="208"/>
        <item x="266"/>
        <item x="413"/>
        <item x="230"/>
        <item x="510"/>
        <item x="376"/>
        <item x="301"/>
        <item x="50"/>
        <item x="406"/>
        <item x="155"/>
        <item x="11"/>
        <item x="290"/>
        <item x="311"/>
        <item x="427"/>
        <item x="176"/>
        <item x="7"/>
        <item x="465"/>
        <item x="390"/>
        <item x="89"/>
        <item x="460"/>
        <item x="327"/>
        <item x="461"/>
        <item x="398"/>
        <item x="483"/>
        <item x="292"/>
        <item x="2"/>
        <item x="93"/>
        <item x="375"/>
        <item x="350"/>
        <item x="271"/>
        <item x="462"/>
        <item x="55"/>
        <item x="416"/>
        <item x="251"/>
        <item x="183"/>
        <item x="303"/>
        <item x="449"/>
        <item x="253"/>
        <item x="505"/>
        <item x="245"/>
        <item x="170"/>
        <item x="285"/>
        <item x="133"/>
        <item x="163"/>
        <item x="346"/>
        <item x="493"/>
        <item x="172"/>
        <item x="371"/>
        <item x="392"/>
        <item x="489"/>
        <item x="160"/>
        <item x="59"/>
        <item x="419"/>
        <item x="468"/>
        <item x="214"/>
        <item x="16"/>
        <item x="74"/>
        <item x="171"/>
        <item x="359"/>
        <item x="118"/>
        <item x="487"/>
        <item x="232"/>
        <item x="240"/>
        <item x="515"/>
        <item x="167"/>
        <item x="332"/>
        <item x="334"/>
        <item x="490"/>
        <item x="79"/>
        <item x="235"/>
        <item x="349"/>
        <item x="370"/>
        <item x="104"/>
        <item x="477"/>
        <item x="466"/>
        <item x="403"/>
        <item x="351"/>
        <item x="261"/>
        <item x="430"/>
        <item x="437"/>
        <item x="391"/>
        <item x="412"/>
        <item x="179"/>
        <item x="447"/>
        <item x="242"/>
        <item x="90"/>
        <item x="200"/>
        <item x="360"/>
        <item x="394"/>
        <item x="504"/>
        <item x="516"/>
        <item x="0"/>
        <item x="509"/>
        <item x="341"/>
        <item x="379"/>
        <item x="69"/>
        <item x="72"/>
        <item x="84"/>
        <item x="260"/>
        <item x="474"/>
        <item x="425"/>
        <item x="241"/>
        <item x="70"/>
        <item x="76"/>
        <item x="196"/>
        <item x="131"/>
        <item x="458"/>
        <item x="353"/>
        <item x="309"/>
        <item x="287"/>
        <item x="455"/>
        <item x="302"/>
        <item x="75"/>
        <item x="496"/>
        <item x="31"/>
        <item x="339"/>
        <item x="26"/>
        <item x="178"/>
        <item x="57"/>
        <item x="102"/>
        <item x="357"/>
        <item x="306"/>
        <item x="108"/>
        <item x="51"/>
        <item x="224"/>
        <item x="503"/>
        <item x="165"/>
        <item x="92"/>
        <item x="475"/>
        <item x="482"/>
        <item x="158"/>
        <item x="512"/>
        <item x="299"/>
        <item x="34"/>
        <item x="157"/>
        <item x="312"/>
        <item x="426"/>
        <item x="173"/>
        <item x="485"/>
        <item x="9"/>
        <item x="405"/>
        <item x="213"/>
        <item x="46"/>
        <item x="27"/>
        <item x="354"/>
        <item x="116"/>
        <item x="320"/>
        <item x="194"/>
        <item x="210"/>
        <item x="295"/>
        <item x="385"/>
        <item x="319"/>
        <item x="464"/>
        <item x="438"/>
        <item x="258"/>
        <item x="336"/>
        <item x="43"/>
        <item x="277"/>
        <item x="111"/>
        <item x="450"/>
        <item x="197"/>
        <item x="162"/>
        <item x="246"/>
        <item x="62"/>
        <item x="161"/>
        <item x="268"/>
        <item x="80"/>
        <item x="78"/>
        <item x="269"/>
        <item x="126"/>
        <item x="317"/>
        <item x="209"/>
        <item x="247"/>
        <item x="387"/>
        <item x="110"/>
        <item x="395"/>
        <item x="231"/>
        <item x="422"/>
        <item x="456"/>
        <item x="372"/>
        <item x="467"/>
        <item x="45"/>
        <item x="186"/>
        <item x="132"/>
        <item x="137"/>
        <item x="65"/>
        <item x="502"/>
        <item x="382"/>
        <item x="267"/>
        <item x="286"/>
        <item x="333"/>
        <item x="453"/>
        <item x="270"/>
        <item x="217"/>
        <item x="53"/>
        <item x="1"/>
        <item x="225"/>
        <item x="91"/>
        <item x="61"/>
        <item x="206"/>
        <item x="249"/>
        <item x="96"/>
        <item x="337"/>
        <item x="321"/>
        <item x="432"/>
        <item x="152"/>
        <item x="54"/>
        <item x="117"/>
        <item x="368"/>
        <item x="281"/>
        <item x="207"/>
        <item x="275"/>
        <item x="156"/>
        <item x="471"/>
        <item x="263"/>
        <item x="307"/>
        <item x="344"/>
        <item x="500"/>
        <item x="138"/>
        <item x="63"/>
        <item x="273"/>
        <item x="304"/>
        <item x="184"/>
        <item x="120"/>
        <item x="331"/>
        <item x="374"/>
        <item x="423"/>
        <item x="153"/>
        <item x="159"/>
        <item x="383"/>
        <item x="448"/>
        <item x="122"/>
        <item x="486"/>
        <item x="191"/>
        <item x="318"/>
        <item x="352"/>
        <item x="174"/>
        <item x="25"/>
        <item x="4"/>
        <item x="338"/>
        <item x="506"/>
        <item x="396"/>
        <item x="393"/>
        <item x="478"/>
        <item x="87"/>
        <item x="297"/>
        <item x="127"/>
        <item x="144"/>
        <item t="default"/>
      </items>
    </pivotField>
    <pivotField showAll="0"/>
    <pivotField numFmtId="165" showAll="0"/>
    <pivotField numFmtId="14" showAll="0"/>
    <pivotField showAll="0">
      <items count="4">
        <item x="1"/>
        <item x="2"/>
        <item x="0"/>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showAll="0"/>
    <pivotField showAll="0"/>
    <pivotField showAll="0"/>
    <pivotField numFmtId="14" showAll="0">
      <items count="565">
        <item x="94"/>
        <item x="92"/>
        <item x="79"/>
        <item x="2"/>
        <item x="97"/>
        <item x="20"/>
        <item x="40"/>
        <item x="90"/>
        <item x="91"/>
        <item x="7"/>
        <item x="85"/>
        <item x="98"/>
        <item x="49"/>
        <item x="54"/>
        <item x="39"/>
        <item x="36"/>
        <item x="89"/>
        <item x="78"/>
        <item x="9"/>
        <item x="69"/>
        <item x="76"/>
        <item x="13"/>
        <item x="64"/>
        <item x="15"/>
        <item x="52"/>
        <item x="50"/>
        <item x="35"/>
        <item x="70"/>
        <item x="87"/>
        <item x="32"/>
        <item x="0"/>
        <item x="3"/>
        <item x="95"/>
        <item x="22"/>
        <item x="53"/>
        <item x="63"/>
        <item x="33"/>
        <item x="43"/>
        <item x="58"/>
        <item x="4"/>
        <item x="72"/>
        <item x="11"/>
        <item x="23"/>
        <item x="57"/>
        <item x="10"/>
        <item x="68"/>
        <item x="31"/>
        <item x="42"/>
        <item x="65"/>
        <item x="59"/>
        <item x="71"/>
        <item x="34"/>
        <item x="12"/>
        <item x="88"/>
        <item x="61"/>
        <item x="46"/>
        <item x="81"/>
        <item x="93"/>
        <item x="74"/>
        <item x="73"/>
        <item x="38"/>
        <item x="17"/>
        <item x="6"/>
        <item x="21"/>
        <item x="47"/>
        <item x="62"/>
        <item x="18"/>
        <item x="25"/>
        <item x="41"/>
        <item x="30"/>
        <item x="86"/>
        <item x="16"/>
        <item x="27"/>
        <item x="48"/>
        <item x="28"/>
        <item x="83"/>
        <item x="5"/>
        <item x="77"/>
        <item x="8"/>
        <item x="19"/>
        <item x="1"/>
        <item x="84"/>
        <item x="51"/>
        <item x="55"/>
        <item x="406"/>
        <item x="96"/>
        <item x="235"/>
        <item x="322"/>
        <item x="372"/>
        <item x="442"/>
        <item x="256"/>
        <item x="413"/>
        <item x="113"/>
        <item x="67"/>
        <item x="180"/>
        <item x="231"/>
        <item x="303"/>
        <item x="281"/>
        <item x="210"/>
        <item x="170"/>
        <item x="24"/>
        <item x="531"/>
        <item x="403"/>
        <item x="108"/>
        <item x="173"/>
        <item x="548"/>
        <item x="425"/>
        <item x="522"/>
        <item x="473"/>
        <item x="335"/>
        <item x="333"/>
        <item x="446"/>
        <item x="532"/>
        <item x="251"/>
        <item x="285"/>
        <item x="435"/>
        <item x="496"/>
        <item x="60"/>
        <item x="321"/>
        <item x="334"/>
        <item x="452"/>
        <item x="506"/>
        <item x="409"/>
        <item x="274"/>
        <item x="26"/>
        <item x="134"/>
        <item x="82"/>
        <item x="37"/>
        <item x="261"/>
        <item x="14"/>
        <item x="517"/>
        <item x="353"/>
        <item x="421"/>
        <item x="266"/>
        <item x="316"/>
        <item x="194"/>
        <item x="314"/>
        <item x="486"/>
        <item x="541"/>
        <item x="157"/>
        <item x="29"/>
        <item x="318"/>
        <item x="375"/>
        <item x="459"/>
        <item x="543"/>
        <item x="66"/>
        <item x="465"/>
        <item x="552"/>
        <item x="487"/>
        <item x="195"/>
        <item x="138"/>
        <item x="313"/>
        <item x="362"/>
        <item x="447"/>
        <item x="174"/>
        <item x="460"/>
        <item x="179"/>
        <item x="391"/>
        <item x="80"/>
        <item x="239"/>
        <item x="505"/>
        <item x="555"/>
        <item x="75"/>
        <item x="254"/>
        <item x="45"/>
        <item x="365"/>
        <item x="390"/>
        <item x="374"/>
        <item x="348"/>
        <item x="221"/>
        <item x="115"/>
        <item x="56"/>
        <item x="183"/>
        <item x="407"/>
        <item x="402"/>
        <item x="253"/>
        <item x="244"/>
        <item x="520"/>
        <item x="309"/>
        <item x="228"/>
        <item x="512"/>
        <item x="366"/>
        <item x="342"/>
        <item x="434"/>
        <item x="229"/>
        <item x="319"/>
        <item x="538"/>
        <item x="123"/>
        <item x="105"/>
        <item x="500"/>
        <item x="410"/>
        <item x="363"/>
        <item x="236"/>
        <item x="557"/>
        <item x="397"/>
        <item x="293"/>
        <item x="396"/>
        <item x="158"/>
        <item x="439"/>
        <item x="463"/>
        <item x="404"/>
        <item x="222"/>
        <item x="384"/>
        <item x="143"/>
        <item x="558"/>
        <item x="146"/>
        <item x="193"/>
        <item x="559"/>
        <item x="330"/>
        <item x="262"/>
        <item x="423"/>
        <item x="245"/>
        <item x="411"/>
        <item x="192"/>
        <item x="340"/>
        <item x="356"/>
        <item x="323"/>
        <item x="203"/>
        <item x="441"/>
        <item x="172"/>
        <item x="419"/>
        <item x="508"/>
        <item x="556"/>
        <item x="530"/>
        <item x="175"/>
        <item x="269"/>
        <item x="477"/>
        <item x="540"/>
        <item x="44"/>
        <item x="511"/>
        <item x="151"/>
        <item x="492"/>
        <item x="326"/>
        <item x="428"/>
        <item x="308"/>
        <item x="450"/>
        <item x="471"/>
        <item x="132"/>
        <item x="198"/>
        <item x="206"/>
        <item x="213"/>
        <item x="145"/>
        <item x="257"/>
        <item x="533"/>
        <item x="412"/>
        <item x="545"/>
        <item x="501"/>
        <item x="112"/>
        <item x="136"/>
        <item x="527"/>
        <item x="241"/>
        <item x="311"/>
        <item x="499"/>
        <item x="250"/>
        <item x="523"/>
        <item x="490"/>
        <item x="242"/>
        <item x="276"/>
        <item x="237"/>
        <item x="347"/>
        <item x="408"/>
        <item x="346"/>
        <item x="455"/>
        <item x="489"/>
        <item x="509"/>
        <item x="364"/>
        <item x="155"/>
        <item x="103"/>
        <item x="553"/>
        <item x="212"/>
        <item x="279"/>
        <item x="457"/>
        <item x="535"/>
        <item x="369"/>
        <item x="177"/>
        <item x="427"/>
        <item x="264"/>
        <item x="484"/>
        <item x="160"/>
        <item x="121"/>
        <item x="176"/>
        <item x="493"/>
        <item x="202"/>
        <item x="186"/>
        <item x="265"/>
        <item x="287"/>
        <item x="218"/>
        <item x="327"/>
        <item x="142"/>
        <item x="124"/>
        <item x="127"/>
        <item x="300"/>
        <item x="166"/>
        <item x="178"/>
        <item x="332"/>
        <item x="528"/>
        <item x="401"/>
        <item x="329"/>
        <item x="357"/>
        <item x="225"/>
        <item x="377"/>
        <item x="306"/>
        <item x="355"/>
        <item x="360"/>
        <item x="467"/>
        <item x="246"/>
        <item x="444"/>
        <item x="392"/>
        <item x="325"/>
        <item x="131"/>
        <item x="135"/>
        <item x="352"/>
        <item x="117"/>
        <item x="302"/>
        <item x="149"/>
        <item x="376"/>
        <item x="288"/>
        <item x="292"/>
        <item x="315"/>
        <item x="440"/>
        <item x="109"/>
        <item x="383"/>
        <item x="282"/>
        <item x="100"/>
        <item x="182"/>
        <item x="525"/>
        <item x="453"/>
        <item x="129"/>
        <item x="125"/>
        <item x="171"/>
        <item x="211"/>
        <item x="102"/>
        <item x="448"/>
        <item x="217"/>
        <item x="554"/>
        <item x="370"/>
        <item x="191"/>
        <item x="443"/>
        <item x="118"/>
        <item x="294"/>
        <item x="414"/>
        <item x="350"/>
        <item x="529"/>
        <item x="331"/>
        <item x="153"/>
        <item x="111"/>
        <item x="99"/>
        <item x="185"/>
        <item x="526"/>
        <item x="133"/>
        <item x="415"/>
        <item x="214"/>
        <item x="106"/>
        <item x="388"/>
        <item x="468"/>
        <item x="429"/>
        <item x="101"/>
        <item x="243"/>
        <item x="291"/>
        <item x="273"/>
        <item x="343"/>
        <item x="297"/>
        <item x="387"/>
        <item x="272"/>
        <item x="456"/>
        <item x="504"/>
        <item x="422"/>
        <item x="208"/>
        <item x="144"/>
        <item x="399"/>
        <item x="147"/>
        <item x="137"/>
        <item x="482"/>
        <item x="424"/>
        <item x="141"/>
        <item x="386"/>
        <item x="120"/>
        <item x="278"/>
        <item x="510"/>
        <item x="317"/>
        <item x="562"/>
        <item x="299"/>
        <item x="268"/>
        <item x="371"/>
        <item x="289"/>
        <item x="338"/>
        <item x="255"/>
        <item x="542"/>
        <item x="122"/>
        <item x="324"/>
        <item x="307"/>
        <item x="426"/>
        <item x="150"/>
        <item x="197"/>
        <item x="547"/>
        <item x="275"/>
        <item x="436"/>
        <item x="188"/>
        <item x="219"/>
        <item x="380"/>
        <item x="563"/>
        <item x="312"/>
        <item x="491"/>
        <item x="437"/>
        <item x="359"/>
        <item x="405"/>
        <item x="514"/>
        <item x="378"/>
        <item x="126"/>
        <item x="296"/>
        <item x="521"/>
        <item x="420"/>
        <item x="207"/>
        <item x="156"/>
        <item x="161"/>
        <item x="209"/>
        <item x="480"/>
        <item x="216"/>
        <item x="349"/>
        <item x="169"/>
        <item x="247"/>
        <item x="284"/>
        <item x="337"/>
        <item x="451"/>
        <item x="267"/>
        <item x="164"/>
        <item x="454"/>
        <item x="479"/>
        <item x="431"/>
        <item x="498"/>
        <item x="400"/>
        <item x="152"/>
        <item x="260"/>
        <item x="238"/>
        <item x="361"/>
        <item x="524"/>
        <item x="418"/>
        <item x="204"/>
        <item x="283"/>
        <item x="469"/>
        <item x="240"/>
        <item x="516"/>
        <item x="495"/>
        <item x="252"/>
        <item x="549"/>
        <item x="351"/>
        <item x="546"/>
        <item x="277"/>
        <item x="165"/>
        <item x="249"/>
        <item x="181"/>
        <item x="232"/>
        <item x="305"/>
        <item x="367"/>
        <item x="162"/>
        <item x="502"/>
        <item x="368"/>
        <item x="320"/>
        <item x="464"/>
        <item x="230"/>
        <item x="536"/>
        <item x="233"/>
        <item x="167"/>
        <item x="220"/>
        <item x="382"/>
        <item x="474"/>
        <item x="226"/>
        <item x="518"/>
        <item x="534"/>
        <item x="438"/>
        <item x="433"/>
        <item x="290"/>
        <item x="215"/>
        <item x="248"/>
        <item x="139"/>
        <item x="462"/>
        <item x="485"/>
        <item x="449"/>
        <item x="280"/>
        <item x="561"/>
        <item x="271"/>
        <item x="224"/>
        <item x="301"/>
        <item x="341"/>
        <item x="107"/>
        <item x="270"/>
        <item x="430"/>
        <item x="148"/>
        <item x="304"/>
        <item x="196"/>
        <item x="223"/>
        <item x="200"/>
        <item x="515"/>
        <item x="466"/>
        <item x="519"/>
        <item x="381"/>
        <item x="385"/>
        <item x="476"/>
        <item x="497"/>
        <item x="551"/>
        <item x="398"/>
        <item x="130"/>
        <item x="201"/>
        <item x="336"/>
        <item x="507"/>
        <item x="537"/>
        <item x="472"/>
        <item x="373"/>
        <item x="258"/>
        <item x="154"/>
        <item x="344"/>
        <item x="163"/>
        <item x="184"/>
        <item x="140"/>
        <item x="234"/>
        <item x="110"/>
        <item x="354"/>
        <item x="416"/>
        <item x="259"/>
        <item x="128"/>
        <item x="478"/>
        <item x="358"/>
        <item x="488"/>
        <item x="417"/>
        <item x="550"/>
        <item x="395"/>
        <item x="539"/>
        <item x="119"/>
        <item x="379"/>
        <item x="286"/>
        <item x="445"/>
        <item x="458"/>
        <item x="389"/>
        <item x="114"/>
        <item x="560"/>
        <item x="189"/>
        <item x="159"/>
        <item x="345"/>
        <item x="470"/>
        <item x="263"/>
        <item x="393"/>
        <item x="295"/>
        <item x="481"/>
        <item x="513"/>
        <item x="310"/>
        <item x="494"/>
        <item x="190"/>
        <item x="328"/>
        <item x="432"/>
        <item x="475"/>
        <item x="227"/>
        <item x="503"/>
        <item x="394"/>
        <item x="544"/>
        <item x="187"/>
        <item x="116"/>
        <item x="298"/>
        <item x="104"/>
        <item x="461"/>
        <item x="199"/>
        <item x="168"/>
        <item x="483"/>
        <item x="205"/>
        <item x="3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5"/>
  </rowFields>
  <rowItems count="12">
    <i>
      <x/>
    </i>
    <i>
      <x v="1"/>
    </i>
    <i>
      <x v="2"/>
    </i>
    <i>
      <x v="3"/>
    </i>
    <i>
      <x v="4"/>
    </i>
    <i>
      <x v="5"/>
    </i>
    <i>
      <x v="6"/>
    </i>
    <i>
      <x v="7"/>
    </i>
    <i>
      <x v="8"/>
    </i>
    <i>
      <x v="9"/>
    </i>
    <i>
      <x v="10"/>
    </i>
    <i t="grand">
      <x/>
    </i>
  </rowItems>
  <colItems count="1">
    <i/>
  </colItems>
  <dataFields count="1">
    <dataField name="Count of EmpID" fld="0" subtotal="count" baseField="5" baseItem="0"/>
  </dataFields>
  <formats count="6">
    <format dxfId="24">
      <pivotArea type="all" dataOnly="0" outline="0" fieldPosition="0"/>
    </format>
    <format dxfId="23">
      <pivotArea outline="0" collapsedLevelsAreSubtotals="1" fieldPosition="0"/>
    </format>
    <format dxfId="22">
      <pivotArea field="5" type="button" dataOnly="0" labelOnly="1" outline="0" axis="axisRow" fieldPosition="0"/>
    </format>
    <format dxfId="21">
      <pivotArea dataOnly="0" labelOnly="1" fieldPosition="0">
        <references count="1">
          <reference field="5" count="0"/>
        </references>
      </pivotArea>
    </format>
    <format dxfId="20">
      <pivotArea dataOnly="0" labelOnly="1" grandRow="1" outline="0" fieldPosition="0"/>
    </format>
    <format dxfId="19">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7"/>
          </reference>
        </references>
      </pivotArea>
    </chartFormat>
    <chartFormat chart="4" format="4">
      <pivotArea type="data" outline="0" fieldPosition="0">
        <references count="2">
          <reference field="4294967294" count="1" selected="0">
            <x v="0"/>
          </reference>
          <reference field="5" count="1" selected="0">
            <x v="9"/>
          </reference>
        </references>
      </pivotArea>
    </chartFormat>
    <chartFormat chart="4" format="5">
      <pivotArea type="data" outline="0" fieldPosition="0">
        <references count="2">
          <reference field="4294967294" count="1" selected="0">
            <x v="0"/>
          </reference>
          <reference field="5" count="1" selected="0">
            <x v="8"/>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 chart="4" format="9">
      <pivotArea type="data" outline="0" fieldPosition="0">
        <references count="2">
          <reference field="4294967294" count="1" selected="0">
            <x v="0"/>
          </reference>
          <reference field="5" count="1" selected="0">
            <x v="3"/>
          </reference>
        </references>
      </pivotArea>
    </chartFormat>
    <chartFormat chart="4" format="10">
      <pivotArea type="data" outline="0" fieldPosition="0">
        <references count="2">
          <reference field="4294967294" count="1" selected="0">
            <x v="0"/>
          </reference>
          <reference field="5" count="1" selected="0">
            <x v="4"/>
          </reference>
        </references>
      </pivotArea>
    </chartFormat>
    <chartFormat chart="4" format="11">
      <pivotArea type="data" outline="0" fieldPosition="0">
        <references count="2">
          <reference field="4294967294" count="1" selected="0">
            <x v="0"/>
          </reference>
          <reference field="5" count="1" selected="0">
            <x v="5"/>
          </reference>
        </references>
      </pivotArea>
    </chartFormat>
    <chartFormat chart="4" format="12">
      <pivotArea type="data" outline="0" fieldPosition="0">
        <references count="2">
          <reference field="4294967294" count="1" selected="0">
            <x v="0"/>
          </reference>
          <reference field="5" count="1" selected="0">
            <x v="6"/>
          </reference>
        </references>
      </pivotArea>
    </chartFormat>
    <chartFormat chart="4" format="13">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25B1CF-E244-4342-B91A-D58C5F2B7E3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5:B87" firstHeaderRow="1" firstDataRow="1" firstDataCol="1"/>
  <pivotFields count="36">
    <pivotField showAll="0"/>
    <pivotField showAll="0"/>
    <pivotField showAll="0"/>
    <pivotField showAll="0"/>
    <pivotField showAll="0">
      <items count="3">
        <item x="1"/>
        <item x="0"/>
        <item t="default"/>
      </items>
    </pivotField>
    <pivotField axis="axisRow" showAll="0">
      <items count="12">
        <item x="3"/>
        <item x="5"/>
        <item x="9"/>
        <item x="7"/>
        <item x="6"/>
        <item x="1"/>
        <item x="10"/>
        <item x="0"/>
        <item x="8"/>
        <item x="4"/>
        <item x="2"/>
        <item t="default"/>
      </items>
    </pivotField>
    <pivotField showAll="0">
      <items count="36">
        <item x="10"/>
        <item x="22"/>
        <item x="11"/>
        <item x="17"/>
        <item x="13"/>
        <item x="31"/>
        <item x="5"/>
        <item x="30"/>
        <item x="28"/>
        <item x="6"/>
        <item x="14"/>
        <item x="21"/>
        <item x="7"/>
        <item x="34"/>
        <item x="20"/>
        <item x="29"/>
        <item x="26"/>
        <item x="18"/>
        <item x="4"/>
        <item x="33"/>
        <item x="19"/>
        <item x="23"/>
        <item x="27"/>
        <item x="9"/>
        <item x="0"/>
        <item x="2"/>
        <item x="32"/>
        <item x="16"/>
        <item x="24"/>
        <item x="25"/>
        <item x="3"/>
        <item x="12"/>
        <item x="8"/>
        <item x="1"/>
        <item x="15"/>
        <item t="default"/>
      </items>
    </pivotField>
    <pivotField showAll="0">
      <items count="521">
        <item x="326"/>
        <item x="310"/>
        <item x="442"/>
        <item x="177"/>
        <item x="452"/>
        <item x="60"/>
        <item x="189"/>
        <item x="343"/>
        <item x="6"/>
        <item x="399"/>
        <item x="32"/>
        <item x="218"/>
        <item x="463"/>
        <item x="366"/>
        <item x="313"/>
        <item x="369"/>
        <item x="24"/>
        <item x="5"/>
        <item x="480"/>
        <item x="145"/>
        <item x="373"/>
        <item x="454"/>
        <item x="329"/>
        <item x="330"/>
        <item x="107"/>
        <item x="134"/>
        <item x="188"/>
        <item x="459"/>
        <item x="446"/>
        <item x="139"/>
        <item x="143"/>
        <item x="166"/>
        <item x="421"/>
        <item x="497"/>
        <item x="414"/>
        <item x="101"/>
        <item x="283"/>
        <item x="469"/>
        <item x="439"/>
        <item x="40"/>
        <item x="294"/>
        <item x="492"/>
        <item x="488"/>
        <item x="293"/>
        <item x="20"/>
        <item x="276"/>
        <item x="12"/>
        <item x="494"/>
        <item x="8"/>
        <item x="248"/>
        <item x="298"/>
        <item x="19"/>
        <item x="212"/>
        <item x="88"/>
        <item x="141"/>
        <item x="148"/>
        <item x="112"/>
        <item x="420"/>
        <item x="106"/>
        <item x="86"/>
        <item x="407"/>
        <item x="274"/>
        <item x="142"/>
        <item x="389"/>
        <item x="216"/>
        <item x="291"/>
        <item x="146"/>
        <item x="227"/>
        <item x="257"/>
        <item x="233"/>
        <item x="219"/>
        <item x="499"/>
        <item x="175"/>
        <item x="180"/>
        <item x="264"/>
        <item x="47"/>
        <item x="431"/>
        <item x="355"/>
        <item x="35"/>
        <item x="28"/>
        <item x="124"/>
        <item x="484"/>
        <item x="100"/>
        <item x="507"/>
        <item x="358"/>
        <item x="97"/>
        <item x="94"/>
        <item x="182"/>
        <item x="265"/>
        <item x="323"/>
        <item x="185"/>
        <item x="404"/>
        <item x="64"/>
        <item x="289"/>
        <item x="424"/>
        <item x="66"/>
        <item x="58"/>
        <item x="56"/>
        <item x="443"/>
        <item x="384"/>
        <item x="428"/>
        <item x="113"/>
        <item x="363"/>
        <item x="444"/>
        <item x="52"/>
        <item x="73"/>
        <item x="282"/>
        <item x="280"/>
        <item x="95"/>
        <item x="21"/>
        <item x="42"/>
        <item x="324"/>
        <item x="220"/>
        <item x="409"/>
        <item x="495"/>
        <item x="441"/>
        <item x="195"/>
        <item x="187"/>
        <item x="315"/>
        <item x="33"/>
        <item x="314"/>
        <item x="481"/>
        <item x="361"/>
        <item x="168"/>
        <item x="68"/>
        <item x="226"/>
        <item x="149"/>
        <item x="37"/>
        <item x="147"/>
        <item x="325"/>
        <item x="215"/>
        <item x="10"/>
        <item x="181"/>
        <item x="411"/>
        <item x="204"/>
        <item x="199"/>
        <item x="125"/>
        <item x="18"/>
        <item x="243"/>
        <item x="202"/>
        <item x="114"/>
        <item x="511"/>
        <item x="296"/>
        <item x="397"/>
        <item x="381"/>
        <item x="473"/>
        <item x="229"/>
        <item x="154"/>
        <item x="77"/>
        <item x="402"/>
        <item x="284"/>
        <item x="3"/>
        <item x="44"/>
        <item x="71"/>
        <item x="49"/>
        <item x="140"/>
        <item x="322"/>
        <item x="81"/>
        <item x="340"/>
        <item x="109"/>
        <item x="17"/>
        <item x="128"/>
        <item x="244"/>
        <item x="377"/>
        <item x="491"/>
        <item x="378"/>
        <item x="150"/>
        <item x="445"/>
        <item x="211"/>
        <item x="415"/>
        <item x="190"/>
        <item x="105"/>
        <item x="238"/>
        <item x="129"/>
        <item x="380"/>
        <item x="103"/>
        <item x="67"/>
        <item x="418"/>
        <item x="29"/>
        <item x="23"/>
        <item x="198"/>
        <item x="228"/>
        <item x="82"/>
        <item x="203"/>
        <item x="193"/>
        <item x="501"/>
        <item x="300"/>
        <item x="278"/>
        <item x="342"/>
        <item x="328"/>
        <item x="345"/>
        <item x="434"/>
        <item x="335"/>
        <item x="400"/>
        <item x="514"/>
        <item x="255"/>
        <item x="239"/>
        <item x="279"/>
        <item x="121"/>
        <item x="429"/>
        <item x="256"/>
        <item x="13"/>
        <item x="272"/>
        <item x="364"/>
        <item x="408"/>
        <item x="223"/>
        <item x="305"/>
        <item x="386"/>
        <item x="130"/>
        <item x="119"/>
        <item x="38"/>
        <item x="83"/>
        <item x="135"/>
        <item x="435"/>
        <item x="410"/>
        <item x="367"/>
        <item x="201"/>
        <item x="36"/>
        <item x="356"/>
        <item x="436"/>
        <item x="451"/>
        <item x="308"/>
        <item x="470"/>
        <item x="15"/>
        <item x="440"/>
        <item x="513"/>
        <item x="22"/>
        <item x="519"/>
        <item x="205"/>
        <item x="365"/>
        <item x="518"/>
        <item x="192"/>
        <item x="347"/>
        <item x="236"/>
        <item x="30"/>
        <item x="254"/>
        <item x="151"/>
        <item x="234"/>
        <item x="472"/>
        <item x="221"/>
        <item x="348"/>
        <item x="517"/>
        <item x="476"/>
        <item x="169"/>
        <item x="115"/>
        <item x="48"/>
        <item x="433"/>
        <item x="388"/>
        <item x="14"/>
        <item x="222"/>
        <item x="259"/>
        <item x="164"/>
        <item x="362"/>
        <item x="417"/>
        <item x="237"/>
        <item x="252"/>
        <item x="457"/>
        <item x="508"/>
        <item x="99"/>
        <item x="401"/>
        <item x="316"/>
        <item x="41"/>
        <item x="288"/>
        <item x="479"/>
        <item x="98"/>
        <item x="262"/>
        <item x="250"/>
        <item x="123"/>
        <item x="498"/>
        <item x="136"/>
        <item x="39"/>
        <item x="85"/>
        <item x="208"/>
        <item x="266"/>
        <item x="413"/>
        <item x="230"/>
        <item x="510"/>
        <item x="376"/>
        <item x="301"/>
        <item x="50"/>
        <item x="406"/>
        <item x="155"/>
        <item x="11"/>
        <item x="290"/>
        <item x="311"/>
        <item x="427"/>
        <item x="176"/>
        <item x="7"/>
        <item x="465"/>
        <item x="390"/>
        <item x="89"/>
        <item x="460"/>
        <item x="327"/>
        <item x="461"/>
        <item x="398"/>
        <item x="483"/>
        <item x="292"/>
        <item x="2"/>
        <item x="93"/>
        <item x="375"/>
        <item x="350"/>
        <item x="271"/>
        <item x="462"/>
        <item x="55"/>
        <item x="416"/>
        <item x="251"/>
        <item x="183"/>
        <item x="303"/>
        <item x="449"/>
        <item x="253"/>
        <item x="505"/>
        <item x="245"/>
        <item x="170"/>
        <item x="285"/>
        <item x="133"/>
        <item x="163"/>
        <item x="346"/>
        <item x="493"/>
        <item x="172"/>
        <item x="371"/>
        <item x="392"/>
        <item x="489"/>
        <item x="160"/>
        <item x="59"/>
        <item x="419"/>
        <item x="468"/>
        <item x="214"/>
        <item x="16"/>
        <item x="74"/>
        <item x="171"/>
        <item x="359"/>
        <item x="118"/>
        <item x="487"/>
        <item x="232"/>
        <item x="240"/>
        <item x="515"/>
        <item x="167"/>
        <item x="332"/>
        <item x="334"/>
        <item x="490"/>
        <item x="79"/>
        <item x="235"/>
        <item x="349"/>
        <item x="370"/>
        <item x="104"/>
        <item x="477"/>
        <item x="466"/>
        <item x="403"/>
        <item x="351"/>
        <item x="261"/>
        <item x="430"/>
        <item x="437"/>
        <item x="391"/>
        <item x="412"/>
        <item x="179"/>
        <item x="447"/>
        <item x="242"/>
        <item x="90"/>
        <item x="200"/>
        <item x="360"/>
        <item x="394"/>
        <item x="504"/>
        <item x="516"/>
        <item x="0"/>
        <item x="509"/>
        <item x="341"/>
        <item x="379"/>
        <item x="69"/>
        <item x="72"/>
        <item x="84"/>
        <item x="260"/>
        <item x="474"/>
        <item x="425"/>
        <item x="241"/>
        <item x="70"/>
        <item x="76"/>
        <item x="196"/>
        <item x="131"/>
        <item x="458"/>
        <item x="353"/>
        <item x="309"/>
        <item x="287"/>
        <item x="455"/>
        <item x="302"/>
        <item x="75"/>
        <item x="496"/>
        <item x="31"/>
        <item x="339"/>
        <item x="26"/>
        <item x="178"/>
        <item x="57"/>
        <item x="102"/>
        <item x="357"/>
        <item x="306"/>
        <item x="108"/>
        <item x="51"/>
        <item x="224"/>
        <item x="503"/>
        <item x="165"/>
        <item x="92"/>
        <item x="475"/>
        <item x="482"/>
        <item x="158"/>
        <item x="512"/>
        <item x="299"/>
        <item x="34"/>
        <item x="157"/>
        <item x="312"/>
        <item x="426"/>
        <item x="173"/>
        <item x="485"/>
        <item x="9"/>
        <item x="405"/>
        <item x="213"/>
        <item x="46"/>
        <item x="27"/>
        <item x="354"/>
        <item x="116"/>
        <item x="320"/>
        <item x="194"/>
        <item x="210"/>
        <item x="295"/>
        <item x="385"/>
        <item x="319"/>
        <item x="464"/>
        <item x="438"/>
        <item x="258"/>
        <item x="336"/>
        <item x="43"/>
        <item x="277"/>
        <item x="111"/>
        <item x="450"/>
        <item x="197"/>
        <item x="162"/>
        <item x="246"/>
        <item x="62"/>
        <item x="161"/>
        <item x="268"/>
        <item x="80"/>
        <item x="78"/>
        <item x="269"/>
        <item x="126"/>
        <item x="317"/>
        <item x="209"/>
        <item x="247"/>
        <item x="387"/>
        <item x="110"/>
        <item x="395"/>
        <item x="231"/>
        <item x="422"/>
        <item x="456"/>
        <item x="372"/>
        <item x="467"/>
        <item x="45"/>
        <item x="186"/>
        <item x="132"/>
        <item x="137"/>
        <item x="65"/>
        <item x="502"/>
        <item x="382"/>
        <item x="267"/>
        <item x="286"/>
        <item x="333"/>
        <item x="453"/>
        <item x="270"/>
        <item x="217"/>
        <item x="53"/>
        <item x="1"/>
        <item x="225"/>
        <item x="91"/>
        <item x="61"/>
        <item x="206"/>
        <item x="249"/>
        <item x="96"/>
        <item x="337"/>
        <item x="321"/>
        <item x="432"/>
        <item x="152"/>
        <item x="54"/>
        <item x="117"/>
        <item x="368"/>
        <item x="281"/>
        <item x="207"/>
        <item x="275"/>
        <item x="156"/>
        <item x="471"/>
        <item x="263"/>
        <item x="307"/>
        <item x="344"/>
        <item x="500"/>
        <item x="138"/>
        <item x="63"/>
        <item x="273"/>
        <item x="304"/>
        <item x="184"/>
        <item x="120"/>
        <item x="331"/>
        <item x="374"/>
        <item x="423"/>
        <item x="153"/>
        <item x="159"/>
        <item x="383"/>
        <item x="448"/>
        <item x="122"/>
        <item x="486"/>
        <item x="191"/>
        <item x="318"/>
        <item x="352"/>
        <item x="174"/>
        <item x="25"/>
        <item x="4"/>
        <item x="338"/>
        <item x="506"/>
        <item x="396"/>
        <item x="393"/>
        <item x="478"/>
        <item x="87"/>
        <item x="297"/>
        <item x="127"/>
        <item x="144"/>
        <item t="default"/>
      </items>
    </pivotField>
    <pivotField showAll="0"/>
    <pivotField numFmtId="165" showAll="0"/>
    <pivotField numFmtId="14" showAll="0"/>
    <pivotField showAll="0">
      <items count="4">
        <item x="1"/>
        <item x="2"/>
        <item x="0"/>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showAll="0"/>
    <pivotField showAll="0"/>
    <pivotField showAll="0"/>
    <pivotField numFmtId="14" showAll="0">
      <items count="565">
        <item x="94"/>
        <item x="92"/>
        <item x="79"/>
        <item x="2"/>
        <item x="97"/>
        <item x="20"/>
        <item x="40"/>
        <item x="90"/>
        <item x="91"/>
        <item x="7"/>
        <item x="85"/>
        <item x="98"/>
        <item x="49"/>
        <item x="54"/>
        <item x="39"/>
        <item x="36"/>
        <item x="89"/>
        <item x="78"/>
        <item x="9"/>
        <item x="69"/>
        <item x="76"/>
        <item x="13"/>
        <item x="64"/>
        <item x="15"/>
        <item x="52"/>
        <item x="50"/>
        <item x="35"/>
        <item x="70"/>
        <item x="87"/>
        <item x="32"/>
        <item x="0"/>
        <item x="3"/>
        <item x="95"/>
        <item x="22"/>
        <item x="53"/>
        <item x="63"/>
        <item x="33"/>
        <item x="43"/>
        <item x="58"/>
        <item x="4"/>
        <item x="72"/>
        <item x="11"/>
        <item x="23"/>
        <item x="57"/>
        <item x="10"/>
        <item x="68"/>
        <item x="31"/>
        <item x="42"/>
        <item x="65"/>
        <item x="59"/>
        <item x="71"/>
        <item x="34"/>
        <item x="12"/>
        <item x="88"/>
        <item x="61"/>
        <item x="46"/>
        <item x="81"/>
        <item x="93"/>
        <item x="74"/>
        <item x="73"/>
        <item x="38"/>
        <item x="17"/>
        <item x="6"/>
        <item x="21"/>
        <item x="47"/>
        <item x="62"/>
        <item x="18"/>
        <item x="25"/>
        <item x="41"/>
        <item x="30"/>
        <item x="86"/>
        <item x="16"/>
        <item x="27"/>
        <item x="48"/>
        <item x="28"/>
        <item x="83"/>
        <item x="5"/>
        <item x="77"/>
        <item x="8"/>
        <item x="19"/>
        <item x="1"/>
        <item x="84"/>
        <item x="51"/>
        <item x="55"/>
        <item x="406"/>
        <item x="96"/>
        <item x="235"/>
        <item x="322"/>
        <item x="372"/>
        <item x="442"/>
        <item x="256"/>
        <item x="413"/>
        <item x="113"/>
        <item x="67"/>
        <item x="180"/>
        <item x="231"/>
        <item x="303"/>
        <item x="281"/>
        <item x="210"/>
        <item x="170"/>
        <item x="24"/>
        <item x="531"/>
        <item x="403"/>
        <item x="108"/>
        <item x="173"/>
        <item x="548"/>
        <item x="425"/>
        <item x="522"/>
        <item x="473"/>
        <item x="335"/>
        <item x="333"/>
        <item x="446"/>
        <item x="532"/>
        <item x="251"/>
        <item x="285"/>
        <item x="435"/>
        <item x="496"/>
        <item x="60"/>
        <item x="321"/>
        <item x="334"/>
        <item x="452"/>
        <item x="506"/>
        <item x="409"/>
        <item x="274"/>
        <item x="26"/>
        <item x="134"/>
        <item x="82"/>
        <item x="37"/>
        <item x="261"/>
        <item x="14"/>
        <item x="517"/>
        <item x="353"/>
        <item x="421"/>
        <item x="266"/>
        <item x="316"/>
        <item x="194"/>
        <item x="314"/>
        <item x="486"/>
        <item x="541"/>
        <item x="157"/>
        <item x="29"/>
        <item x="318"/>
        <item x="375"/>
        <item x="459"/>
        <item x="543"/>
        <item x="66"/>
        <item x="465"/>
        <item x="552"/>
        <item x="487"/>
        <item x="195"/>
        <item x="138"/>
        <item x="313"/>
        <item x="362"/>
        <item x="447"/>
        <item x="174"/>
        <item x="460"/>
        <item x="179"/>
        <item x="391"/>
        <item x="80"/>
        <item x="239"/>
        <item x="505"/>
        <item x="555"/>
        <item x="75"/>
        <item x="254"/>
        <item x="45"/>
        <item x="365"/>
        <item x="390"/>
        <item x="374"/>
        <item x="348"/>
        <item x="221"/>
        <item x="115"/>
        <item x="56"/>
        <item x="183"/>
        <item x="407"/>
        <item x="402"/>
        <item x="253"/>
        <item x="244"/>
        <item x="520"/>
        <item x="309"/>
        <item x="228"/>
        <item x="512"/>
        <item x="366"/>
        <item x="342"/>
        <item x="434"/>
        <item x="229"/>
        <item x="319"/>
        <item x="538"/>
        <item x="123"/>
        <item x="105"/>
        <item x="500"/>
        <item x="410"/>
        <item x="363"/>
        <item x="236"/>
        <item x="557"/>
        <item x="397"/>
        <item x="293"/>
        <item x="396"/>
        <item x="158"/>
        <item x="439"/>
        <item x="463"/>
        <item x="404"/>
        <item x="222"/>
        <item x="384"/>
        <item x="143"/>
        <item x="558"/>
        <item x="146"/>
        <item x="193"/>
        <item x="559"/>
        <item x="330"/>
        <item x="262"/>
        <item x="423"/>
        <item x="245"/>
        <item x="411"/>
        <item x="192"/>
        <item x="340"/>
        <item x="356"/>
        <item x="323"/>
        <item x="203"/>
        <item x="441"/>
        <item x="172"/>
        <item x="419"/>
        <item x="508"/>
        <item x="556"/>
        <item x="530"/>
        <item x="175"/>
        <item x="269"/>
        <item x="477"/>
        <item x="540"/>
        <item x="44"/>
        <item x="511"/>
        <item x="151"/>
        <item x="492"/>
        <item x="326"/>
        <item x="428"/>
        <item x="308"/>
        <item x="450"/>
        <item x="471"/>
        <item x="132"/>
        <item x="198"/>
        <item x="206"/>
        <item x="213"/>
        <item x="145"/>
        <item x="257"/>
        <item x="533"/>
        <item x="412"/>
        <item x="545"/>
        <item x="501"/>
        <item x="112"/>
        <item x="136"/>
        <item x="527"/>
        <item x="241"/>
        <item x="311"/>
        <item x="499"/>
        <item x="250"/>
        <item x="523"/>
        <item x="490"/>
        <item x="242"/>
        <item x="276"/>
        <item x="237"/>
        <item x="347"/>
        <item x="408"/>
        <item x="346"/>
        <item x="455"/>
        <item x="489"/>
        <item x="509"/>
        <item x="364"/>
        <item x="155"/>
        <item x="103"/>
        <item x="553"/>
        <item x="212"/>
        <item x="279"/>
        <item x="457"/>
        <item x="535"/>
        <item x="369"/>
        <item x="177"/>
        <item x="427"/>
        <item x="264"/>
        <item x="484"/>
        <item x="160"/>
        <item x="121"/>
        <item x="176"/>
        <item x="493"/>
        <item x="202"/>
        <item x="186"/>
        <item x="265"/>
        <item x="287"/>
        <item x="218"/>
        <item x="327"/>
        <item x="142"/>
        <item x="124"/>
        <item x="127"/>
        <item x="300"/>
        <item x="166"/>
        <item x="178"/>
        <item x="332"/>
        <item x="528"/>
        <item x="401"/>
        <item x="329"/>
        <item x="357"/>
        <item x="225"/>
        <item x="377"/>
        <item x="306"/>
        <item x="355"/>
        <item x="360"/>
        <item x="467"/>
        <item x="246"/>
        <item x="444"/>
        <item x="392"/>
        <item x="325"/>
        <item x="131"/>
        <item x="135"/>
        <item x="352"/>
        <item x="117"/>
        <item x="302"/>
        <item x="149"/>
        <item x="376"/>
        <item x="288"/>
        <item x="292"/>
        <item x="315"/>
        <item x="440"/>
        <item x="109"/>
        <item x="383"/>
        <item x="282"/>
        <item x="100"/>
        <item x="182"/>
        <item x="525"/>
        <item x="453"/>
        <item x="129"/>
        <item x="125"/>
        <item x="171"/>
        <item x="211"/>
        <item x="102"/>
        <item x="448"/>
        <item x="217"/>
        <item x="554"/>
        <item x="370"/>
        <item x="191"/>
        <item x="443"/>
        <item x="118"/>
        <item x="294"/>
        <item x="414"/>
        <item x="350"/>
        <item x="529"/>
        <item x="331"/>
        <item x="153"/>
        <item x="111"/>
        <item x="99"/>
        <item x="185"/>
        <item x="526"/>
        <item x="133"/>
        <item x="415"/>
        <item x="214"/>
        <item x="106"/>
        <item x="388"/>
        <item x="468"/>
        <item x="429"/>
        <item x="101"/>
        <item x="243"/>
        <item x="291"/>
        <item x="273"/>
        <item x="343"/>
        <item x="297"/>
        <item x="387"/>
        <item x="272"/>
        <item x="456"/>
        <item x="504"/>
        <item x="422"/>
        <item x="208"/>
        <item x="144"/>
        <item x="399"/>
        <item x="147"/>
        <item x="137"/>
        <item x="482"/>
        <item x="424"/>
        <item x="141"/>
        <item x="386"/>
        <item x="120"/>
        <item x="278"/>
        <item x="510"/>
        <item x="317"/>
        <item x="562"/>
        <item x="299"/>
        <item x="268"/>
        <item x="371"/>
        <item x="289"/>
        <item x="338"/>
        <item x="255"/>
        <item x="542"/>
        <item x="122"/>
        <item x="324"/>
        <item x="307"/>
        <item x="426"/>
        <item x="150"/>
        <item x="197"/>
        <item x="547"/>
        <item x="275"/>
        <item x="436"/>
        <item x="188"/>
        <item x="219"/>
        <item x="380"/>
        <item x="563"/>
        <item x="312"/>
        <item x="491"/>
        <item x="437"/>
        <item x="359"/>
        <item x="405"/>
        <item x="514"/>
        <item x="378"/>
        <item x="126"/>
        <item x="296"/>
        <item x="521"/>
        <item x="420"/>
        <item x="207"/>
        <item x="156"/>
        <item x="161"/>
        <item x="209"/>
        <item x="480"/>
        <item x="216"/>
        <item x="349"/>
        <item x="169"/>
        <item x="247"/>
        <item x="284"/>
        <item x="337"/>
        <item x="451"/>
        <item x="267"/>
        <item x="164"/>
        <item x="454"/>
        <item x="479"/>
        <item x="431"/>
        <item x="498"/>
        <item x="400"/>
        <item x="152"/>
        <item x="260"/>
        <item x="238"/>
        <item x="361"/>
        <item x="524"/>
        <item x="418"/>
        <item x="204"/>
        <item x="283"/>
        <item x="469"/>
        <item x="240"/>
        <item x="516"/>
        <item x="495"/>
        <item x="252"/>
        <item x="549"/>
        <item x="351"/>
        <item x="546"/>
        <item x="277"/>
        <item x="165"/>
        <item x="249"/>
        <item x="181"/>
        <item x="232"/>
        <item x="305"/>
        <item x="367"/>
        <item x="162"/>
        <item x="502"/>
        <item x="368"/>
        <item x="320"/>
        <item x="464"/>
        <item x="230"/>
        <item x="536"/>
        <item x="233"/>
        <item x="167"/>
        <item x="220"/>
        <item x="382"/>
        <item x="474"/>
        <item x="226"/>
        <item x="518"/>
        <item x="534"/>
        <item x="438"/>
        <item x="433"/>
        <item x="290"/>
        <item x="215"/>
        <item x="248"/>
        <item x="139"/>
        <item x="462"/>
        <item x="485"/>
        <item x="449"/>
        <item x="280"/>
        <item x="561"/>
        <item x="271"/>
        <item x="224"/>
        <item x="301"/>
        <item x="341"/>
        <item x="107"/>
        <item x="270"/>
        <item x="430"/>
        <item x="148"/>
        <item x="304"/>
        <item x="196"/>
        <item x="223"/>
        <item x="200"/>
        <item x="515"/>
        <item x="466"/>
        <item x="519"/>
        <item x="381"/>
        <item x="385"/>
        <item x="476"/>
        <item x="497"/>
        <item x="551"/>
        <item x="398"/>
        <item x="130"/>
        <item x="201"/>
        <item x="336"/>
        <item x="507"/>
        <item x="537"/>
        <item x="472"/>
        <item x="373"/>
        <item x="258"/>
        <item x="154"/>
        <item x="344"/>
        <item x="163"/>
        <item x="184"/>
        <item x="140"/>
        <item x="234"/>
        <item x="110"/>
        <item x="354"/>
        <item x="416"/>
        <item x="259"/>
        <item x="128"/>
        <item x="478"/>
        <item x="358"/>
        <item x="488"/>
        <item x="417"/>
        <item x="550"/>
        <item x="395"/>
        <item x="539"/>
        <item x="119"/>
        <item x="379"/>
        <item x="286"/>
        <item x="445"/>
        <item x="458"/>
        <item x="389"/>
        <item x="114"/>
        <item x="560"/>
        <item x="189"/>
        <item x="159"/>
        <item x="345"/>
        <item x="470"/>
        <item x="263"/>
        <item x="393"/>
        <item x="295"/>
        <item x="481"/>
        <item x="513"/>
        <item x="310"/>
        <item x="494"/>
        <item x="190"/>
        <item x="328"/>
        <item x="432"/>
        <item x="475"/>
        <item x="227"/>
        <item x="503"/>
        <item x="394"/>
        <item x="544"/>
        <item x="187"/>
        <item x="116"/>
        <item x="298"/>
        <item x="104"/>
        <item x="461"/>
        <item x="199"/>
        <item x="168"/>
        <item x="483"/>
        <item x="205"/>
        <item x="33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5"/>
  </rowFields>
  <rowItems count="12">
    <i>
      <x/>
    </i>
    <i>
      <x v="1"/>
    </i>
    <i>
      <x v="2"/>
    </i>
    <i>
      <x v="3"/>
    </i>
    <i>
      <x v="4"/>
    </i>
    <i>
      <x v="5"/>
    </i>
    <i>
      <x v="6"/>
    </i>
    <i>
      <x v="7"/>
    </i>
    <i>
      <x v="8"/>
    </i>
    <i>
      <x v="9"/>
    </i>
    <i>
      <x v="10"/>
    </i>
    <i t="grand">
      <x/>
    </i>
  </rowItems>
  <colItems count="1">
    <i/>
  </colItems>
  <dataFields count="1">
    <dataField name="Average of EngagementSurvey" fld="27" subtotal="average" baseField="5" baseItem="0"/>
  </dataFields>
  <formats count="7">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5" type="button" dataOnly="0" labelOnly="1" outline="0" axis="axisRow" fieldPosition="0"/>
    </format>
    <format dxfId="27">
      <pivotArea dataOnly="0" labelOnly="1" fieldPosition="0">
        <references count="1">
          <reference field="5" count="0"/>
        </references>
      </pivotArea>
    </format>
    <format dxfId="26">
      <pivotArea dataOnly="0" labelOnly="1" grandRow="1" outline="0" fieldPosition="0"/>
    </format>
    <format dxfId="2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79DF4F-11AA-45D5-A8A7-089782A41CD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0:B64" firstHeaderRow="1" firstDataRow="1" firstDataCol="1"/>
  <pivotFields count="36">
    <pivotField dataField="1" showAll="0"/>
    <pivotField showAll="0"/>
    <pivotField showAll="0"/>
    <pivotField showAll="0"/>
    <pivotField showAll="0">
      <items count="3">
        <item x="1"/>
        <item x="0"/>
        <item t="default"/>
      </items>
    </pivotField>
    <pivotField showAll="0">
      <items count="12">
        <item x="3"/>
        <item x="5"/>
        <item x="9"/>
        <item x="7"/>
        <item x="6"/>
        <item x="1"/>
        <item x="10"/>
        <item x="0"/>
        <item x="8"/>
        <item x="4"/>
        <item x="2"/>
        <item t="default"/>
      </items>
    </pivotField>
    <pivotField showAll="0">
      <items count="36">
        <item x="10"/>
        <item x="22"/>
        <item x="11"/>
        <item x="17"/>
        <item x="13"/>
        <item x="31"/>
        <item x="5"/>
        <item x="30"/>
        <item x="28"/>
        <item x="6"/>
        <item x="14"/>
        <item x="21"/>
        <item x="7"/>
        <item x="34"/>
        <item x="20"/>
        <item x="29"/>
        <item x="26"/>
        <item x="18"/>
        <item x="4"/>
        <item x="33"/>
        <item x="19"/>
        <item x="23"/>
        <item x="27"/>
        <item x="9"/>
        <item x="0"/>
        <item x="2"/>
        <item x="32"/>
        <item x="16"/>
        <item x="24"/>
        <item x="25"/>
        <item x="3"/>
        <item x="12"/>
        <item x="8"/>
        <item x="1"/>
        <item x="15"/>
        <item t="default"/>
      </items>
    </pivotField>
    <pivotField showAll="0">
      <items count="521">
        <item x="326"/>
        <item x="310"/>
        <item x="442"/>
        <item x="177"/>
        <item x="452"/>
        <item x="60"/>
        <item x="189"/>
        <item x="343"/>
        <item x="6"/>
        <item x="399"/>
        <item x="32"/>
        <item x="218"/>
        <item x="463"/>
        <item x="366"/>
        <item x="313"/>
        <item x="369"/>
        <item x="24"/>
        <item x="5"/>
        <item x="480"/>
        <item x="145"/>
        <item x="373"/>
        <item x="454"/>
        <item x="329"/>
        <item x="330"/>
        <item x="107"/>
        <item x="134"/>
        <item x="188"/>
        <item x="459"/>
        <item x="446"/>
        <item x="139"/>
        <item x="143"/>
        <item x="166"/>
        <item x="421"/>
        <item x="497"/>
        <item x="414"/>
        <item x="101"/>
        <item x="283"/>
        <item x="469"/>
        <item x="439"/>
        <item x="40"/>
        <item x="294"/>
        <item x="492"/>
        <item x="488"/>
        <item x="293"/>
        <item x="20"/>
        <item x="276"/>
        <item x="12"/>
        <item x="494"/>
        <item x="8"/>
        <item x="248"/>
        <item x="298"/>
        <item x="19"/>
        <item x="212"/>
        <item x="88"/>
        <item x="141"/>
        <item x="148"/>
        <item x="112"/>
        <item x="420"/>
        <item x="106"/>
        <item x="86"/>
        <item x="407"/>
        <item x="274"/>
        <item x="142"/>
        <item x="389"/>
        <item x="216"/>
        <item x="291"/>
        <item x="146"/>
        <item x="227"/>
        <item x="257"/>
        <item x="233"/>
        <item x="219"/>
        <item x="499"/>
        <item x="175"/>
        <item x="180"/>
        <item x="264"/>
        <item x="47"/>
        <item x="431"/>
        <item x="355"/>
        <item x="35"/>
        <item x="28"/>
        <item x="124"/>
        <item x="484"/>
        <item x="100"/>
        <item x="507"/>
        <item x="358"/>
        <item x="97"/>
        <item x="94"/>
        <item x="182"/>
        <item x="265"/>
        <item x="323"/>
        <item x="185"/>
        <item x="404"/>
        <item x="64"/>
        <item x="289"/>
        <item x="424"/>
        <item x="66"/>
        <item x="58"/>
        <item x="56"/>
        <item x="443"/>
        <item x="384"/>
        <item x="428"/>
        <item x="113"/>
        <item x="363"/>
        <item x="444"/>
        <item x="52"/>
        <item x="73"/>
        <item x="282"/>
        <item x="280"/>
        <item x="95"/>
        <item x="21"/>
        <item x="42"/>
        <item x="324"/>
        <item x="220"/>
        <item x="409"/>
        <item x="495"/>
        <item x="441"/>
        <item x="195"/>
        <item x="187"/>
        <item x="315"/>
        <item x="33"/>
        <item x="314"/>
        <item x="481"/>
        <item x="361"/>
        <item x="168"/>
        <item x="68"/>
        <item x="226"/>
        <item x="149"/>
        <item x="37"/>
        <item x="147"/>
        <item x="325"/>
        <item x="215"/>
        <item x="10"/>
        <item x="181"/>
        <item x="411"/>
        <item x="204"/>
        <item x="199"/>
        <item x="125"/>
        <item x="18"/>
        <item x="243"/>
        <item x="202"/>
        <item x="114"/>
        <item x="511"/>
        <item x="296"/>
        <item x="397"/>
        <item x="381"/>
        <item x="473"/>
        <item x="229"/>
        <item x="154"/>
        <item x="77"/>
        <item x="402"/>
        <item x="284"/>
        <item x="3"/>
        <item x="44"/>
        <item x="71"/>
        <item x="49"/>
        <item x="140"/>
        <item x="322"/>
        <item x="81"/>
        <item x="340"/>
        <item x="109"/>
        <item x="17"/>
        <item x="128"/>
        <item x="244"/>
        <item x="377"/>
        <item x="491"/>
        <item x="378"/>
        <item x="150"/>
        <item x="445"/>
        <item x="211"/>
        <item x="415"/>
        <item x="190"/>
        <item x="105"/>
        <item x="238"/>
        <item x="129"/>
        <item x="380"/>
        <item x="103"/>
        <item x="67"/>
        <item x="418"/>
        <item x="29"/>
        <item x="23"/>
        <item x="198"/>
        <item x="228"/>
        <item x="82"/>
        <item x="203"/>
        <item x="193"/>
        <item x="501"/>
        <item x="300"/>
        <item x="278"/>
        <item x="342"/>
        <item x="328"/>
        <item x="345"/>
        <item x="434"/>
        <item x="335"/>
        <item x="400"/>
        <item x="514"/>
        <item x="255"/>
        <item x="239"/>
        <item x="279"/>
        <item x="121"/>
        <item x="429"/>
        <item x="256"/>
        <item x="13"/>
        <item x="272"/>
        <item x="364"/>
        <item x="408"/>
        <item x="223"/>
        <item x="305"/>
        <item x="386"/>
        <item x="130"/>
        <item x="119"/>
        <item x="38"/>
        <item x="83"/>
        <item x="135"/>
        <item x="435"/>
        <item x="410"/>
        <item x="367"/>
        <item x="201"/>
        <item x="36"/>
        <item x="356"/>
        <item x="436"/>
        <item x="451"/>
        <item x="308"/>
        <item x="470"/>
        <item x="15"/>
        <item x="440"/>
        <item x="513"/>
        <item x="22"/>
        <item x="519"/>
        <item x="205"/>
        <item x="365"/>
        <item x="518"/>
        <item x="192"/>
        <item x="347"/>
        <item x="236"/>
        <item x="30"/>
        <item x="254"/>
        <item x="151"/>
        <item x="234"/>
        <item x="472"/>
        <item x="221"/>
        <item x="348"/>
        <item x="517"/>
        <item x="476"/>
        <item x="169"/>
        <item x="115"/>
        <item x="48"/>
        <item x="433"/>
        <item x="388"/>
        <item x="14"/>
        <item x="222"/>
        <item x="259"/>
        <item x="164"/>
        <item x="362"/>
        <item x="417"/>
        <item x="237"/>
        <item x="252"/>
        <item x="457"/>
        <item x="508"/>
        <item x="99"/>
        <item x="401"/>
        <item x="316"/>
        <item x="41"/>
        <item x="288"/>
        <item x="479"/>
        <item x="98"/>
        <item x="262"/>
        <item x="250"/>
        <item x="123"/>
        <item x="498"/>
        <item x="136"/>
        <item x="39"/>
        <item x="85"/>
        <item x="208"/>
        <item x="266"/>
        <item x="413"/>
        <item x="230"/>
        <item x="510"/>
        <item x="376"/>
        <item x="301"/>
        <item x="50"/>
        <item x="406"/>
        <item x="155"/>
        <item x="11"/>
        <item x="290"/>
        <item x="311"/>
        <item x="427"/>
        <item x="176"/>
        <item x="7"/>
        <item x="465"/>
        <item x="390"/>
        <item x="89"/>
        <item x="460"/>
        <item x="327"/>
        <item x="461"/>
        <item x="398"/>
        <item x="483"/>
        <item x="292"/>
        <item x="2"/>
        <item x="93"/>
        <item x="375"/>
        <item x="350"/>
        <item x="271"/>
        <item x="462"/>
        <item x="55"/>
        <item x="416"/>
        <item x="251"/>
        <item x="183"/>
        <item x="303"/>
        <item x="449"/>
        <item x="253"/>
        <item x="505"/>
        <item x="245"/>
        <item x="170"/>
        <item x="285"/>
        <item x="133"/>
        <item x="163"/>
        <item x="346"/>
        <item x="493"/>
        <item x="172"/>
        <item x="371"/>
        <item x="392"/>
        <item x="489"/>
        <item x="160"/>
        <item x="59"/>
        <item x="419"/>
        <item x="468"/>
        <item x="214"/>
        <item x="16"/>
        <item x="74"/>
        <item x="171"/>
        <item x="359"/>
        <item x="118"/>
        <item x="487"/>
        <item x="232"/>
        <item x="240"/>
        <item x="515"/>
        <item x="167"/>
        <item x="332"/>
        <item x="334"/>
        <item x="490"/>
        <item x="79"/>
        <item x="235"/>
        <item x="349"/>
        <item x="370"/>
        <item x="104"/>
        <item x="477"/>
        <item x="466"/>
        <item x="403"/>
        <item x="351"/>
        <item x="261"/>
        <item x="430"/>
        <item x="437"/>
        <item x="391"/>
        <item x="412"/>
        <item x="179"/>
        <item x="447"/>
        <item x="242"/>
        <item x="90"/>
        <item x="200"/>
        <item x="360"/>
        <item x="394"/>
        <item x="504"/>
        <item x="516"/>
        <item x="0"/>
        <item x="509"/>
        <item x="341"/>
        <item x="379"/>
        <item x="69"/>
        <item x="72"/>
        <item x="84"/>
        <item x="260"/>
        <item x="474"/>
        <item x="425"/>
        <item x="241"/>
        <item x="70"/>
        <item x="76"/>
        <item x="196"/>
        <item x="131"/>
        <item x="458"/>
        <item x="353"/>
        <item x="309"/>
        <item x="287"/>
        <item x="455"/>
        <item x="302"/>
        <item x="75"/>
        <item x="496"/>
        <item x="31"/>
        <item x="339"/>
        <item x="26"/>
        <item x="178"/>
        <item x="57"/>
        <item x="102"/>
        <item x="357"/>
        <item x="306"/>
        <item x="108"/>
        <item x="51"/>
        <item x="224"/>
        <item x="503"/>
        <item x="165"/>
        <item x="92"/>
        <item x="475"/>
        <item x="482"/>
        <item x="158"/>
        <item x="512"/>
        <item x="299"/>
        <item x="34"/>
        <item x="157"/>
        <item x="312"/>
        <item x="426"/>
        <item x="173"/>
        <item x="485"/>
        <item x="9"/>
        <item x="405"/>
        <item x="213"/>
        <item x="46"/>
        <item x="27"/>
        <item x="354"/>
        <item x="116"/>
        <item x="320"/>
        <item x="194"/>
        <item x="210"/>
        <item x="295"/>
        <item x="385"/>
        <item x="319"/>
        <item x="464"/>
        <item x="438"/>
        <item x="258"/>
        <item x="336"/>
        <item x="43"/>
        <item x="277"/>
        <item x="111"/>
        <item x="450"/>
        <item x="197"/>
        <item x="162"/>
        <item x="246"/>
        <item x="62"/>
        <item x="161"/>
        <item x="268"/>
        <item x="80"/>
        <item x="78"/>
        <item x="269"/>
        <item x="126"/>
        <item x="317"/>
        <item x="209"/>
        <item x="247"/>
        <item x="387"/>
        <item x="110"/>
        <item x="395"/>
        <item x="231"/>
        <item x="422"/>
        <item x="456"/>
        <item x="372"/>
        <item x="467"/>
        <item x="45"/>
        <item x="186"/>
        <item x="132"/>
        <item x="137"/>
        <item x="65"/>
        <item x="502"/>
        <item x="382"/>
        <item x="267"/>
        <item x="286"/>
        <item x="333"/>
        <item x="453"/>
        <item x="270"/>
        <item x="217"/>
        <item x="53"/>
        <item x="1"/>
        <item x="225"/>
        <item x="91"/>
        <item x="61"/>
        <item x="206"/>
        <item x="249"/>
        <item x="96"/>
        <item x="337"/>
        <item x="321"/>
        <item x="432"/>
        <item x="152"/>
        <item x="54"/>
        <item x="117"/>
        <item x="368"/>
        <item x="281"/>
        <item x="207"/>
        <item x="275"/>
        <item x="156"/>
        <item x="471"/>
        <item x="263"/>
        <item x="307"/>
        <item x="344"/>
        <item x="500"/>
        <item x="138"/>
        <item x="63"/>
        <item x="273"/>
        <item x="304"/>
        <item x="184"/>
        <item x="120"/>
        <item x="331"/>
        <item x="374"/>
        <item x="423"/>
        <item x="153"/>
        <item x="159"/>
        <item x="383"/>
        <item x="448"/>
        <item x="122"/>
        <item x="486"/>
        <item x="191"/>
        <item x="318"/>
        <item x="352"/>
        <item x="174"/>
        <item x="25"/>
        <item x="4"/>
        <item x="338"/>
        <item x="506"/>
        <item x="396"/>
        <item x="393"/>
        <item x="478"/>
        <item x="87"/>
        <item x="297"/>
        <item x="127"/>
        <item x="144"/>
        <item t="default"/>
      </items>
    </pivotField>
    <pivotField showAll="0"/>
    <pivotField numFmtId="165" showAll="0"/>
    <pivotField numFmtId="14" showAll="0"/>
    <pivotField showAll="0">
      <items count="4">
        <item x="1"/>
        <item x="2"/>
        <item x="0"/>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showAll="0"/>
    <pivotField showAll="0"/>
    <pivotField showAll="0"/>
    <pivotField numFmtId="14" showAll="0">
      <items count="565">
        <item x="94"/>
        <item x="92"/>
        <item x="79"/>
        <item x="2"/>
        <item x="97"/>
        <item x="20"/>
        <item x="40"/>
        <item x="90"/>
        <item x="91"/>
        <item x="7"/>
        <item x="85"/>
        <item x="98"/>
        <item x="49"/>
        <item x="54"/>
        <item x="39"/>
        <item x="36"/>
        <item x="89"/>
        <item x="78"/>
        <item x="9"/>
        <item x="69"/>
        <item x="76"/>
        <item x="13"/>
        <item x="64"/>
        <item x="15"/>
        <item x="52"/>
        <item x="50"/>
        <item x="35"/>
        <item x="70"/>
        <item x="87"/>
        <item x="32"/>
        <item x="0"/>
        <item x="3"/>
        <item x="95"/>
        <item x="22"/>
        <item x="53"/>
        <item x="63"/>
        <item x="33"/>
        <item x="43"/>
        <item x="58"/>
        <item x="4"/>
        <item x="72"/>
        <item x="11"/>
        <item x="23"/>
        <item x="57"/>
        <item x="10"/>
        <item x="68"/>
        <item x="31"/>
        <item x="42"/>
        <item x="65"/>
        <item x="59"/>
        <item x="71"/>
        <item x="34"/>
        <item x="12"/>
        <item x="88"/>
        <item x="61"/>
        <item x="46"/>
        <item x="81"/>
        <item x="93"/>
        <item x="74"/>
        <item x="73"/>
        <item x="38"/>
        <item x="17"/>
        <item x="6"/>
        <item x="21"/>
        <item x="47"/>
        <item x="62"/>
        <item x="18"/>
        <item x="25"/>
        <item x="41"/>
        <item x="30"/>
        <item x="86"/>
        <item x="16"/>
        <item x="27"/>
        <item x="48"/>
        <item x="28"/>
        <item x="83"/>
        <item x="5"/>
        <item x="77"/>
        <item x="8"/>
        <item x="19"/>
        <item x="1"/>
        <item x="84"/>
        <item x="51"/>
        <item x="55"/>
        <item x="406"/>
        <item x="96"/>
        <item x="235"/>
        <item x="322"/>
        <item x="372"/>
        <item x="442"/>
        <item x="256"/>
        <item x="413"/>
        <item x="113"/>
        <item x="67"/>
        <item x="180"/>
        <item x="231"/>
        <item x="303"/>
        <item x="281"/>
        <item x="210"/>
        <item x="170"/>
        <item x="24"/>
        <item x="531"/>
        <item x="403"/>
        <item x="108"/>
        <item x="173"/>
        <item x="548"/>
        <item x="425"/>
        <item x="522"/>
        <item x="473"/>
        <item x="335"/>
        <item x="333"/>
        <item x="446"/>
        <item x="532"/>
        <item x="251"/>
        <item x="285"/>
        <item x="435"/>
        <item x="496"/>
        <item x="60"/>
        <item x="321"/>
        <item x="334"/>
        <item x="452"/>
        <item x="506"/>
        <item x="409"/>
        <item x="274"/>
        <item x="26"/>
        <item x="134"/>
        <item x="82"/>
        <item x="37"/>
        <item x="261"/>
        <item x="14"/>
        <item x="517"/>
        <item x="353"/>
        <item x="421"/>
        <item x="266"/>
        <item x="316"/>
        <item x="194"/>
        <item x="314"/>
        <item x="486"/>
        <item x="541"/>
        <item x="157"/>
        <item x="29"/>
        <item x="318"/>
        <item x="375"/>
        <item x="459"/>
        <item x="543"/>
        <item x="66"/>
        <item x="465"/>
        <item x="552"/>
        <item x="487"/>
        <item x="195"/>
        <item x="138"/>
        <item x="313"/>
        <item x="362"/>
        <item x="447"/>
        <item x="174"/>
        <item x="460"/>
        <item x="179"/>
        <item x="391"/>
        <item x="80"/>
        <item x="239"/>
        <item x="505"/>
        <item x="555"/>
        <item x="75"/>
        <item x="254"/>
        <item x="45"/>
        <item x="365"/>
        <item x="390"/>
        <item x="374"/>
        <item x="348"/>
        <item x="221"/>
        <item x="115"/>
        <item x="56"/>
        <item x="183"/>
        <item x="407"/>
        <item x="402"/>
        <item x="253"/>
        <item x="244"/>
        <item x="520"/>
        <item x="309"/>
        <item x="228"/>
        <item x="512"/>
        <item x="366"/>
        <item x="342"/>
        <item x="434"/>
        <item x="229"/>
        <item x="319"/>
        <item x="538"/>
        <item x="123"/>
        <item x="105"/>
        <item x="500"/>
        <item x="410"/>
        <item x="363"/>
        <item x="236"/>
        <item x="557"/>
        <item x="397"/>
        <item x="293"/>
        <item x="396"/>
        <item x="158"/>
        <item x="439"/>
        <item x="463"/>
        <item x="404"/>
        <item x="222"/>
        <item x="384"/>
        <item x="143"/>
        <item x="558"/>
        <item x="146"/>
        <item x="193"/>
        <item x="559"/>
        <item x="330"/>
        <item x="262"/>
        <item x="423"/>
        <item x="245"/>
        <item x="411"/>
        <item x="192"/>
        <item x="340"/>
        <item x="356"/>
        <item x="323"/>
        <item x="203"/>
        <item x="441"/>
        <item x="172"/>
        <item x="419"/>
        <item x="508"/>
        <item x="556"/>
        <item x="530"/>
        <item x="175"/>
        <item x="269"/>
        <item x="477"/>
        <item x="540"/>
        <item x="44"/>
        <item x="511"/>
        <item x="151"/>
        <item x="492"/>
        <item x="326"/>
        <item x="428"/>
        <item x="308"/>
        <item x="450"/>
        <item x="471"/>
        <item x="132"/>
        <item x="198"/>
        <item x="206"/>
        <item x="213"/>
        <item x="145"/>
        <item x="257"/>
        <item x="533"/>
        <item x="412"/>
        <item x="545"/>
        <item x="501"/>
        <item x="112"/>
        <item x="136"/>
        <item x="527"/>
        <item x="241"/>
        <item x="311"/>
        <item x="499"/>
        <item x="250"/>
        <item x="523"/>
        <item x="490"/>
        <item x="242"/>
        <item x="276"/>
        <item x="237"/>
        <item x="347"/>
        <item x="408"/>
        <item x="346"/>
        <item x="455"/>
        <item x="489"/>
        <item x="509"/>
        <item x="364"/>
        <item x="155"/>
        <item x="103"/>
        <item x="553"/>
        <item x="212"/>
        <item x="279"/>
        <item x="457"/>
        <item x="535"/>
        <item x="369"/>
        <item x="177"/>
        <item x="427"/>
        <item x="264"/>
        <item x="484"/>
        <item x="160"/>
        <item x="121"/>
        <item x="176"/>
        <item x="493"/>
        <item x="202"/>
        <item x="186"/>
        <item x="265"/>
        <item x="287"/>
        <item x="218"/>
        <item x="327"/>
        <item x="142"/>
        <item x="124"/>
        <item x="127"/>
        <item x="300"/>
        <item x="166"/>
        <item x="178"/>
        <item x="332"/>
        <item x="528"/>
        <item x="401"/>
        <item x="329"/>
        <item x="357"/>
        <item x="225"/>
        <item x="377"/>
        <item x="306"/>
        <item x="355"/>
        <item x="360"/>
        <item x="467"/>
        <item x="246"/>
        <item x="444"/>
        <item x="392"/>
        <item x="325"/>
        <item x="131"/>
        <item x="135"/>
        <item x="352"/>
        <item x="117"/>
        <item x="302"/>
        <item x="149"/>
        <item x="376"/>
        <item x="288"/>
        <item x="292"/>
        <item x="315"/>
        <item x="440"/>
        <item x="109"/>
        <item x="383"/>
        <item x="282"/>
        <item x="100"/>
        <item x="182"/>
        <item x="525"/>
        <item x="453"/>
        <item x="129"/>
        <item x="125"/>
        <item x="171"/>
        <item x="211"/>
        <item x="102"/>
        <item x="448"/>
        <item x="217"/>
        <item x="554"/>
        <item x="370"/>
        <item x="191"/>
        <item x="443"/>
        <item x="118"/>
        <item x="294"/>
        <item x="414"/>
        <item x="350"/>
        <item x="529"/>
        <item x="331"/>
        <item x="153"/>
        <item x="111"/>
        <item x="99"/>
        <item x="185"/>
        <item x="526"/>
        <item x="133"/>
        <item x="415"/>
        <item x="214"/>
        <item x="106"/>
        <item x="388"/>
        <item x="468"/>
        <item x="429"/>
        <item x="101"/>
        <item x="243"/>
        <item x="291"/>
        <item x="273"/>
        <item x="343"/>
        <item x="297"/>
        <item x="387"/>
        <item x="272"/>
        <item x="456"/>
        <item x="504"/>
        <item x="422"/>
        <item x="208"/>
        <item x="144"/>
        <item x="399"/>
        <item x="147"/>
        <item x="137"/>
        <item x="482"/>
        <item x="424"/>
        <item x="141"/>
        <item x="386"/>
        <item x="120"/>
        <item x="278"/>
        <item x="510"/>
        <item x="317"/>
        <item x="562"/>
        <item x="299"/>
        <item x="268"/>
        <item x="371"/>
        <item x="289"/>
        <item x="338"/>
        <item x="255"/>
        <item x="542"/>
        <item x="122"/>
        <item x="324"/>
        <item x="307"/>
        <item x="426"/>
        <item x="150"/>
        <item x="197"/>
        <item x="547"/>
        <item x="275"/>
        <item x="436"/>
        <item x="188"/>
        <item x="219"/>
        <item x="380"/>
        <item x="563"/>
        <item x="312"/>
        <item x="491"/>
        <item x="437"/>
        <item x="359"/>
        <item x="405"/>
        <item x="514"/>
        <item x="378"/>
        <item x="126"/>
        <item x="296"/>
        <item x="521"/>
        <item x="420"/>
        <item x="207"/>
        <item x="156"/>
        <item x="161"/>
        <item x="209"/>
        <item x="480"/>
        <item x="216"/>
        <item x="349"/>
        <item x="169"/>
        <item x="247"/>
        <item x="284"/>
        <item x="337"/>
        <item x="451"/>
        <item x="267"/>
        <item x="164"/>
        <item x="454"/>
        <item x="479"/>
        <item x="431"/>
        <item x="498"/>
        <item x="400"/>
        <item x="152"/>
        <item x="260"/>
        <item x="238"/>
        <item x="361"/>
        <item x="524"/>
        <item x="418"/>
        <item x="204"/>
        <item x="283"/>
        <item x="469"/>
        <item x="240"/>
        <item x="516"/>
        <item x="495"/>
        <item x="252"/>
        <item x="549"/>
        <item x="351"/>
        <item x="546"/>
        <item x="277"/>
        <item x="165"/>
        <item x="249"/>
        <item x="181"/>
        <item x="232"/>
        <item x="305"/>
        <item x="367"/>
        <item x="162"/>
        <item x="502"/>
        <item x="368"/>
        <item x="320"/>
        <item x="464"/>
        <item x="230"/>
        <item x="536"/>
        <item x="233"/>
        <item x="167"/>
        <item x="220"/>
        <item x="382"/>
        <item x="474"/>
        <item x="226"/>
        <item x="518"/>
        <item x="534"/>
        <item x="438"/>
        <item x="433"/>
        <item x="290"/>
        <item x="215"/>
        <item x="248"/>
        <item x="139"/>
        <item x="462"/>
        <item x="485"/>
        <item x="449"/>
        <item x="280"/>
        <item x="561"/>
        <item x="271"/>
        <item x="224"/>
        <item x="301"/>
        <item x="341"/>
        <item x="107"/>
        <item x="270"/>
        <item x="430"/>
        <item x="148"/>
        <item x="304"/>
        <item x="196"/>
        <item x="223"/>
        <item x="200"/>
        <item x="515"/>
        <item x="466"/>
        <item x="519"/>
        <item x="381"/>
        <item x="385"/>
        <item x="476"/>
        <item x="497"/>
        <item x="551"/>
        <item x="398"/>
        <item x="130"/>
        <item x="201"/>
        <item x="336"/>
        <item x="507"/>
        <item x="537"/>
        <item x="472"/>
        <item x="373"/>
        <item x="258"/>
        <item x="154"/>
        <item x="344"/>
        <item x="163"/>
        <item x="184"/>
        <item x="140"/>
        <item x="234"/>
        <item x="110"/>
        <item x="354"/>
        <item x="416"/>
        <item x="259"/>
        <item x="128"/>
        <item x="478"/>
        <item x="358"/>
        <item x="488"/>
        <item x="417"/>
        <item x="550"/>
        <item x="395"/>
        <item x="539"/>
        <item x="119"/>
        <item x="379"/>
        <item x="286"/>
        <item x="445"/>
        <item x="458"/>
        <item x="389"/>
        <item x="114"/>
        <item x="560"/>
        <item x="189"/>
        <item x="159"/>
        <item x="345"/>
        <item x="470"/>
        <item x="263"/>
        <item x="393"/>
        <item x="295"/>
        <item x="481"/>
        <item x="513"/>
        <item x="310"/>
        <item x="494"/>
        <item x="190"/>
        <item x="328"/>
        <item x="432"/>
        <item x="475"/>
        <item x="227"/>
        <item x="503"/>
        <item x="394"/>
        <item x="544"/>
        <item x="187"/>
        <item x="116"/>
        <item x="298"/>
        <item x="104"/>
        <item x="461"/>
        <item x="199"/>
        <item x="168"/>
        <item x="483"/>
        <item x="205"/>
        <item x="339"/>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22"/>
  </rowFields>
  <rowItems count="4">
    <i>
      <x/>
    </i>
    <i>
      <x v="1"/>
    </i>
    <i>
      <x v="2"/>
    </i>
    <i t="grand">
      <x/>
    </i>
  </rowItems>
  <colItems count="1">
    <i/>
  </colItems>
  <dataFields count="1">
    <dataField name="Count of EmpID" fld="0" subtotal="count" baseField="5" baseItem="0"/>
  </dataFields>
  <formats count="6">
    <format dxfId="37">
      <pivotArea type="all" dataOnly="0" outline="0" fieldPosition="0"/>
    </format>
    <format dxfId="36">
      <pivotArea outline="0" collapsedLevelsAreSubtotals="1" fieldPosition="0"/>
    </format>
    <format dxfId="35">
      <pivotArea field="22" type="button" dataOnly="0" labelOnly="1" outline="0" axis="axisRow" fieldPosition="0"/>
    </format>
    <format dxfId="34">
      <pivotArea dataOnly="0" labelOnly="1" fieldPosition="0">
        <references count="1">
          <reference field="22" count="0"/>
        </references>
      </pivotArea>
    </format>
    <format dxfId="33">
      <pivotArea dataOnly="0" labelOnly="1" grandRow="1" outline="0" fieldPosition="0"/>
    </format>
    <format dxfId="3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02F9BB-3A09-4AA8-8EEC-15F683286B8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74:K86" firstHeaderRow="1" firstDataRow="1" firstDataCol="1"/>
  <pivotFields count="36">
    <pivotField dataField="1" showAll="0"/>
    <pivotField showAll="0"/>
    <pivotField showAll="0"/>
    <pivotField showAll="0"/>
    <pivotField showAll="0">
      <items count="3">
        <item x="1"/>
        <item x="0"/>
        <item t="default"/>
      </items>
    </pivotField>
    <pivotField showAll="0">
      <items count="12">
        <item x="3"/>
        <item x="5"/>
        <item x="9"/>
        <item x="7"/>
        <item x="6"/>
        <item x="1"/>
        <item x="10"/>
        <item x="0"/>
        <item x="8"/>
        <item x="4"/>
        <item x="2"/>
        <item t="default"/>
      </items>
    </pivotField>
    <pivotField showAll="0">
      <items count="36">
        <item x="10"/>
        <item x="22"/>
        <item x="11"/>
        <item x="17"/>
        <item x="13"/>
        <item x="31"/>
        <item x="5"/>
        <item x="30"/>
        <item x="28"/>
        <item x="6"/>
        <item x="14"/>
        <item x="21"/>
        <item x="7"/>
        <item x="34"/>
        <item x="20"/>
        <item x="29"/>
        <item x="26"/>
        <item x="18"/>
        <item x="4"/>
        <item x="33"/>
        <item x="19"/>
        <item x="23"/>
        <item x="27"/>
        <item x="9"/>
        <item x="0"/>
        <item x="2"/>
        <item x="32"/>
        <item x="16"/>
        <item x="24"/>
        <item x="25"/>
        <item x="3"/>
        <item x="12"/>
        <item x="8"/>
        <item x="1"/>
        <item x="15"/>
        <item t="default"/>
      </items>
    </pivotField>
    <pivotField showAll="0">
      <items count="521">
        <item x="326"/>
        <item x="310"/>
        <item x="442"/>
        <item x="177"/>
        <item x="452"/>
        <item x="60"/>
        <item x="189"/>
        <item x="343"/>
        <item x="6"/>
        <item x="399"/>
        <item x="32"/>
        <item x="218"/>
        <item x="463"/>
        <item x="366"/>
        <item x="313"/>
        <item x="369"/>
        <item x="24"/>
        <item x="5"/>
        <item x="480"/>
        <item x="145"/>
        <item x="373"/>
        <item x="454"/>
        <item x="329"/>
        <item x="330"/>
        <item x="107"/>
        <item x="134"/>
        <item x="188"/>
        <item x="459"/>
        <item x="446"/>
        <item x="139"/>
        <item x="143"/>
        <item x="166"/>
        <item x="421"/>
        <item x="497"/>
        <item x="414"/>
        <item x="101"/>
        <item x="283"/>
        <item x="469"/>
        <item x="439"/>
        <item x="40"/>
        <item x="294"/>
        <item x="492"/>
        <item x="488"/>
        <item x="293"/>
        <item x="20"/>
        <item x="276"/>
        <item x="12"/>
        <item x="494"/>
        <item x="8"/>
        <item x="248"/>
        <item x="298"/>
        <item x="19"/>
        <item x="212"/>
        <item x="88"/>
        <item x="141"/>
        <item x="148"/>
        <item x="112"/>
        <item x="420"/>
        <item x="106"/>
        <item x="86"/>
        <item x="407"/>
        <item x="274"/>
        <item x="142"/>
        <item x="389"/>
        <item x="216"/>
        <item x="291"/>
        <item x="146"/>
        <item x="227"/>
        <item x="257"/>
        <item x="233"/>
        <item x="219"/>
        <item x="499"/>
        <item x="175"/>
        <item x="180"/>
        <item x="264"/>
        <item x="47"/>
        <item x="431"/>
        <item x="355"/>
        <item x="35"/>
        <item x="28"/>
        <item x="124"/>
        <item x="484"/>
        <item x="100"/>
        <item x="507"/>
        <item x="358"/>
        <item x="97"/>
        <item x="94"/>
        <item x="182"/>
        <item x="265"/>
        <item x="323"/>
        <item x="185"/>
        <item x="404"/>
        <item x="64"/>
        <item x="289"/>
        <item x="424"/>
        <item x="66"/>
        <item x="58"/>
        <item x="56"/>
        <item x="443"/>
        <item x="384"/>
        <item x="428"/>
        <item x="113"/>
        <item x="363"/>
        <item x="444"/>
        <item x="52"/>
        <item x="73"/>
        <item x="282"/>
        <item x="280"/>
        <item x="95"/>
        <item x="21"/>
        <item x="42"/>
        <item x="324"/>
        <item x="220"/>
        <item x="409"/>
        <item x="495"/>
        <item x="441"/>
        <item x="195"/>
        <item x="187"/>
        <item x="315"/>
        <item x="33"/>
        <item x="314"/>
        <item x="481"/>
        <item x="361"/>
        <item x="168"/>
        <item x="68"/>
        <item x="226"/>
        <item x="149"/>
        <item x="37"/>
        <item x="147"/>
        <item x="325"/>
        <item x="215"/>
        <item x="10"/>
        <item x="181"/>
        <item x="411"/>
        <item x="204"/>
        <item x="199"/>
        <item x="125"/>
        <item x="18"/>
        <item x="243"/>
        <item x="202"/>
        <item x="114"/>
        <item x="511"/>
        <item x="296"/>
        <item x="397"/>
        <item x="381"/>
        <item x="473"/>
        <item x="229"/>
        <item x="154"/>
        <item x="77"/>
        <item x="402"/>
        <item x="284"/>
        <item x="3"/>
        <item x="44"/>
        <item x="71"/>
        <item x="49"/>
        <item x="140"/>
        <item x="322"/>
        <item x="81"/>
        <item x="340"/>
        <item x="109"/>
        <item x="17"/>
        <item x="128"/>
        <item x="244"/>
        <item x="377"/>
        <item x="491"/>
        <item x="378"/>
        <item x="150"/>
        <item x="445"/>
        <item x="211"/>
        <item x="415"/>
        <item x="190"/>
        <item x="105"/>
        <item x="238"/>
        <item x="129"/>
        <item x="380"/>
        <item x="103"/>
        <item x="67"/>
        <item x="418"/>
        <item x="29"/>
        <item x="23"/>
        <item x="198"/>
        <item x="228"/>
        <item x="82"/>
        <item x="203"/>
        <item x="193"/>
        <item x="501"/>
        <item x="300"/>
        <item x="278"/>
        <item x="342"/>
        <item x="328"/>
        <item x="345"/>
        <item x="434"/>
        <item x="335"/>
        <item x="400"/>
        <item x="514"/>
        <item x="255"/>
        <item x="239"/>
        <item x="279"/>
        <item x="121"/>
        <item x="429"/>
        <item x="256"/>
        <item x="13"/>
        <item x="272"/>
        <item x="364"/>
        <item x="408"/>
        <item x="223"/>
        <item x="305"/>
        <item x="386"/>
        <item x="130"/>
        <item x="119"/>
        <item x="38"/>
        <item x="83"/>
        <item x="135"/>
        <item x="435"/>
        <item x="410"/>
        <item x="367"/>
        <item x="201"/>
        <item x="36"/>
        <item x="356"/>
        <item x="436"/>
        <item x="451"/>
        <item x="308"/>
        <item x="470"/>
        <item x="15"/>
        <item x="440"/>
        <item x="513"/>
        <item x="22"/>
        <item x="519"/>
        <item x="205"/>
        <item x="365"/>
        <item x="518"/>
        <item x="192"/>
        <item x="347"/>
        <item x="236"/>
        <item x="30"/>
        <item x="254"/>
        <item x="151"/>
        <item x="234"/>
        <item x="472"/>
        <item x="221"/>
        <item x="348"/>
        <item x="517"/>
        <item x="476"/>
        <item x="169"/>
        <item x="115"/>
        <item x="48"/>
        <item x="433"/>
        <item x="388"/>
        <item x="14"/>
        <item x="222"/>
        <item x="259"/>
        <item x="164"/>
        <item x="362"/>
        <item x="417"/>
        <item x="237"/>
        <item x="252"/>
        <item x="457"/>
        <item x="508"/>
        <item x="99"/>
        <item x="401"/>
        <item x="316"/>
        <item x="41"/>
        <item x="288"/>
        <item x="479"/>
        <item x="98"/>
        <item x="262"/>
        <item x="250"/>
        <item x="123"/>
        <item x="498"/>
        <item x="136"/>
        <item x="39"/>
        <item x="85"/>
        <item x="208"/>
        <item x="266"/>
        <item x="413"/>
        <item x="230"/>
        <item x="510"/>
        <item x="376"/>
        <item x="301"/>
        <item x="50"/>
        <item x="406"/>
        <item x="155"/>
        <item x="11"/>
        <item x="290"/>
        <item x="311"/>
        <item x="427"/>
        <item x="176"/>
        <item x="7"/>
        <item x="465"/>
        <item x="390"/>
        <item x="89"/>
        <item x="460"/>
        <item x="327"/>
        <item x="461"/>
        <item x="398"/>
        <item x="483"/>
        <item x="292"/>
        <item x="2"/>
        <item x="93"/>
        <item x="375"/>
        <item x="350"/>
        <item x="271"/>
        <item x="462"/>
        <item x="55"/>
        <item x="416"/>
        <item x="251"/>
        <item x="183"/>
        <item x="303"/>
        <item x="449"/>
        <item x="253"/>
        <item x="505"/>
        <item x="245"/>
        <item x="170"/>
        <item x="285"/>
        <item x="133"/>
        <item x="163"/>
        <item x="346"/>
        <item x="493"/>
        <item x="172"/>
        <item x="371"/>
        <item x="392"/>
        <item x="489"/>
        <item x="160"/>
        <item x="59"/>
        <item x="419"/>
        <item x="468"/>
        <item x="214"/>
        <item x="16"/>
        <item x="74"/>
        <item x="171"/>
        <item x="359"/>
        <item x="118"/>
        <item x="487"/>
        <item x="232"/>
        <item x="240"/>
        <item x="515"/>
        <item x="167"/>
        <item x="332"/>
        <item x="334"/>
        <item x="490"/>
        <item x="79"/>
        <item x="235"/>
        <item x="349"/>
        <item x="370"/>
        <item x="104"/>
        <item x="477"/>
        <item x="466"/>
        <item x="403"/>
        <item x="351"/>
        <item x="261"/>
        <item x="430"/>
        <item x="437"/>
        <item x="391"/>
        <item x="412"/>
        <item x="179"/>
        <item x="447"/>
        <item x="242"/>
        <item x="90"/>
        <item x="200"/>
        <item x="360"/>
        <item x="394"/>
        <item x="504"/>
        <item x="516"/>
        <item x="0"/>
        <item x="509"/>
        <item x="341"/>
        <item x="379"/>
        <item x="69"/>
        <item x="72"/>
        <item x="84"/>
        <item x="260"/>
        <item x="474"/>
        <item x="425"/>
        <item x="241"/>
        <item x="70"/>
        <item x="76"/>
        <item x="196"/>
        <item x="131"/>
        <item x="458"/>
        <item x="353"/>
        <item x="309"/>
        <item x="287"/>
        <item x="455"/>
        <item x="302"/>
        <item x="75"/>
        <item x="496"/>
        <item x="31"/>
        <item x="339"/>
        <item x="26"/>
        <item x="178"/>
        <item x="57"/>
        <item x="102"/>
        <item x="357"/>
        <item x="306"/>
        <item x="108"/>
        <item x="51"/>
        <item x="224"/>
        <item x="503"/>
        <item x="165"/>
        <item x="92"/>
        <item x="475"/>
        <item x="482"/>
        <item x="158"/>
        <item x="512"/>
        <item x="299"/>
        <item x="34"/>
        <item x="157"/>
        <item x="312"/>
        <item x="426"/>
        <item x="173"/>
        <item x="485"/>
        <item x="9"/>
        <item x="405"/>
        <item x="213"/>
        <item x="46"/>
        <item x="27"/>
        <item x="354"/>
        <item x="116"/>
        <item x="320"/>
        <item x="194"/>
        <item x="210"/>
        <item x="295"/>
        <item x="385"/>
        <item x="319"/>
        <item x="464"/>
        <item x="438"/>
        <item x="258"/>
        <item x="336"/>
        <item x="43"/>
        <item x="277"/>
        <item x="111"/>
        <item x="450"/>
        <item x="197"/>
        <item x="162"/>
        <item x="246"/>
        <item x="62"/>
        <item x="161"/>
        <item x="268"/>
        <item x="80"/>
        <item x="78"/>
        <item x="269"/>
        <item x="126"/>
        <item x="317"/>
        <item x="209"/>
        <item x="247"/>
        <item x="387"/>
        <item x="110"/>
        <item x="395"/>
        <item x="231"/>
        <item x="422"/>
        <item x="456"/>
        <item x="372"/>
        <item x="467"/>
        <item x="45"/>
        <item x="186"/>
        <item x="132"/>
        <item x="137"/>
        <item x="65"/>
        <item x="502"/>
        <item x="382"/>
        <item x="267"/>
        <item x="286"/>
        <item x="333"/>
        <item x="453"/>
        <item x="270"/>
        <item x="217"/>
        <item x="53"/>
        <item x="1"/>
        <item x="225"/>
        <item x="91"/>
        <item x="61"/>
        <item x="206"/>
        <item x="249"/>
        <item x="96"/>
        <item x="337"/>
        <item x="321"/>
        <item x="432"/>
        <item x="152"/>
        <item x="54"/>
        <item x="117"/>
        <item x="368"/>
        <item x="281"/>
        <item x="207"/>
        <item x="275"/>
        <item x="156"/>
        <item x="471"/>
        <item x="263"/>
        <item x="307"/>
        <item x="344"/>
        <item x="500"/>
        <item x="138"/>
        <item x="63"/>
        <item x="273"/>
        <item x="304"/>
        <item x="184"/>
        <item x="120"/>
        <item x="331"/>
        <item x="374"/>
        <item x="423"/>
        <item x="153"/>
        <item x="159"/>
        <item x="383"/>
        <item x="448"/>
        <item x="122"/>
        <item x="486"/>
        <item x="191"/>
        <item x="318"/>
        <item x="352"/>
        <item x="174"/>
        <item x="25"/>
        <item x="4"/>
        <item x="338"/>
        <item x="506"/>
        <item x="396"/>
        <item x="393"/>
        <item x="478"/>
        <item x="87"/>
        <item x="297"/>
        <item x="127"/>
        <item x="144"/>
        <item t="default"/>
      </items>
    </pivotField>
    <pivotField showAll="0"/>
    <pivotField numFmtId="165" showAll="0"/>
    <pivotField numFmtId="14" showAll="0"/>
    <pivotField showAll="0">
      <items count="4">
        <item x="1"/>
        <item x="2"/>
        <item x="0"/>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showAll="0"/>
    <pivotField showAll="0"/>
    <pivotField showAll="0"/>
    <pivotField numFmtId="14" showAll="0">
      <items count="565">
        <item x="94"/>
        <item x="92"/>
        <item x="79"/>
        <item x="2"/>
        <item x="97"/>
        <item x="20"/>
        <item x="40"/>
        <item x="90"/>
        <item x="91"/>
        <item x="7"/>
        <item x="85"/>
        <item x="98"/>
        <item x="49"/>
        <item x="54"/>
        <item x="39"/>
        <item x="36"/>
        <item x="89"/>
        <item x="78"/>
        <item x="9"/>
        <item x="69"/>
        <item x="76"/>
        <item x="13"/>
        <item x="64"/>
        <item x="15"/>
        <item x="52"/>
        <item x="50"/>
        <item x="35"/>
        <item x="70"/>
        <item x="87"/>
        <item x="32"/>
        <item x="0"/>
        <item x="3"/>
        <item x="95"/>
        <item x="22"/>
        <item x="53"/>
        <item x="63"/>
        <item x="33"/>
        <item x="43"/>
        <item x="58"/>
        <item x="4"/>
        <item x="72"/>
        <item x="11"/>
        <item x="23"/>
        <item x="57"/>
        <item x="10"/>
        <item x="68"/>
        <item x="31"/>
        <item x="42"/>
        <item x="65"/>
        <item x="59"/>
        <item x="71"/>
        <item x="34"/>
        <item x="12"/>
        <item x="88"/>
        <item x="61"/>
        <item x="46"/>
        <item x="81"/>
        <item x="93"/>
        <item x="74"/>
        <item x="73"/>
        <item x="38"/>
        <item x="17"/>
        <item x="6"/>
        <item x="21"/>
        <item x="47"/>
        <item x="62"/>
        <item x="18"/>
        <item x="25"/>
        <item x="41"/>
        <item x="30"/>
        <item x="86"/>
        <item x="16"/>
        <item x="27"/>
        <item x="48"/>
        <item x="28"/>
        <item x="83"/>
        <item x="5"/>
        <item x="77"/>
        <item x="8"/>
        <item x="19"/>
        <item x="1"/>
        <item x="84"/>
        <item x="51"/>
        <item x="55"/>
        <item x="406"/>
        <item x="96"/>
        <item x="235"/>
        <item x="322"/>
        <item x="372"/>
        <item x="442"/>
        <item x="256"/>
        <item x="413"/>
        <item x="113"/>
        <item x="67"/>
        <item x="180"/>
        <item x="231"/>
        <item x="303"/>
        <item x="281"/>
        <item x="210"/>
        <item x="170"/>
        <item x="24"/>
        <item x="531"/>
        <item x="403"/>
        <item x="108"/>
        <item x="173"/>
        <item x="548"/>
        <item x="425"/>
        <item x="522"/>
        <item x="473"/>
        <item x="335"/>
        <item x="333"/>
        <item x="446"/>
        <item x="532"/>
        <item x="251"/>
        <item x="285"/>
        <item x="435"/>
        <item x="496"/>
        <item x="60"/>
        <item x="321"/>
        <item x="334"/>
        <item x="452"/>
        <item x="506"/>
        <item x="409"/>
        <item x="274"/>
        <item x="26"/>
        <item x="134"/>
        <item x="82"/>
        <item x="37"/>
        <item x="261"/>
        <item x="14"/>
        <item x="517"/>
        <item x="353"/>
        <item x="421"/>
        <item x="266"/>
        <item x="316"/>
        <item x="194"/>
        <item x="314"/>
        <item x="486"/>
        <item x="541"/>
        <item x="157"/>
        <item x="29"/>
        <item x="318"/>
        <item x="375"/>
        <item x="459"/>
        <item x="543"/>
        <item x="66"/>
        <item x="465"/>
        <item x="552"/>
        <item x="487"/>
        <item x="195"/>
        <item x="138"/>
        <item x="313"/>
        <item x="362"/>
        <item x="447"/>
        <item x="174"/>
        <item x="460"/>
        <item x="179"/>
        <item x="391"/>
        <item x="80"/>
        <item x="239"/>
        <item x="505"/>
        <item x="555"/>
        <item x="75"/>
        <item x="254"/>
        <item x="45"/>
        <item x="365"/>
        <item x="390"/>
        <item x="374"/>
        <item x="348"/>
        <item x="221"/>
        <item x="115"/>
        <item x="56"/>
        <item x="183"/>
        <item x="407"/>
        <item x="402"/>
        <item x="253"/>
        <item x="244"/>
        <item x="520"/>
        <item x="309"/>
        <item x="228"/>
        <item x="512"/>
        <item x="366"/>
        <item x="342"/>
        <item x="434"/>
        <item x="229"/>
        <item x="319"/>
        <item x="538"/>
        <item x="123"/>
        <item x="105"/>
        <item x="500"/>
        <item x="410"/>
        <item x="363"/>
        <item x="236"/>
        <item x="557"/>
        <item x="397"/>
        <item x="293"/>
        <item x="396"/>
        <item x="158"/>
        <item x="439"/>
        <item x="463"/>
        <item x="404"/>
        <item x="222"/>
        <item x="384"/>
        <item x="143"/>
        <item x="558"/>
        <item x="146"/>
        <item x="193"/>
        <item x="559"/>
        <item x="330"/>
        <item x="262"/>
        <item x="423"/>
        <item x="245"/>
        <item x="411"/>
        <item x="192"/>
        <item x="340"/>
        <item x="356"/>
        <item x="323"/>
        <item x="203"/>
        <item x="441"/>
        <item x="172"/>
        <item x="419"/>
        <item x="508"/>
        <item x="556"/>
        <item x="530"/>
        <item x="175"/>
        <item x="269"/>
        <item x="477"/>
        <item x="540"/>
        <item x="44"/>
        <item x="511"/>
        <item x="151"/>
        <item x="492"/>
        <item x="326"/>
        <item x="428"/>
        <item x="308"/>
        <item x="450"/>
        <item x="471"/>
        <item x="132"/>
        <item x="198"/>
        <item x="206"/>
        <item x="213"/>
        <item x="145"/>
        <item x="257"/>
        <item x="533"/>
        <item x="412"/>
        <item x="545"/>
        <item x="501"/>
        <item x="112"/>
        <item x="136"/>
        <item x="527"/>
        <item x="241"/>
        <item x="311"/>
        <item x="499"/>
        <item x="250"/>
        <item x="523"/>
        <item x="490"/>
        <item x="242"/>
        <item x="276"/>
        <item x="237"/>
        <item x="347"/>
        <item x="408"/>
        <item x="346"/>
        <item x="455"/>
        <item x="489"/>
        <item x="509"/>
        <item x="364"/>
        <item x="155"/>
        <item x="103"/>
        <item x="553"/>
        <item x="212"/>
        <item x="279"/>
        <item x="457"/>
        <item x="535"/>
        <item x="369"/>
        <item x="177"/>
        <item x="427"/>
        <item x="264"/>
        <item x="484"/>
        <item x="160"/>
        <item x="121"/>
        <item x="176"/>
        <item x="493"/>
        <item x="202"/>
        <item x="186"/>
        <item x="265"/>
        <item x="287"/>
        <item x="218"/>
        <item x="327"/>
        <item x="142"/>
        <item x="124"/>
        <item x="127"/>
        <item x="300"/>
        <item x="166"/>
        <item x="178"/>
        <item x="332"/>
        <item x="528"/>
        <item x="401"/>
        <item x="329"/>
        <item x="357"/>
        <item x="225"/>
        <item x="377"/>
        <item x="306"/>
        <item x="355"/>
        <item x="360"/>
        <item x="467"/>
        <item x="246"/>
        <item x="444"/>
        <item x="392"/>
        <item x="325"/>
        <item x="131"/>
        <item x="135"/>
        <item x="352"/>
        <item x="117"/>
        <item x="302"/>
        <item x="149"/>
        <item x="376"/>
        <item x="288"/>
        <item x="292"/>
        <item x="315"/>
        <item x="440"/>
        <item x="109"/>
        <item x="383"/>
        <item x="282"/>
        <item x="100"/>
        <item x="182"/>
        <item x="525"/>
        <item x="453"/>
        <item x="129"/>
        <item x="125"/>
        <item x="171"/>
        <item x="211"/>
        <item x="102"/>
        <item x="448"/>
        <item x="217"/>
        <item x="554"/>
        <item x="370"/>
        <item x="191"/>
        <item x="443"/>
        <item x="118"/>
        <item x="294"/>
        <item x="414"/>
        <item x="350"/>
        <item x="529"/>
        <item x="331"/>
        <item x="153"/>
        <item x="111"/>
        <item x="99"/>
        <item x="185"/>
        <item x="526"/>
        <item x="133"/>
        <item x="415"/>
        <item x="214"/>
        <item x="106"/>
        <item x="388"/>
        <item x="468"/>
        <item x="429"/>
        <item x="101"/>
        <item x="243"/>
        <item x="291"/>
        <item x="273"/>
        <item x="343"/>
        <item x="297"/>
        <item x="387"/>
        <item x="272"/>
        <item x="456"/>
        <item x="504"/>
        <item x="422"/>
        <item x="208"/>
        <item x="144"/>
        <item x="399"/>
        <item x="147"/>
        <item x="137"/>
        <item x="482"/>
        <item x="424"/>
        <item x="141"/>
        <item x="386"/>
        <item x="120"/>
        <item x="278"/>
        <item x="510"/>
        <item x="317"/>
        <item x="562"/>
        <item x="299"/>
        <item x="268"/>
        <item x="371"/>
        <item x="289"/>
        <item x="338"/>
        <item x="255"/>
        <item x="542"/>
        <item x="122"/>
        <item x="324"/>
        <item x="307"/>
        <item x="426"/>
        <item x="150"/>
        <item x="197"/>
        <item x="547"/>
        <item x="275"/>
        <item x="436"/>
        <item x="188"/>
        <item x="219"/>
        <item x="380"/>
        <item x="563"/>
        <item x="312"/>
        <item x="491"/>
        <item x="437"/>
        <item x="359"/>
        <item x="405"/>
        <item x="514"/>
        <item x="378"/>
        <item x="126"/>
        <item x="296"/>
        <item x="521"/>
        <item x="420"/>
        <item x="207"/>
        <item x="156"/>
        <item x="161"/>
        <item x="209"/>
        <item x="480"/>
        <item x="216"/>
        <item x="349"/>
        <item x="169"/>
        <item x="247"/>
        <item x="284"/>
        <item x="337"/>
        <item x="451"/>
        <item x="267"/>
        <item x="164"/>
        <item x="454"/>
        <item x="479"/>
        <item x="431"/>
        <item x="498"/>
        <item x="400"/>
        <item x="152"/>
        <item x="260"/>
        <item x="238"/>
        <item x="361"/>
        <item x="524"/>
        <item x="418"/>
        <item x="204"/>
        <item x="283"/>
        <item x="469"/>
        <item x="240"/>
        <item x="516"/>
        <item x="495"/>
        <item x="252"/>
        <item x="549"/>
        <item x="351"/>
        <item x="546"/>
        <item x="277"/>
        <item x="165"/>
        <item x="249"/>
        <item x="181"/>
        <item x="232"/>
        <item x="305"/>
        <item x="367"/>
        <item x="162"/>
        <item x="502"/>
        <item x="368"/>
        <item x="320"/>
        <item x="464"/>
        <item x="230"/>
        <item x="536"/>
        <item x="233"/>
        <item x="167"/>
        <item x="220"/>
        <item x="382"/>
        <item x="474"/>
        <item x="226"/>
        <item x="518"/>
        <item x="534"/>
        <item x="438"/>
        <item x="433"/>
        <item x="290"/>
        <item x="215"/>
        <item x="248"/>
        <item x="139"/>
        <item x="462"/>
        <item x="485"/>
        <item x="449"/>
        <item x="280"/>
        <item x="561"/>
        <item x="271"/>
        <item x="224"/>
        <item x="301"/>
        <item x="341"/>
        <item x="107"/>
        <item x="270"/>
        <item x="430"/>
        <item x="148"/>
        <item x="304"/>
        <item x="196"/>
        <item x="223"/>
        <item x="200"/>
        <item x="515"/>
        <item x="466"/>
        <item x="519"/>
        <item x="381"/>
        <item x="385"/>
        <item x="476"/>
        <item x="497"/>
        <item x="551"/>
        <item x="398"/>
        <item x="130"/>
        <item x="201"/>
        <item x="336"/>
        <item x="507"/>
        <item x="537"/>
        <item x="472"/>
        <item x="373"/>
        <item x="258"/>
        <item x="154"/>
        <item x="344"/>
        <item x="163"/>
        <item x="184"/>
        <item x="140"/>
        <item x="234"/>
        <item x="110"/>
        <item x="354"/>
        <item x="416"/>
        <item x="259"/>
        <item x="128"/>
        <item x="478"/>
        <item x="358"/>
        <item x="488"/>
        <item x="417"/>
        <item x="550"/>
        <item x="395"/>
        <item x="539"/>
        <item x="119"/>
        <item x="379"/>
        <item x="286"/>
        <item x="445"/>
        <item x="458"/>
        <item x="389"/>
        <item x="114"/>
        <item x="560"/>
        <item x="189"/>
        <item x="159"/>
        <item x="345"/>
        <item x="470"/>
        <item x="263"/>
        <item x="393"/>
        <item x="295"/>
        <item x="481"/>
        <item x="513"/>
        <item x="310"/>
        <item x="494"/>
        <item x="190"/>
        <item x="328"/>
        <item x="432"/>
        <item x="475"/>
        <item x="227"/>
        <item x="503"/>
        <item x="394"/>
        <item x="544"/>
        <item x="187"/>
        <item x="116"/>
        <item x="298"/>
        <item x="104"/>
        <item x="461"/>
        <item x="199"/>
        <item x="168"/>
        <item x="483"/>
        <item x="205"/>
        <item x="339"/>
        <item t="default"/>
      </items>
    </pivotField>
    <pivotField showAll="0"/>
    <pivotField showAll="0"/>
    <pivotField showAll="0">
      <items count="24">
        <item x="19"/>
        <item x="4"/>
        <item x="6"/>
        <item x="1"/>
        <item x="14"/>
        <item x="17"/>
        <item x="2"/>
        <item x="18"/>
        <item x="8"/>
        <item x="15"/>
        <item x="16"/>
        <item x="12"/>
        <item x="11"/>
        <item x="0"/>
        <item x="13"/>
        <item x="7"/>
        <item x="10"/>
        <item x="22"/>
        <item x="21"/>
        <item x="9"/>
        <item x="3"/>
        <item x="20"/>
        <item x="5"/>
        <item t="default"/>
      </items>
    </pivotField>
    <pivotField showAll="0"/>
    <pivotField showAll="0"/>
    <pivotField showAll="0"/>
    <pivotField axis="axisRow" showAll="0">
      <items count="12">
        <item x="9"/>
        <item x="6"/>
        <item x="4"/>
        <item x="3"/>
        <item x="2"/>
        <item x="1"/>
        <item x="0"/>
        <item x="5"/>
        <item x="8"/>
        <item x="10"/>
        <item x="7"/>
        <item t="default"/>
      </items>
    </pivotField>
    <pivotField showAll="0"/>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24"/>
  </rowFields>
  <rowItems count="12">
    <i>
      <x/>
    </i>
    <i>
      <x v="1"/>
    </i>
    <i>
      <x v="2"/>
    </i>
    <i>
      <x v="3"/>
    </i>
    <i>
      <x v="4"/>
    </i>
    <i>
      <x v="5"/>
    </i>
    <i>
      <x v="6"/>
    </i>
    <i>
      <x v="7"/>
    </i>
    <i>
      <x v="8"/>
    </i>
    <i>
      <x v="9"/>
    </i>
    <i>
      <x v="10"/>
    </i>
    <i t="grand">
      <x/>
    </i>
  </rowItems>
  <colItems count="1">
    <i/>
  </colItems>
  <dataFields count="1">
    <dataField name="Count of EmpID" fld="0" subtotal="count" baseField="5" baseItem="0"/>
  </dataFields>
  <formats count="7">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24" type="button" dataOnly="0" labelOnly="1" outline="0" axis="axisRow" fieldPosition="0"/>
    </format>
    <format dxfId="40">
      <pivotArea dataOnly="0" labelOnly="1" fieldPosition="0">
        <references count="1">
          <reference field="24" count="0"/>
        </references>
      </pivotArea>
    </format>
    <format dxfId="39">
      <pivotArea dataOnly="0" labelOnly="1" grandRow="1" outline="0" fieldPosition="0"/>
    </format>
    <format dxfId="3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234122-7E2F-4180-BC85-119D3D6EDB1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8:B51" firstHeaderRow="1" firstDataRow="1" firstDataCol="1"/>
  <pivotFields count="36">
    <pivotField dataField="1" showAll="0"/>
    <pivotField showAll="0"/>
    <pivotField showAll="0"/>
    <pivotField showAll="0"/>
    <pivotField axis="axisRow" showAll="0">
      <items count="3">
        <item x="1"/>
        <item x="0"/>
        <item t="default"/>
      </items>
    </pivotField>
    <pivotField showAll="0">
      <items count="12">
        <item x="3"/>
        <item x="5"/>
        <item x="9"/>
        <item x="7"/>
        <item x="6"/>
        <item x="1"/>
        <item x="10"/>
        <item x="0"/>
        <item x="8"/>
        <item x="4"/>
        <item x="2"/>
        <item t="default"/>
      </items>
    </pivotField>
    <pivotField showAll="0">
      <items count="36">
        <item x="10"/>
        <item x="22"/>
        <item x="11"/>
        <item x="17"/>
        <item x="13"/>
        <item x="31"/>
        <item x="5"/>
        <item x="30"/>
        <item x="28"/>
        <item x="6"/>
        <item x="14"/>
        <item x="21"/>
        <item x="7"/>
        <item x="34"/>
        <item x="20"/>
        <item x="29"/>
        <item x="26"/>
        <item x="18"/>
        <item x="4"/>
        <item x="33"/>
        <item x="19"/>
        <item x="23"/>
        <item x="27"/>
        <item x="9"/>
        <item x="0"/>
        <item x="2"/>
        <item x="32"/>
        <item x="16"/>
        <item x="24"/>
        <item x="25"/>
        <item x="3"/>
        <item x="12"/>
        <item x="8"/>
        <item x="1"/>
        <item x="15"/>
        <item t="default"/>
      </items>
    </pivotField>
    <pivotField showAll="0">
      <items count="521">
        <item x="326"/>
        <item x="310"/>
        <item x="442"/>
        <item x="177"/>
        <item x="452"/>
        <item x="60"/>
        <item x="189"/>
        <item x="343"/>
        <item x="6"/>
        <item x="399"/>
        <item x="32"/>
        <item x="218"/>
        <item x="463"/>
        <item x="366"/>
        <item x="313"/>
        <item x="369"/>
        <item x="24"/>
        <item x="5"/>
        <item x="480"/>
        <item x="145"/>
        <item x="373"/>
        <item x="454"/>
        <item x="329"/>
        <item x="330"/>
        <item x="107"/>
        <item x="134"/>
        <item x="188"/>
        <item x="459"/>
        <item x="446"/>
        <item x="139"/>
        <item x="143"/>
        <item x="166"/>
        <item x="421"/>
        <item x="497"/>
        <item x="414"/>
        <item x="101"/>
        <item x="283"/>
        <item x="469"/>
        <item x="439"/>
        <item x="40"/>
        <item x="294"/>
        <item x="492"/>
        <item x="488"/>
        <item x="293"/>
        <item x="20"/>
        <item x="276"/>
        <item x="12"/>
        <item x="494"/>
        <item x="8"/>
        <item x="248"/>
        <item x="298"/>
        <item x="19"/>
        <item x="212"/>
        <item x="88"/>
        <item x="141"/>
        <item x="148"/>
        <item x="112"/>
        <item x="420"/>
        <item x="106"/>
        <item x="86"/>
        <item x="407"/>
        <item x="274"/>
        <item x="142"/>
        <item x="389"/>
        <item x="216"/>
        <item x="291"/>
        <item x="146"/>
        <item x="227"/>
        <item x="257"/>
        <item x="233"/>
        <item x="219"/>
        <item x="499"/>
        <item x="175"/>
        <item x="180"/>
        <item x="264"/>
        <item x="47"/>
        <item x="431"/>
        <item x="355"/>
        <item x="35"/>
        <item x="28"/>
        <item x="124"/>
        <item x="484"/>
        <item x="100"/>
        <item x="507"/>
        <item x="358"/>
        <item x="97"/>
        <item x="94"/>
        <item x="182"/>
        <item x="265"/>
        <item x="323"/>
        <item x="185"/>
        <item x="404"/>
        <item x="64"/>
        <item x="289"/>
        <item x="424"/>
        <item x="66"/>
        <item x="58"/>
        <item x="56"/>
        <item x="443"/>
        <item x="384"/>
        <item x="428"/>
        <item x="113"/>
        <item x="363"/>
        <item x="444"/>
        <item x="52"/>
        <item x="73"/>
        <item x="282"/>
        <item x="280"/>
        <item x="95"/>
        <item x="21"/>
        <item x="42"/>
        <item x="324"/>
        <item x="220"/>
        <item x="409"/>
        <item x="495"/>
        <item x="441"/>
        <item x="195"/>
        <item x="187"/>
        <item x="315"/>
        <item x="33"/>
        <item x="314"/>
        <item x="481"/>
        <item x="361"/>
        <item x="168"/>
        <item x="68"/>
        <item x="226"/>
        <item x="149"/>
        <item x="37"/>
        <item x="147"/>
        <item x="325"/>
        <item x="215"/>
        <item x="10"/>
        <item x="181"/>
        <item x="411"/>
        <item x="204"/>
        <item x="199"/>
        <item x="125"/>
        <item x="18"/>
        <item x="243"/>
        <item x="202"/>
        <item x="114"/>
        <item x="511"/>
        <item x="296"/>
        <item x="397"/>
        <item x="381"/>
        <item x="473"/>
        <item x="229"/>
        <item x="154"/>
        <item x="77"/>
        <item x="402"/>
        <item x="284"/>
        <item x="3"/>
        <item x="44"/>
        <item x="71"/>
        <item x="49"/>
        <item x="140"/>
        <item x="322"/>
        <item x="81"/>
        <item x="340"/>
        <item x="109"/>
        <item x="17"/>
        <item x="128"/>
        <item x="244"/>
        <item x="377"/>
        <item x="491"/>
        <item x="378"/>
        <item x="150"/>
        <item x="445"/>
        <item x="211"/>
        <item x="415"/>
        <item x="190"/>
        <item x="105"/>
        <item x="238"/>
        <item x="129"/>
        <item x="380"/>
        <item x="103"/>
        <item x="67"/>
        <item x="418"/>
        <item x="29"/>
        <item x="23"/>
        <item x="198"/>
        <item x="228"/>
        <item x="82"/>
        <item x="203"/>
        <item x="193"/>
        <item x="501"/>
        <item x="300"/>
        <item x="278"/>
        <item x="342"/>
        <item x="328"/>
        <item x="345"/>
        <item x="434"/>
        <item x="335"/>
        <item x="400"/>
        <item x="514"/>
        <item x="255"/>
        <item x="239"/>
        <item x="279"/>
        <item x="121"/>
        <item x="429"/>
        <item x="256"/>
        <item x="13"/>
        <item x="272"/>
        <item x="364"/>
        <item x="408"/>
        <item x="223"/>
        <item x="305"/>
        <item x="386"/>
        <item x="130"/>
        <item x="119"/>
        <item x="38"/>
        <item x="83"/>
        <item x="135"/>
        <item x="435"/>
        <item x="410"/>
        <item x="367"/>
        <item x="201"/>
        <item x="36"/>
        <item x="356"/>
        <item x="436"/>
        <item x="451"/>
        <item x="308"/>
        <item x="470"/>
        <item x="15"/>
        <item x="440"/>
        <item x="513"/>
        <item x="22"/>
        <item x="519"/>
        <item x="205"/>
        <item x="365"/>
        <item x="518"/>
        <item x="192"/>
        <item x="347"/>
        <item x="236"/>
        <item x="30"/>
        <item x="254"/>
        <item x="151"/>
        <item x="234"/>
        <item x="472"/>
        <item x="221"/>
        <item x="348"/>
        <item x="517"/>
        <item x="476"/>
        <item x="169"/>
        <item x="115"/>
        <item x="48"/>
        <item x="433"/>
        <item x="388"/>
        <item x="14"/>
        <item x="222"/>
        <item x="259"/>
        <item x="164"/>
        <item x="362"/>
        <item x="417"/>
        <item x="237"/>
        <item x="252"/>
        <item x="457"/>
        <item x="508"/>
        <item x="99"/>
        <item x="401"/>
        <item x="316"/>
        <item x="41"/>
        <item x="288"/>
        <item x="479"/>
        <item x="98"/>
        <item x="262"/>
        <item x="250"/>
        <item x="123"/>
        <item x="498"/>
        <item x="136"/>
        <item x="39"/>
        <item x="85"/>
        <item x="208"/>
        <item x="266"/>
        <item x="413"/>
        <item x="230"/>
        <item x="510"/>
        <item x="376"/>
        <item x="301"/>
        <item x="50"/>
        <item x="406"/>
        <item x="155"/>
        <item x="11"/>
        <item x="290"/>
        <item x="311"/>
        <item x="427"/>
        <item x="176"/>
        <item x="7"/>
        <item x="465"/>
        <item x="390"/>
        <item x="89"/>
        <item x="460"/>
        <item x="327"/>
        <item x="461"/>
        <item x="398"/>
        <item x="483"/>
        <item x="292"/>
        <item x="2"/>
        <item x="93"/>
        <item x="375"/>
        <item x="350"/>
        <item x="271"/>
        <item x="462"/>
        <item x="55"/>
        <item x="416"/>
        <item x="251"/>
        <item x="183"/>
        <item x="303"/>
        <item x="449"/>
        <item x="253"/>
        <item x="505"/>
        <item x="245"/>
        <item x="170"/>
        <item x="285"/>
        <item x="133"/>
        <item x="163"/>
        <item x="346"/>
        <item x="493"/>
        <item x="172"/>
        <item x="371"/>
        <item x="392"/>
        <item x="489"/>
        <item x="160"/>
        <item x="59"/>
        <item x="419"/>
        <item x="468"/>
        <item x="214"/>
        <item x="16"/>
        <item x="74"/>
        <item x="171"/>
        <item x="359"/>
        <item x="118"/>
        <item x="487"/>
        <item x="232"/>
        <item x="240"/>
        <item x="515"/>
        <item x="167"/>
        <item x="332"/>
        <item x="334"/>
        <item x="490"/>
        <item x="79"/>
        <item x="235"/>
        <item x="349"/>
        <item x="370"/>
        <item x="104"/>
        <item x="477"/>
        <item x="466"/>
        <item x="403"/>
        <item x="351"/>
        <item x="261"/>
        <item x="430"/>
        <item x="437"/>
        <item x="391"/>
        <item x="412"/>
        <item x="179"/>
        <item x="447"/>
        <item x="242"/>
        <item x="90"/>
        <item x="200"/>
        <item x="360"/>
        <item x="394"/>
        <item x="504"/>
        <item x="516"/>
        <item x="0"/>
        <item x="509"/>
        <item x="341"/>
        <item x="379"/>
        <item x="69"/>
        <item x="72"/>
        <item x="84"/>
        <item x="260"/>
        <item x="474"/>
        <item x="425"/>
        <item x="241"/>
        <item x="70"/>
        <item x="76"/>
        <item x="196"/>
        <item x="131"/>
        <item x="458"/>
        <item x="353"/>
        <item x="309"/>
        <item x="287"/>
        <item x="455"/>
        <item x="302"/>
        <item x="75"/>
        <item x="496"/>
        <item x="31"/>
        <item x="339"/>
        <item x="26"/>
        <item x="178"/>
        <item x="57"/>
        <item x="102"/>
        <item x="357"/>
        <item x="306"/>
        <item x="108"/>
        <item x="51"/>
        <item x="224"/>
        <item x="503"/>
        <item x="165"/>
        <item x="92"/>
        <item x="475"/>
        <item x="482"/>
        <item x="158"/>
        <item x="512"/>
        <item x="299"/>
        <item x="34"/>
        <item x="157"/>
        <item x="312"/>
        <item x="426"/>
        <item x="173"/>
        <item x="485"/>
        <item x="9"/>
        <item x="405"/>
        <item x="213"/>
        <item x="46"/>
        <item x="27"/>
        <item x="354"/>
        <item x="116"/>
        <item x="320"/>
        <item x="194"/>
        <item x="210"/>
        <item x="295"/>
        <item x="385"/>
        <item x="319"/>
        <item x="464"/>
        <item x="438"/>
        <item x="258"/>
        <item x="336"/>
        <item x="43"/>
        <item x="277"/>
        <item x="111"/>
        <item x="450"/>
        <item x="197"/>
        <item x="162"/>
        <item x="246"/>
        <item x="62"/>
        <item x="161"/>
        <item x="268"/>
        <item x="80"/>
        <item x="78"/>
        <item x="269"/>
        <item x="126"/>
        <item x="317"/>
        <item x="209"/>
        <item x="247"/>
        <item x="387"/>
        <item x="110"/>
        <item x="395"/>
        <item x="231"/>
        <item x="422"/>
        <item x="456"/>
        <item x="372"/>
        <item x="467"/>
        <item x="45"/>
        <item x="186"/>
        <item x="132"/>
        <item x="137"/>
        <item x="65"/>
        <item x="502"/>
        <item x="382"/>
        <item x="267"/>
        <item x="286"/>
        <item x="333"/>
        <item x="453"/>
        <item x="270"/>
        <item x="217"/>
        <item x="53"/>
        <item x="1"/>
        <item x="225"/>
        <item x="91"/>
        <item x="61"/>
        <item x="206"/>
        <item x="249"/>
        <item x="96"/>
        <item x="337"/>
        <item x="321"/>
        <item x="432"/>
        <item x="152"/>
        <item x="54"/>
        <item x="117"/>
        <item x="368"/>
        <item x="281"/>
        <item x="207"/>
        <item x="275"/>
        <item x="156"/>
        <item x="471"/>
        <item x="263"/>
        <item x="307"/>
        <item x="344"/>
        <item x="500"/>
        <item x="138"/>
        <item x="63"/>
        <item x="273"/>
        <item x="304"/>
        <item x="184"/>
        <item x="120"/>
        <item x="331"/>
        <item x="374"/>
        <item x="423"/>
        <item x="153"/>
        <item x="159"/>
        <item x="383"/>
        <item x="448"/>
        <item x="122"/>
        <item x="486"/>
        <item x="191"/>
        <item x="318"/>
        <item x="352"/>
        <item x="174"/>
        <item x="25"/>
        <item x="4"/>
        <item x="338"/>
        <item x="506"/>
        <item x="396"/>
        <item x="393"/>
        <item x="478"/>
        <item x="87"/>
        <item x="297"/>
        <item x="127"/>
        <item x="144"/>
        <item t="default"/>
      </items>
    </pivotField>
    <pivotField showAll="0"/>
    <pivotField numFmtId="165" showAll="0"/>
    <pivotField numFmtId="14" showAll="0"/>
    <pivotField showAll="0">
      <items count="4">
        <item x="1"/>
        <item x="2"/>
        <item x="0"/>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showAll="0"/>
    <pivotField showAll="0"/>
    <pivotField showAll="0"/>
    <pivotField numFmtId="14" showAll="0">
      <items count="565">
        <item x="94"/>
        <item x="92"/>
        <item x="79"/>
        <item x="2"/>
        <item x="97"/>
        <item x="20"/>
        <item x="40"/>
        <item x="90"/>
        <item x="91"/>
        <item x="7"/>
        <item x="85"/>
        <item x="98"/>
        <item x="49"/>
        <item x="54"/>
        <item x="39"/>
        <item x="36"/>
        <item x="89"/>
        <item x="78"/>
        <item x="9"/>
        <item x="69"/>
        <item x="76"/>
        <item x="13"/>
        <item x="64"/>
        <item x="15"/>
        <item x="52"/>
        <item x="50"/>
        <item x="35"/>
        <item x="70"/>
        <item x="87"/>
        <item x="32"/>
        <item x="0"/>
        <item x="3"/>
        <item x="95"/>
        <item x="22"/>
        <item x="53"/>
        <item x="63"/>
        <item x="33"/>
        <item x="43"/>
        <item x="58"/>
        <item x="4"/>
        <item x="72"/>
        <item x="11"/>
        <item x="23"/>
        <item x="57"/>
        <item x="10"/>
        <item x="68"/>
        <item x="31"/>
        <item x="42"/>
        <item x="65"/>
        <item x="59"/>
        <item x="71"/>
        <item x="34"/>
        <item x="12"/>
        <item x="88"/>
        <item x="61"/>
        <item x="46"/>
        <item x="81"/>
        <item x="93"/>
        <item x="74"/>
        <item x="73"/>
        <item x="38"/>
        <item x="17"/>
        <item x="6"/>
        <item x="21"/>
        <item x="47"/>
        <item x="62"/>
        <item x="18"/>
        <item x="25"/>
        <item x="41"/>
        <item x="30"/>
        <item x="86"/>
        <item x="16"/>
        <item x="27"/>
        <item x="48"/>
        <item x="28"/>
        <item x="83"/>
        <item x="5"/>
        <item x="77"/>
        <item x="8"/>
        <item x="19"/>
        <item x="1"/>
        <item x="84"/>
        <item x="51"/>
        <item x="55"/>
        <item x="406"/>
        <item x="96"/>
        <item x="235"/>
        <item x="322"/>
        <item x="372"/>
        <item x="442"/>
        <item x="256"/>
        <item x="413"/>
        <item x="113"/>
        <item x="67"/>
        <item x="180"/>
        <item x="231"/>
        <item x="303"/>
        <item x="281"/>
        <item x="210"/>
        <item x="170"/>
        <item x="24"/>
        <item x="531"/>
        <item x="403"/>
        <item x="108"/>
        <item x="173"/>
        <item x="548"/>
        <item x="425"/>
        <item x="522"/>
        <item x="473"/>
        <item x="335"/>
        <item x="333"/>
        <item x="446"/>
        <item x="532"/>
        <item x="251"/>
        <item x="285"/>
        <item x="435"/>
        <item x="496"/>
        <item x="60"/>
        <item x="321"/>
        <item x="334"/>
        <item x="452"/>
        <item x="506"/>
        <item x="409"/>
        <item x="274"/>
        <item x="26"/>
        <item x="134"/>
        <item x="82"/>
        <item x="37"/>
        <item x="261"/>
        <item x="14"/>
        <item x="517"/>
        <item x="353"/>
        <item x="421"/>
        <item x="266"/>
        <item x="316"/>
        <item x="194"/>
        <item x="314"/>
        <item x="486"/>
        <item x="541"/>
        <item x="157"/>
        <item x="29"/>
        <item x="318"/>
        <item x="375"/>
        <item x="459"/>
        <item x="543"/>
        <item x="66"/>
        <item x="465"/>
        <item x="552"/>
        <item x="487"/>
        <item x="195"/>
        <item x="138"/>
        <item x="313"/>
        <item x="362"/>
        <item x="447"/>
        <item x="174"/>
        <item x="460"/>
        <item x="179"/>
        <item x="391"/>
        <item x="80"/>
        <item x="239"/>
        <item x="505"/>
        <item x="555"/>
        <item x="75"/>
        <item x="254"/>
        <item x="45"/>
        <item x="365"/>
        <item x="390"/>
        <item x="374"/>
        <item x="348"/>
        <item x="221"/>
        <item x="115"/>
        <item x="56"/>
        <item x="183"/>
        <item x="407"/>
        <item x="402"/>
        <item x="253"/>
        <item x="244"/>
        <item x="520"/>
        <item x="309"/>
        <item x="228"/>
        <item x="512"/>
        <item x="366"/>
        <item x="342"/>
        <item x="434"/>
        <item x="229"/>
        <item x="319"/>
        <item x="538"/>
        <item x="123"/>
        <item x="105"/>
        <item x="500"/>
        <item x="410"/>
        <item x="363"/>
        <item x="236"/>
        <item x="557"/>
        <item x="397"/>
        <item x="293"/>
        <item x="396"/>
        <item x="158"/>
        <item x="439"/>
        <item x="463"/>
        <item x="404"/>
        <item x="222"/>
        <item x="384"/>
        <item x="143"/>
        <item x="558"/>
        <item x="146"/>
        <item x="193"/>
        <item x="559"/>
        <item x="330"/>
        <item x="262"/>
        <item x="423"/>
        <item x="245"/>
        <item x="411"/>
        <item x="192"/>
        <item x="340"/>
        <item x="356"/>
        <item x="323"/>
        <item x="203"/>
        <item x="441"/>
        <item x="172"/>
        <item x="419"/>
        <item x="508"/>
        <item x="556"/>
        <item x="530"/>
        <item x="175"/>
        <item x="269"/>
        <item x="477"/>
        <item x="540"/>
        <item x="44"/>
        <item x="511"/>
        <item x="151"/>
        <item x="492"/>
        <item x="326"/>
        <item x="428"/>
        <item x="308"/>
        <item x="450"/>
        <item x="471"/>
        <item x="132"/>
        <item x="198"/>
        <item x="206"/>
        <item x="213"/>
        <item x="145"/>
        <item x="257"/>
        <item x="533"/>
        <item x="412"/>
        <item x="545"/>
        <item x="501"/>
        <item x="112"/>
        <item x="136"/>
        <item x="527"/>
        <item x="241"/>
        <item x="311"/>
        <item x="499"/>
        <item x="250"/>
        <item x="523"/>
        <item x="490"/>
        <item x="242"/>
        <item x="276"/>
        <item x="237"/>
        <item x="347"/>
        <item x="408"/>
        <item x="346"/>
        <item x="455"/>
        <item x="489"/>
        <item x="509"/>
        <item x="364"/>
        <item x="155"/>
        <item x="103"/>
        <item x="553"/>
        <item x="212"/>
        <item x="279"/>
        <item x="457"/>
        <item x="535"/>
        <item x="369"/>
        <item x="177"/>
        <item x="427"/>
        <item x="264"/>
        <item x="484"/>
        <item x="160"/>
        <item x="121"/>
        <item x="176"/>
        <item x="493"/>
        <item x="202"/>
        <item x="186"/>
        <item x="265"/>
        <item x="287"/>
        <item x="218"/>
        <item x="327"/>
        <item x="142"/>
        <item x="124"/>
        <item x="127"/>
        <item x="300"/>
        <item x="166"/>
        <item x="178"/>
        <item x="332"/>
        <item x="528"/>
        <item x="401"/>
        <item x="329"/>
        <item x="357"/>
        <item x="225"/>
        <item x="377"/>
        <item x="306"/>
        <item x="355"/>
        <item x="360"/>
        <item x="467"/>
        <item x="246"/>
        <item x="444"/>
        <item x="392"/>
        <item x="325"/>
        <item x="131"/>
        <item x="135"/>
        <item x="352"/>
        <item x="117"/>
        <item x="302"/>
        <item x="149"/>
        <item x="376"/>
        <item x="288"/>
        <item x="292"/>
        <item x="315"/>
        <item x="440"/>
        <item x="109"/>
        <item x="383"/>
        <item x="282"/>
        <item x="100"/>
        <item x="182"/>
        <item x="525"/>
        <item x="453"/>
        <item x="129"/>
        <item x="125"/>
        <item x="171"/>
        <item x="211"/>
        <item x="102"/>
        <item x="448"/>
        <item x="217"/>
        <item x="554"/>
        <item x="370"/>
        <item x="191"/>
        <item x="443"/>
        <item x="118"/>
        <item x="294"/>
        <item x="414"/>
        <item x="350"/>
        <item x="529"/>
        <item x="331"/>
        <item x="153"/>
        <item x="111"/>
        <item x="99"/>
        <item x="185"/>
        <item x="526"/>
        <item x="133"/>
        <item x="415"/>
        <item x="214"/>
        <item x="106"/>
        <item x="388"/>
        <item x="468"/>
        <item x="429"/>
        <item x="101"/>
        <item x="243"/>
        <item x="291"/>
        <item x="273"/>
        <item x="343"/>
        <item x="297"/>
        <item x="387"/>
        <item x="272"/>
        <item x="456"/>
        <item x="504"/>
        <item x="422"/>
        <item x="208"/>
        <item x="144"/>
        <item x="399"/>
        <item x="147"/>
        <item x="137"/>
        <item x="482"/>
        <item x="424"/>
        <item x="141"/>
        <item x="386"/>
        <item x="120"/>
        <item x="278"/>
        <item x="510"/>
        <item x="317"/>
        <item x="562"/>
        <item x="299"/>
        <item x="268"/>
        <item x="371"/>
        <item x="289"/>
        <item x="338"/>
        <item x="255"/>
        <item x="542"/>
        <item x="122"/>
        <item x="324"/>
        <item x="307"/>
        <item x="426"/>
        <item x="150"/>
        <item x="197"/>
        <item x="547"/>
        <item x="275"/>
        <item x="436"/>
        <item x="188"/>
        <item x="219"/>
        <item x="380"/>
        <item x="563"/>
        <item x="312"/>
        <item x="491"/>
        <item x="437"/>
        <item x="359"/>
        <item x="405"/>
        <item x="514"/>
        <item x="378"/>
        <item x="126"/>
        <item x="296"/>
        <item x="521"/>
        <item x="420"/>
        <item x="207"/>
        <item x="156"/>
        <item x="161"/>
        <item x="209"/>
        <item x="480"/>
        <item x="216"/>
        <item x="349"/>
        <item x="169"/>
        <item x="247"/>
        <item x="284"/>
        <item x="337"/>
        <item x="451"/>
        <item x="267"/>
        <item x="164"/>
        <item x="454"/>
        <item x="479"/>
        <item x="431"/>
        <item x="498"/>
        <item x="400"/>
        <item x="152"/>
        <item x="260"/>
        <item x="238"/>
        <item x="361"/>
        <item x="524"/>
        <item x="418"/>
        <item x="204"/>
        <item x="283"/>
        <item x="469"/>
        <item x="240"/>
        <item x="516"/>
        <item x="495"/>
        <item x="252"/>
        <item x="549"/>
        <item x="351"/>
        <item x="546"/>
        <item x="277"/>
        <item x="165"/>
        <item x="249"/>
        <item x="181"/>
        <item x="232"/>
        <item x="305"/>
        <item x="367"/>
        <item x="162"/>
        <item x="502"/>
        <item x="368"/>
        <item x="320"/>
        <item x="464"/>
        <item x="230"/>
        <item x="536"/>
        <item x="233"/>
        <item x="167"/>
        <item x="220"/>
        <item x="382"/>
        <item x="474"/>
        <item x="226"/>
        <item x="518"/>
        <item x="534"/>
        <item x="438"/>
        <item x="433"/>
        <item x="290"/>
        <item x="215"/>
        <item x="248"/>
        <item x="139"/>
        <item x="462"/>
        <item x="485"/>
        <item x="449"/>
        <item x="280"/>
        <item x="561"/>
        <item x="271"/>
        <item x="224"/>
        <item x="301"/>
        <item x="341"/>
        <item x="107"/>
        <item x="270"/>
        <item x="430"/>
        <item x="148"/>
        <item x="304"/>
        <item x="196"/>
        <item x="223"/>
        <item x="200"/>
        <item x="515"/>
        <item x="466"/>
        <item x="519"/>
        <item x="381"/>
        <item x="385"/>
        <item x="476"/>
        <item x="497"/>
        <item x="551"/>
        <item x="398"/>
        <item x="130"/>
        <item x="201"/>
        <item x="336"/>
        <item x="507"/>
        <item x="537"/>
        <item x="472"/>
        <item x="373"/>
        <item x="258"/>
        <item x="154"/>
        <item x="344"/>
        <item x="163"/>
        <item x="184"/>
        <item x="140"/>
        <item x="234"/>
        <item x="110"/>
        <item x="354"/>
        <item x="416"/>
        <item x="259"/>
        <item x="128"/>
        <item x="478"/>
        <item x="358"/>
        <item x="488"/>
        <item x="417"/>
        <item x="550"/>
        <item x="395"/>
        <item x="539"/>
        <item x="119"/>
        <item x="379"/>
        <item x="286"/>
        <item x="445"/>
        <item x="458"/>
        <item x="389"/>
        <item x="114"/>
        <item x="560"/>
        <item x="189"/>
        <item x="159"/>
        <item x="345"/>
        <item x="470"/>
        <item x="263"/>
        <item x="393"/>
        <item x="295"/>
        <item x="481"/>
        <item x="513"/>
        <item x="310"/>
        <item x="494"/>
        <item x="190"/>
        <item x="328"/>
        <item x="432"/>
        <item x="475"/>
        <item x="227"/>
        <item x="503"/>
        <item x="394"/>
        <item x="544"/>
        <item x="187"/>
        <item x="116"/>
        <item x="298"/>
        <item x="104"/>
        <item x="461"/>
        <item x="199"/>
        <item x="168"/>
        <item x="483"/>
        <item x="205"/>
        <item x="3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4"/>
  </rowFields>
  <rowItems count="3">
    <i>
      <x/>
    </i>
    <i>
      <x v="1"/>
    </i>
    <i t="grand">
      <x/>
    </i>
  </rowItems>
  <colItems count="1">
    <i/>
  </colItems>
  <dataFields count="1">
    <dataField name="Count of EmpID" fld="0" subtotal="count" baseField="5" baseItem="0"/>
  </dataFields>
  <formats count="6">
    <format dxfId="50">
      <pivotArea type="all" dataOnly="0" outline="0" fieldPosition="0"/>
    </format>
    <format dxfId="49">
      <pivotArea outline="0" collapsedLevelsAreSubtotals="1" fieldPosition="0"/>
    </format>
    <format dxfId="48">
      <pivotArea field="4" type="button" dataOnly="0" labelOnly="1" outline="0" axis="axisRow" fieldPosition="0"/>
    </format>
    <format dxfId="47">
      <pivotArea dataOnly="0" labelOnly="1" fieldPosition="0">
        <references count="1">
          <reference field="4" count="0"/>
        </references>
      </pivotArea>
    </format>
    <format dxfId="46">
      <pivotArea dataOnly="0" labelOnly="1" grandRow="1" outline="0" fieldPosition="0"/>
    </format>
    <format dxfId="4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4" count="1" selected="0">
            <x v="0"/>
          </reference>
        </references>
      </pivotArea>
    </chartFormat>
    <chartFormat chart="7" format="9">
      <pivotArea type="data" outline="0" fieldPosition="0">
        <references count="2">
          <reference field="4294967294" count="1" selected="0">
            <x v="0"/>
          </reference>
          <reference field="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4" count="1" selected="0">
            <x v="0"/>
          </reference>
        </references>
      </pivotArea>
    </chartFormat>
    <chartFormat chart="8" format="12">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2C1421-E2C6-4580-94BE-4D2680A8846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60:K72" firstHeaderRow="1" firstDataRow="1" firstDataCol="1"/>
  <pivotFields count="36">
    <pivotField showAll="0"/>
    <pivotField showAll="0"/>
    <pivotField showAll="0"/>
    <pivotField showAll="0"/>
    <pivotField showAll="0">
      <items count="3">
        <item x="1"/>
        <item x="0"/>
        <item t="default"/>
      </items>
    </pivotField>
    <pivotField axis="axisRow" showAll="0">
      <items count="12">
        <item x="3"/>
        <item x="5"/>
        <item x="9"/>
        <item x="7"/>
        <item x="6"/>
        <item x="1"/>
        <item x="10"/>
        <item x="0"/>
        <item x="8"/>
        <item x="4"/>
        <item x="2"/>
        <item t="default"/>
      </items>
    </pivotField>
    <pivotField showAll="0">
      <items count="36">
        <item x="10"/>
        <item x="22"/>
        <item x="11"/>
        <item x="17"/>
        <item x="13"/>
        <item x="31"/>
        <item x="5"/>
        <item x="30"/>
        <item x="28"/>
        <item x="6"/>
        <item x="14"/>
        <item x="21"/>
        <item x="7"/>
        <item x="34"/>
        <item x="20"/>
        <item x="29"/>
        <item x="26"/>
        <item x="18"/>
        <item x="4"/>
        <item x="33"/>
        <item x="19"/>
        <item x="23"/>
        <item x="27"/>
        <item x="9"/>
        <item x="0"/>
        <item x="2"/>
        <item x="32"/>
        <item x="16"/>
        <item x="24"/>
        <item x="25"/>
        <item x="3"/>
        <item x="12"/>
        <item x="8"/>
        <item x="1"/>
        <item x="15"/>
        <item t="default"/>
      </items>
    </pivotField>
    <pivotField dataField="1" showAll="0">
      <items count="521">
        <item x="326"/>
        <item x="310"/>
        <item x="442"/>
        <item x="177"/>
        <item x="452"/>
        <item x="60"/>
        <item x="189"/>
        <item x="343"/>
        <item x="6"/>
        <item x="399"/>
        <item x="32"/>
        <item x="218"/>
        <item x="463"/>
        <item x="366"/>
        <item x="313"/>
        <item x="369"/>
        <item x="24"/>
        <item x="5"/>
        <item x="480"/>
        <item x="145"/>
        <item x="373"/>
        <item x="454"/>
        <item x="329"/>
        <item x="330"/>
        <item x="107"/>
        <item x="134"/>
        <item x="188"/>
        <item x="459"/>
        <item x="446"/>
        <item x="139"/>
        <item x="143"/>
        <item x="166"/>
        <item x="421"/>
        <item x="497"/>
        <item x="414"/>
        <item x="101"/>
        <item x="283"/>
        <item x="469"/>
        <item x="439"/>
        <item x="40"/>
        <item x="294"/>
        <item x="492"/>
        <item x="488"/>
        <item x="293"/>
        <item x="20"/>
        <item x="276"/>
        <item x="12"/>
        <item x="494"/>
        <item x="8"/>
        <item x="248"/>
        <item x="298"/>
        <item x="19"/>
        <item x="212"/>
        <item x="88"/>
        <item x="141"/>
        <item x="148"/>
        <item x="112"/>
        <item x="420"/>
        <item x="106"/>
        <item x="86"/>
        <item x="407"/>
        <item x="274"/>
        <item x="142"/>
        <item x="389"/>
        <item x="216"/>
        <item x="291"/>
        <item x="146"/>
        <item x="227"/>
        <item x="257"/>
        <item x="233"/>
        <item x="219"/>
        <item x="499"/>
        <item x="175"/>
        <item x="180"/>
        <item x="264"/>
        <item x="47"/>
        <item x="431"/>
        <item x="355"/>
        <item x="35"/>
        <item x="28"/>
        <item x="124"/>
        <item x="484"/>
        <item x="100"/>
        <item x="507"/>
        <item x="358"/>
        <item x="97"/>
        <item x="94"/>
        <item x="182"/>
        <item x="265"/>
        <item x="323"/>
        <item x="185"/>
        <item x="404"/>
        <item x="64"/>
        <item x="289"/>
        <item x="424"/>
        <item x="66"/>
        <item x="58"/>
        <item x="56"/>
        <item x="443"/>
        <item x="384"/>
        <item x="428"/>
        <item x="113"/>
        <item x="363"/>
        <item x="444"/>
        <item x="52"/>
        <item x="73"/>
        <item x="282"/>
        <item x="280"/>
        <item x="95"/>
        <item x="21"/>
        <item x="42"/>
        <item x="324"/>
        <item x="220"/>
        <item x="409"/>
        <item x="495"/>
        <item x="441"/>
        <item x="195"/>
        <item x="187"/>
        <item x="315"/>
        <item x="33"/>
        <item x="314"/>
        <item x="481"/>
        <item x="361"/>
        <item x="168"/>
        <item x="68"/>
        <item x="226"/>
        <item x="149"/>
        <item x="37"/>
        <item x="147"/>
        <item x="325"/>
        <item x="215"/>
        <item x="10"/>
        <item x="181"/>
        <item x="411"/>
        <item x="204"/>
        <item x="199"/>
        <item x="125"/>
        <item x="18"/>
        <item x="243"/>
        <item x="202"/>
        <item x="114"/>
        <item x="511"/>
        <item x="296"/>
        <item x="397"/>
        <item x="381"/>
        <item x="473"/>
        <item x="229"/>
        <item x="154"/>
        <item x="77"/>
        <item x="402"/>
        <item x="284"/>
        <item x="3"/>
        <item x="44"/>
        <item x="71"/>
        <item x="49"/>
        <item x="140"/>
        <item x="322"/>
        <item x="81"/>
        <item x="340"/>
        <item x="109"/>
        <item x="17"/>
        <item x="128"/>
        <item x="244"/>
        <item x="377"/>
        <item x="491"/>
        <item x="378"/>
        <item x="150"/>
        <item x="445"/>
        <item x="211"/>
        <item x="415"/>
        <item x="190"/>
        <item x="105"/>
        <item x="238"/>
        <item x="129"/>
        <item x="380"/>
        <item x="103"/>
        <item x="67"/>
        <item x="418"/>
        <item x="29"/>
        <item x="23"/>
        <item x="198"/>
        <item x="228"/>
        <item x="82"/>
        <item x="203"/>
        <item x="193"/>
        <item x="501"/>
        <item x="300"/>
        <item x="278"/>
        <item x="342"/>
        <item x="328"/>
        <item x="345"/>
        <item x="434"/>
        <item x="335"/>
        <item x="400"/>
        <item x="514"/>
        <item x="255"/>
        <item x="239"/>
        <item x="279"/>
        <item x="121"/>
        <item x="429"/>
        <item x="256"/>
        <item x="13"/>
        <item x="272"/>
        <item x="364"/>
        <item x="408"/>
        <item x="223"/>
        <item x="305"/>
        <item x="386"/>
        <item x="130"/>
        <item x="119"/>
        <item x="38"/>
        <item x="83"/>
        <item x="135"/>
        <item x="435"/>
        <item x="410"/>
        <item x="367"/>
        <item x="201"/>
        <item x="36"/>
        <item x="356"/>
        <item x="436"/>
        <item x="451"/>
        <item x="308"/>
        <item x="470"/>
        <item x="15"/>
        <item x="440"/>
        <item x="513"/>
        <item x="22"/>
        <item x="519"/>
        <item x="205"/>
        <item x="365"/>
        <item x="518"/>
        <item x="192"/>
        <item x="347"/>
        <item x="236"/>
        <item x="30"/>
        <item x="254"/>
        <item x="151"/>
        <item x="234"/>
        <item x="472"/>
        <item x="221"/>
        <item x="348"/>
        <item x="517"/>
        <item x="476"/>
        <item x="169"/>
        <item x="115"/>
        <item x="48"/>
        <item x="433"/>
        <item x="388"/>
        <item x="14"/>
        <item x="222"/>
        <item x="259"/>
        <item x="164"/>
        <item x="362"/>
        <item x="417"/>
        <item x="237"/>
        <item x="252"/>
        <item x="457"/>
        <item x="508"/>
        <item x="99"/>
        <item x="401"/>
        <item x="316"/>
        <item x="41"/>
        <item x="288"/>
        <item x="479"/>
        <item x="98"/>
        <item x="262"/>
        <item x="250"/>
        <item x="123"/>
        <item x="498"/>
        <item x="136"/>
        <item x="39"/>
        <item x="85"/>
        <item x="208"/>
        <item x="266"/>
        <item x="413"/>
        <item x="230"/>
        <item x="510"/>
        <item x="376"/>
        <item x="301"/>
        <item x="50"/>
        <item x="406"/>
        <item x="155"/>
        <item x="11"/>
        <item x="290"/>
        <item x="311"/>
        <item x="427"/>
        <item x="176"/>
        <item x="7"/>
        <item x="465"/>
        <item x="390"/>
        <item x="89"/>
        <item x="460"/>
        <item x="327"/>
        <item x="461"/>
        <item x="398"/>
        <item x="483"/>
        <item x="292"/>
        <item x="2"/>
        <item x="93"/>
        <item x="375"/>
        <item x="350"/>
        <item x="271"/>
        <item x="462"/>
        <item x="55"/>
        <item x="416"/>
        <item x="251"/>
        <item x="183"/>
        <item x="303"/>
        <item x="449"/>
        <item x="253"/>
        <item x="505"/>
        <item x="245"/>
        <item x="170"/>
        <item x="285"/>
        <item x="133"/>
        <item x="163"/>
        <item x="346"/>
        <item x="493"/>
        <item x="172"/>
        <item x="371"/>
        <item x="392"/>
        <item x="489"/>
        <item x="160"/>
        <item x="59"/>
        <item x="419"/>
        <item x="468"/>
        <item x="214"/>
        <item x="16"/>
        <item x="74"/>
        <item x="171"/>
        <item x="359"/>
        <item x="118"/>
        <item x="487"/>
        <item x="232"/>
        <item x="240"/>
        <item x="515"/>
        <item x="167"/>
        <item x="332"/>
        <item x="334"/>
        <item x="490"/>
        <item x="79"/>
        <item x="235"/>
        <item x="349"/>
        <item x="370"/>
        <item x="104"/>
        <item x="477"/>
        <item x="466"/>
        <item x="403"/>
        <item x="351"/>
        <item x="261"/>
        <item x="430"/>
        <item x="437"/>
        <item x="391"/>
        <item x="412"/>
        <item x="179"/>
        <item x="447"/>
        <item x="242"/>
        <item x="90"/>
        <item x="200"/>
        <item x="360"/>
        <item x="394"/>
        <item x="504"/>
        <item x="516"/>
        <item x="0"/>
        <item x="509"/>
        <item x="341"/>
        <item x="379"/>
        <item x="69"/>
        <item x="72"/>
        <item x="84"/>
        <item x="260"/>
        <item x="474"/>
        <item x="425"/>
        <item x="241"/>
        <item x="70"/>
        <item x="76"/>
        <item x="196"/>
        <item x="131"/>
        <item x="458"/>
        <item x="353"/>
        <item x="309"/>
        <item x="287"/>
        <item x="455"/>
        <item x="302"/>
        <item x="75"/>
        <item x="496"/>
        <item x="31"/>
        <item x="339"/>
        <item x="26"/>
        <item x="178"/>
        <item x="57"/>
        <item x="102"/>
        <item x="357"/>
        <item x="306"/>
        <item x="108"/>
        <item x="51"/>
        <item x="224"/>
        <item x="503"/>
        <item x="165"/>
        <item x="92"/>
        <item x="475"/>
        <item x="482"/>
        <item x="158"/>
        <item x="512"/>
        <item x="299"/>
        <item x="34"/>
        <item x="157"/>
        <item x="312"/>
        <item x="426"/>
        <item x="173"/>
        <item x="485"/>
        <item x="9"/>
        <item x="405"/>
        <item x="213"/>
        <item x="46"/>
        <item x="27"/>
        <item x="354"/>
        <item x="116"/>
        <item x="320"/>
        <item x="194"/>
        <item x="210"/>
        <item x="295"/>
        <item x="385"/>
        <item x="319"/>
        <item x="464"/>
        <item x="438"/>
        <item x="258"/>
        <item x="336"/>
        <item x="43"/>
        <item x="277"/>
        <item x="111"/>
        <item x="450"/>
        <item x="197"/>
        <item x="162"/>
        <item x="246"/>
        <item x="62"/>
        <item x="161"/>
        <item x="268"/>
        <item x="80"/>
        <item x="78"/>
        <item x="269"/>
        <item x="126"/>
        <item x="317"/>
        <item x="209"/>
        <item x="247"/>
        <item x="387"/>
        <item x="110"/>
        <item x="395"/>
        <item x="231"/>
        <item x="422"/>
        <item x="456"/>
        <item x="372"/>
        <item x="467"/>
        <item x="45"/>
        <item x="186"/>
        <item x="132"/>
        <item x="137"/>
        <item x="65"/>
        <item x="502"/>
        <item x="382"/>
        <item x="267"/>
        <item x="286"/>
        <item x="333"/>
        <item x="453"/>
        <item x="270"/>
        <item x="217"/>
        <item x="53"/>
        <item x="1"/>
        <item x="225"/>
        <item x="91"/>
        <item x="61"/>
        <item x="206"/>
        <item x="249"/>
        <item x="96"/>
        <item x="337"/>
        <item x="321"/>
        <item x="432"/>
        <item x="152"/>
        <item x="54"/>
        <item x="117"/>
        <item x="368"/>
        <item x="281"/>
        <item x="207"/>
        <item x="275"/>
        <item x="156"/>
        <item x="471"/>
        <item x="263"/>
        <item x="307"/>
        <item x="344"/>
        <item x="500"/>
        <item x="138"/>
        <item x="63"/>
        <item x="273"/>
        <item x="304"/>
        <item x="184"/>
        <item x="120"/>
        <item x="331"/>
        <item x="374"/>
        <item x="423"/>
        <item x="153"/>
        <item x="159"/>
        <item x="383"/>
        <item x="448"/>
        <item x="122"/>
        <item x="486"/>
        <item x="191"/>
        <item x="318"/>
        <item x="352"/>
        <item x="174"/>
        <item x="25"/>
        <item x="4"/>
        <item x="338"/>
        <item x="506"/>
        <item x="396"/>
        <item x="393"/>
        <item x="478"/>
        <item x="87"/>
        <item x="297"/>
        <item x="127"/>
        <item x="144"/>
        <item t="default"/>
      </items>
    </pivotField>
    <pivotField showAll="0"/>
    <pivotField numFmtId="165" showAll="0"/>
    <pivotField numFmtId="14" showAll="0"/>
    <pivotField showAll="0">
      <items count="4">
        <item x="1"/>
        <item x="2"/>
        <item x="0"/>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showAll="0"/>
    <pivotField showAll="0"/>
    <pivotField showAll="0"/>
    <pivotField numFmtId="14" showAll="0">
      <items count="565">
        <item x="94"/>
        <item x="92"/>
        <item x="79"/>
        <item x="2"/>
        <item x="97"/>
        <item x="20"/>
        <item x="40"/>
        <item x="90"/>
        <item x="91"/>
        <item x="7"/>
        <item x="85"/>
        <item x="98"/>
        <item x="49"/>
        <item x="54"/>
        <item x="39"/>
        <item x="36"/>
        <item x="89"/>
        <item x="78"/>
        <item x="9"/>
        <item x="69"/>
        <item x="76"/>
        <item x="13"/>
        <item x="64"/>
        <item x="15"/>
        <item x="52"/>
        <item x="50"/>
        <item x="35"/>
        <item x="70"/>
        <item x="87"/>
        <item x="32"/>
        <item x="0"/>
        <item x="3"/>
        <item x="95"/>
        <item x="22"/>
        <item x="53"/>
        <item x="63"/>
        <item x="33"/>
        <item x="43"/>
        <item x="58"/>
        <item x="4"/>
        <item x="72"/>
        <item x="11"/>
        <item x="23"/>
        <item x="57"/>
        <item x="10"/>
        <item x="68"/>
        <item x="31"/>
        <item x="42"/>
        <item x="65"/>
        <item x="59"/>
        <item x="71"/>
        <item x="34"/>
        <item x="12"/>
        <item x="88"/>
        <item x="61"/>
        <item x="46"/>
        <item x="81"/>
        <item x="93"/>
        <item x="74"/>
        <item x="73"/>
        <item x="38"/>
        <item x="17"/>
        <item x="6"/>
        <item x="21"/>
        <item x="47"/>
        <item x="62"/>
        <item x="18"/>
        <item x="25"/>
        <item x="41"/>
        <item x="30"/>
        <item x="86"/>
        <item x="16"/>
        <item x="27"/>
        <item x="48"/>
        <item x="28"/>
        <item x="83"/>
        <item x="5"/>
        <item x="77"/>
        <item x="8"/>
        <item x="19"/>
        <item x="1"/>
        <item x="84"/>
        <item x="51"/>
        <item x="55"/>
        <item x="406"/>
        <item x="96"/>
        <item x="235"/>
        <item x="322"/>
        <item x="372"/>
        <item x="442"/>
        <item x="256"/>
        <item x="413"/>
        <item x="113"/>
        <item x="67"/>
        <item x="180"/>
        <item x="231"/>
        <item x="303"/>
        <item x="281"/>
        <item x="210"/>
        <item x="170"/>
        <item x="24"/>
        <item x="531"/>
        <item x="403"/>
        <item x="108"/>
        <item x="173"/>
        <item x="548"/>
        <item x="425"/>
        <item x="522"/>
        <item x="473"/>
        <item x="335"/>
        <item x="333"/>
        <item x="446"/>
        <item x="532"/>
        <item x="251"/>
        <item x="285"/>
        <item x="435"/>
        <item x="496"/>
        <item x="60"/>
        <item x="321"/>
        <item x="334"/>
        <item x="452"/>
        <item x="506"/>
        <item x="409"/>
        <item x="274"/>
        <item x="26"/>
        <item x="134"/>
        <item x="82"/>
        <item x="37"/>
        <item x="261"/>
        <item x="14"/>
        <item x="517"/>
        <item x="353"/>
        <item x="421"/>
        <item x="266"/>
        <item x="316"/>
        <item x="194"/>
        <item x="314"/>
        <item x="486"/>
        <item x="541"/>
        <item x="157"/>
        <item x="29"/>
        <item x="318"/>
        <item x="375"/>
        <item x="459"/>
        <item x="543"/>
        <item x="66"/>
        <item x="465"/>
        <item x="552"/>
        <item x="487"/>
        <item x="195"/>
        <item x="138"/>
        <item x="313"/>
        <item x="362"/>
        <item x="447"/>
        <item x="174"/>
        <item x="460"/>
        <item x="179"/>
        <item x="391"/>
        <item x="80"/>
        <item x="239"/>
        <item x="505"/>
        <item x="555"/>
        <item x="75"/>
        <item x="254"/>
        <item x="45"/>
        <item x="365"/>
        <item x="390"/>
        <item x="374"/>
        <item x="348"/>
        <item x="221"/>
        <item x="115"/>
        <item x="56"/>
        <item x="183"/>
        <item x="407"/>
        <item x="402"/>
        <item x="253"/>
        <item x="244"/>
        <item x="520"/>
        <item x="309"/>
        <item x="228"/>
        <item x="512"/>
        <item x="366"/>
        <item x="342"/>
        <item x="434"/>
        <item x="229"/>
        <item x="319"/>
        <item x="538"/>
        <item x="123"/>
        <item x="105"/>
        <item x="500"/>
        <item x="410"/>
        <item x="363"/>
        <item x="236"/>
        <item x="557"/>
        <item x="397"/>
        <item x="293"/>
        <item x="396"/>
        <item x="158"/>
        <item x="439"/>
        <item x="463"/>
        <item x="404"/>
        <item x="222"/>
        <item x="384"/>
        <item x="143"/>
        <item x="558"/>
        <item x="146"/>
        <item x="193"/>
        <item x="559"/>
        <item x="330"/>
        <item x="262"/>
        <item x="423"/>
        <item x="245"/>
        <item x="411"/>
        <item x="192"/>
        <item x="340"/>
        <item x="356"/>
        <item x="323"/>
        <item x="203"/>
        <item x="441"/>
        <item x="172"/>
        <item x="419"/>
        <item x="508"/>
        <item x="556"/>
        <item x="530"/>
        <item x="175"/>
        <item x="269"/>
        <item x="477"/>
        <item x="540"/>
        <item x="44"/>
        <item x="511"/>
        <item x="151"/>
        <item x="492"/>
        <item x="326"/>
        <item x="428"/>
        <item x="308"/>
        <item x="450"/>
        <item x="471"/>
        <item x="132"/>
        <item x="198"/>
        <item x="206"/>
        <item x="213"/>
        <item x="145"/>
        <item x="257"/>
        <item x="533"/>
        <item x="412"/>
        <item x="545"/>
        <item x="501"/>
        <item x="112"/>
        <item x="136"/>
        <item x="527"/>
        <item x="241"/>
        <item x="311"/>
        <item x="499"/>
        <item x="250"/>
        <item x="523"/>
        <item x="490"/>
        <item x="242"/>
        <item x="276"/>
        <item x="237"/>
        <item x="347"/>
        <item x="408"/>
        <item x="346"/>
        <item x="455"/>
        <item x="489"/>
        <item x="509"/>
        <item x="364"/>
        <item x="155"/>
        <item x="103"/>
        <item x="553"/>
        <item x="212"/>
        <item x="279"/>
        <item x="457"/>
        <item x="535"/>
        <item x="369"/>
        <item x="177"/>
        <item x="427"/>
        <item x="264"/>
        <item x="484"/>
        <item x="160"/>
        <item x="121"/>
        <item x="176"/>
        <item x="493"/>
        <item x="202"/>
        <item x="186"/>
        <item x="265"/>
        <item x="287"/>
        <item x="218"/>
        <item x="327"/>
        <item x="142"/>
        <item x="124"/>
        <item x="127"/>
        <item x="300"/>
        <item x="166"/>
        <item x="178"/>
        <item x="332"/>
        <item x="528"/>
        <item x="401"/>
        <item x="329"/>
        <item x="357"/>
        <item x="225"/>
        <item x="377"/>
        <item x="306"/>
        <item x="355"/>
        <item x="360"/>
        <item x="467"/>
        <item x="246"/>
        <item x="444"/>
        <item x="392"/>
        <item x="325"/>
        <item x="131"/>
        <item x="135"/>
        <item x="352"/>
        <item x="117"/>
        <item x="302"/>
        <item x="149"/>
        <item x="376"/>
        <item x="288"/>
        <item x="292"/>
        <item x="315"/>
        <item x="440"/>
        <item x="109"/>
        <item x="383"/>
        <item x="282"/>
        <item x="100"/>
        <item x="182"/>
        <item x="525"/>
        <item x="453"/>
        <item x="129"/>
        <item x="125"/>
        <item x="171"/>
        <item x="211"/>
        <item x="102"/>
        <item x="448"/>
        <item x="217"/>
        <item x="554"/>
        <item x="370"/>
        <item x="191"/>
        <item x="443"/>
        <item x="118"/>
        <item x="294"/>
        <item x="414"/>
        <item x="350"/>
        <item x="529"/>
        <item x="331"/>
        <item x="153"/>
        <item x="111"/>
        <item x="99"/>
        <item x="185"/>
        <item x="526"/>
        <item x="133"/>
        <item x="415"/>
        <item x="214"/>
        <item x="106"/>
        <item x="388"/>
        <item x="468"/>
        <item x="429"/>
        <item x="101"/>
        <item x="243"/>
        <item x="291"/>
        <item x="273"/>
        <item x="343"/>
        <item x="297"/>
        <item x="387"/>
        <item x="272"/>
        <item x="456"/>
        <item x="504"/>
        <item x="422"/>
        <item x="208"/>
        <item x="144"/>
        <item x="399"/>
        <item x="147"/>
        <item x="137"/>
        <item x="482"/>
        <item x="424"/>
        <item x="141"/>
        <item x="386"/>
        <item x="120"/>
        <item x="278"/>
        <item x="510"/>
        <item x="317"/>
        <item x="562"/>
        <item x="299"/>
        <item x="268"/>
        <item x="371"/>
        <item x="289"/>
        <item x="338"/>
        <item x="255"/>
        <item x="542"/>
        <item x="122"/>
        <item x="324"/>
        <item x="307"/>
        <item x="426"/>
        <item x="150"/>
        <item x="197"/>
        <item x="547"/>
        <item x="275"/>
        <item x="436"/>
        <item x="188"/>
        <item x="219"/>
        <item x="380"/>
        <item x="563"/>
        <item x="312"/>
        <item x="491"/>
        <item x="437"/>
        <item x="359"/>
        <item x="405"/>
        <item x="514"/>
        <item x="378"/>
        <item x="126"/>
        <item x="296"/>
        <item x="521"/>
        <item x="420"/>
        <item x="207"/>
        <item x="156"/>
        <item x="161"/>
        <item x="209"/>
        <item x="480"/>
        <item x="216"/>
        <item x="349"/>
        <item x="169"/>
        <item x="247"/>
        <item x="284"/>
        <item x="337"/>
        <item x="451"/>
        <item x="267"/>
        <item x="164"/>
        <item x="454"/>
        <item x="479"/>
        <item x="431"/>
        <item x="498"/>
        <item x="400"/>
        <item x="152"/>
        <item x="260"/>
        <item x="238"/>
        <item x="361"/>
        <item x="524"/>
        <item x="418"/>
        <item x="204"/>
        <item x="283"/>
        <item x="469"/>
        <item x="240"/>
        <item x="516"/>
        <item x="495"/>
        <item x="252"/>
        <item x="549"/>
        <item x="351"/>
        <item x="546"/>
        <item x="277"/>
        <item x="165"/>
        <item x="249"/>
        <item x="181"/>
        <item x="232"/>
        <item x="305"/>
        <item x="367"/>
        <item x="162"/>
        <item x="502"/>
        <item x="368"/>
        <item x="320"/>
        <item x="464"/>
        <item x="230"/>
        <item x="536"/>
        <item x="233"/>
        <item x="167"/>
        <item x="220"/>
        <item x="382"/>
        <item x="474"/>
        <item x="226"/>
        <item x="518"/>
        <item x="534"/>
        <item x="438"/>
        <item x="433"/>
        <item x="290"/>
        <item x="215"/>
        <item x="248"/>
        <item x="139"/>
        <item x="462"/>
        <item x="485"/>
        <item x="449"/>
        <item x="280"/>
        <item x="561"/>
        <item x="271"/>
        <item x="224"/>
        <item x="301"/>
        <item x="341"/>
        <item x="107"/>
        <item x="270"/>
        <item x="430"/>
        <item x="148"/>
        <item x="304"/>
        <item x="196"/>
        <item x="223"/>
        <item x="200"/>
        <item x="515"/>
        <item x="466"/>
        <item x="519"/>
        <item x="381"/>
        <item x="385"/>
        <item x="476"/>
        <item x="497"/>
        <item x="551"/>
        <item x="398"/>
        <item x="130"/>
        <item x="201"/>
        <item x="336"/>
        <item x="507"/>
        <item x="537"/>
        <item x="472"/>
        <item x="373"/>
        <item x="258"/>
        <item x="154"/>
        <item x="344"/>
        <item x="163"/>
        <item x="184"/>
        <item x="140"/>
        <item x="234"/>
        <item x="110"/>
        <item x="354"/>
        <item x="416"/>
        <item x="259"/>
        <item x="128"/>
        <item x="478"/>
        <item x="358"/>
        <item x="488"/>
        <item x="417"/>
        <item x="550"/>
        <item x="395"/>
        <item x="539"/>
        <item x="119"/>
        <item x="379"/>
        <item x="286"/>
        <item x="445"/>
        <item x="458"/>
        <item x="389"/>
        <item x="114"/>
        <item x="560"/>
        <item x="189"/>
        <item x="159"/>
        <item x="345"/>
        <item x="470"/>
        <item x="263"/>
        <item x="393"/>
        <item x="295"/>
        <item x="481"/>
        <item x="513"/>
        <item x="310"/>
        <item x="494"/>
        <item x="190"/>
        <item x="328"/>
        <item x="432"/>
        <item x="475"/>
        <item x="227"/>
        <item x="503"/>
        <item x="394"/>
        <item x="544"/>
        <item x="187"/>
        <item x="116"/>
        <item x="298"/>
        <item x="104"/>
        <item x="461"/>
        <item x="199"/>
        <item x="168"/>
        <item x="483"/>
        <item x="205"/>
        <item x="3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5"/>
  </rowFields>
  <rowItems count="12">
    <i>
      <x/>
    </i>
    <i>
      <x v="1"/>
    </i>
    <i>
      <x v="2"/>
    </i>
    <i>
      <x v="3"/>
    </i>
    <i>
      <x v="4"/>
    </i>
    <i>
      <x v="5"/>
    </i>
    <i>
      <x v="6"/>
    </i>
    <i>
      <x v="7"/>
    </i>
    <i>
      <x v="8"/>
    </i>
    <i>
      <x v="9"/>
    </i>
    <i>
      <x v="10"/>
    </i>
    <i t="grand">
      <x/>
    </i>
  </rowItems>
  <colItems count="1">
    <i/>
  </colItems>
  <dataFields count="1">
    <dataField name="Count of ManagerName" fld="7" subtotal="count" baseField="0" baseItem="0"/>
  </dataFields>
  <formats count="8">
    <format dxfId="58">
      <pivotArea dataOnly="0" labelOnly="1" outline="0" axis="axisValues"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5" type="button" dataOnly="0" labelOnly="1" outline="0" axis="axisRow" fieldPosition="0"/>
    </format>
    <format dxfId="53">
      <pivotArea dataOnly="0" labelOnly="1" fieldPosition="0">
        <references count="1">
          <reference field="5" count="0"/>
        </references>
      </pivotArea>
    </format>
    <format dxfId="52">
      <pivotArea dataOnly="0" labelOnly="1" grandRow="1" outline="0" fieldPosition="0"/>
    </format>
    <format dxfId="5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9DDEC4-73DF-4650-AF60-654401FD2B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3:B45" firstHeaderRow="1" firstDataRow="1" firstDataCol="1"/>
  <pivotFields count="36">
    <pivotField showAll="0"/>
    <pivotField showAll="0"/>
    <pivotField showAll="0"/>
    <pivotField showAll="0"/>
    <pivotField showAll="0">
      <items count="3">
        <item x="1"/>
        <item x="0"/>
        <item t="default"/>
      </items>
    </pivotField>
    <pivotField axis="axisRow" showAll="0">
      <items count="12">
        <item x="3"/>
        <item x="5"/>
        <item x="9"/>
        <item x="7"/>
        <item x="6"/>
        <item x="1"/>
        <item x="10"/>
        <item x="0"/>
        <item x="8"/>
        <item x="4"/>
        <item x="2"/>
        <item t="default"/>
      </items>
    </pivotField>
    <pivotField showAll="0">
      <items count="36">
        <item x="10"/>
        <item x="22"/>
        <item x="11"/>
        <item x="17"/>
        <item x="13"/>
        <item x="31"/>
        <item x="5"/>
        <item x="30"/>
        <item x="28"/>
        <item x="6"/>
        <item x="14"/>
        <item x="21"/>
        <item x="7"/>
        <item x="34"/>
        <item x="20"/>
        <item x="29"/>
        <item x="26"/>
        <item x="18"/>
        <item x="4"/>
        <item x="33"/>
        <item x="19"/>
        <item x="23"/>
        <item x="27"/>
        <item x="9"/>
        <item x="0"/>
        <item x="2"/>
        <item x="32"/>
        <item x="16"/>
        <item x="24"/>
        <item x="25"/>
        <item x="3"/>
        <item x="12"/>
        <item x="8"/>
        <item x="1"/>
        <item x="15"/>
        <item t="default"/>
      </items>
    </pivotField>
    <pivotField dataField="1" showAll="0">
      <items count="521">
        <item x="326"/>
        <item x="310"/>
        <item x="442"/>
        <item x="177"/>
        <item x="452"/>
        <item x="60"/>
        <item x="189"/>
        <item x="343"/>
        <item x="6"/>
        <item x="399"/>
        <item x="32"/>
        <item x="218"/>
        <item x="463"/>
        <item x="366"/>
        <item x="313"/>
        <item x="369"/>
        <item x="24"/>
        <item x="5"/>
        <item x="480"/>
        <item x="145"/>
        <item x="373"/>
        <item x="454"/>
        <item x="329"/>
        <item x="330"/>
        <item x="107"/>
        <item x="134"/>
        <item x="188"/>
        <item x="459"/>
        <item x="446"/>
        <item x="139"/>
        <item x="143"/>
        <item x="166"/>
        <item x="421"/>
        <item x="497"/>
        <item x="414"/>
        <item x="101"/>
        <item x="283"/>
        <item x="469"/>
        <item x="439"/>
        <item x="40"/>
        <item x="294"/>
        <item x="492"/>
        <item x="488"/>
        <item x="293"/>
        <item x="20"/>
        <item x="276"/>
        <item x="12"/>
        <item x="494"/>
        <item x="8"/>
        <item x="248"/>
        <item x="298"/>
        <item x="19"/>
        <item x="212"/>
        <item x="88"/>
        <item x="141"/>
        <item x="148"/>
        <item x="112"/>
        <item x="420"/>
        <item x="106"/>
        <item x="86"/>
        <item x="407"/>
        <item x="274"/>
        <item x="142"/>
        <item x="389"/>
        <item x="216"/>
        <item x="291"/>
        <item x="146"/>
        <item x="227"/>
        <item x="257"/>
        <item x="233"/>
        <item x="219"/>
        <item x="499"/>
        <item x="175"/>
        <item x="180"/>
        <item x="264"/>
        <item x="47"/>
        <item x="431"/>
        <item x="355"/>
        <item x="35"/>
        <item x="28"/>
        <item x="124"/>
        <item x="484"/>
        <item x="100"/>
        <item x="507"/>
        <item x="358"/>
        <item x="97"/>
        <item x="94"/>
        <item x="182"/>
        <item x="265"/>
        <item x="323"/>
        <item x="185"/>
        <item x="404"/>
        <item x="64"/>
        <item x="289"/>
        <item x="424"/>
        <item x="66"/>
        <item x="58"/>
        <item x="56"/>
        <item x="443"/>
        <item x="384"/>
        <item x="428"/>
        <item x="113"/>
        <item x="363"/>
        <item x="444"/>
        <item x="52"/>
        <item x="73"/>
        <item x="282"/>
        <item x="280"/>
        <item x="95"/>
        <item x="21"/>
        <item x="42"/>
        <item x="324"/>
        <item x="220"/>
        <item x="409"/>
        <item x="495"/>
        <item x="441"/>
        <item x="195"/>
        <item x="187"/>
        <item x="315"/>
        <item x="33"/>
        <item x="314"/>
        <item x="481"/>
        <item x="361"/>
        <item x="168"/>
        <item x="68"/>
        <item x="226"/>
        <item x="149"/>
        <item x="37"/>
        <item x="147"/>
        <item x="325"/>
        <item x="215"/>
        <item x="10"/>
        <item x="181"/>
        <item x="411"/>
        <item x="204"/>
        <item x="199"/>
        <item x="125"/>
        <item x="18"/>
        <item x="243"/>
        <item x="202"/>
        <item x="114"/>
        <item x="511"/>
        <item x="296"/>
        <item x="397"/>
        <item x="381"/>
        <item x="473"/>
        <item x="229"/>
        <item x="154"/>
        <item x="77"/>
        <item x="402"/>
        <item x="284"/>
        <item x="3"/>
        <item x="44"/>
        <item x="71"/>
        <item x="49"/>
        <item x="140"/>
        <item x="322"/>
        <item x="81"/>
        <item x="340"/>
        <item x="109"/>
        <item x="17"/>
        <item x="128"/>
        <item x="244"/>
        <item x="377"/>
        <item x="491"/>
        <item x="378"/>
        <item x="150"/>
        <item x="445"/>
        <item x="211"/>
        <item x="415"/>
        <item x="190"/>
        <item x="105"/>
        <item x="238"/>
        <item x="129"/>
        <item x="380"/>
        <item x="103"/>
        <item x="67"/>
        <item x="418"/>
        <item x="29"/>
        <item x="23"/>
        <item x="198"/>
        <item x="228"/>
        <item x="82"/>
        <item x="203"/>
        <item x="193"/>
        <item x="501"/>
        <item x="300"/>
        <item x="278"/>
        <item x="342"/>
        <item x="328"/>
        <item x="345"/>
        <item x="434"/>
        <item x="335"/>
        <item x="400"/>
        <item x="514"/>
        <item x="255"/>
        <item x="239"/>
        <item x="279"/>
        <item x="121"/>
        <item x="429"/>
        <item x="256"/>
        <item x="13"/>
        <item x="272"/>
        <item x="364"/>
        <item x="408"/>
        <item x="223"/>
        <item x="305"/>
        <item x="386"/>
        <item x="130"/>
        <item x="119"/>
        <item x="38"/>
        <item x="83"/>
        <item x="135"/>
        <item x="435"/>
        <item x="410"/>
        <item x="367"/>
        <item x="201"/>
        <item x="36"/>
        <item x="356"/>
        <item x="436"/>
        <item x="451"/>
        <item x="308"/>
        <item x="470"/>
        <item x="15"/>
        <item x="440"/>
        <item x="513"/>
        <item x="22"/>
        <item x="519"/>
        <item x="205"/>
        <item x="365"/>
        <item x="518"/>
        <item x="192"/>
        <item x="347"/>
        <item x="236"/>
        <item x="30"/>
        <item x="254"/>
        <item x="151"/>
        <item x="234"/>
        <item x="472"/>
        <item x="221"/>
        <item x="348"/>
        <item x="517"/>
        <item x="476"/>
        <item x="169"/>
        <item x="115"/>
        <item x="48"/>
        <item x="433"/>
        <item x="388"/>
        <item x="14"/>
        <item x="222"/>
        <item x="259"/>
        <item x="164"/>
        <item x="362"/>
        <item x="417"/>
        <item x="237"/>
        <item x="252"/>
        <item x="457"/>
        <item x="508"/>
        <item x="99"/>
        <item x="401"/>
        <item x="316"/>
        <item x="41"/>
        <item x="288"/>
        <item x="479"/>
        <item x="98"/>
        <item x="262"/>
        <item x="250"/>
        <item x="123"/>
        <item x="498"/>
        <item x="136"/>
        <item x="39"/>
        <item x="85"/>
        <item x="208"/>
        <item x="266"/>
        <item x="413"/>
        <item x="230"/>
        <item x="510"/>
        <item x="376"/>
        <item x="301"/>
        <item x="50"/>
        <item x="406"/>
        <item x="155"/>
        <item x="11"/>
        <item x="290"/>
        <item x="311"/>
        <item x="427"/>
        <item x="176"/>
        <item x="7"/>
        <item x="465"/>
        <item x="390"/>
        <item x="89"/>
        <item x="460"/>
        <item x="327"/>
        <item x="461"/>
        <item x="398"/>
        <item x="483"/>
        <item x="292"/>
        <item x="2"/>
        <item x="93"/>
        <item x="375"/>
        <item x="350"/>
        <item x="271"/>
        <item x="462"/>
        <item x="55"/>
        <item x="416"/>
        <item x="251"/>
        <item x="183"/>
        <item x="303"/>
        <item x="449"/>
        <item x="253"/>
        <item x="505"/>
        <item x="245"/>
        <item x="170"/>
        <item x="285"/>
        <item x="133"/>
        <item x="163"/>
        <item x="346"/>
        <item x="493"/>
        <item x="172"/>
        <item x="371"/>
        <item x="392"/>
        <item x="489"/>
        <item x="160"/>
        <item x="59"/>
        <item x="419"/>
        <item x="468"/>
        <item x="214"/>
        <item x="16"/>
        <item x="74"/>
        <item x="171"/>
        <item x="359"/>
        <item x="118"/>
        <item x="487"/>
        <item x="232"/>
        <item x="240"/>
        <item x="515"/>
        <item x="167"/>
        <item x="332"/>
        <item x="334"/>
        <item x="490"/>
        <item x="79"/>
        <item x="235"/>
        <item x="349"/>
        <item x="370"/>
        <item x="104"/>
        <item x="477"/>
        <item x="466"/>
        <item x="403"/>
        <item x="351"/>
        <item x="261"/>
        <item x="430"/>
        <item x="437"/>
        <item x="391"/>
        <item x="412"/>
        <item x="179"/>
        <item x="447"/>
        <item x="242"/>
        <item x="90"/>
        <item x="200"/>
        <item x="360"/>
        <item x="394"/>
        <item x="504"/>
        <item x="516"/>
        <item x="0"/>
        <item x="509"/>
        <item x="341"/>
        <item x="379"/>
        <item x="69"/>
        <item x="72"/>
        <item x="84"/>
        <item x="260"/>
        <item x="474"/>
        <item x="425"/>
        <item x="241"/>
        <item x="70"/>
        <item x="76"/>
        <item x="196"/>
        <item x="131"/>
        <item x="458"/>
        <item x="353"/>
        <item x="309"/>
        <item x="287"/>
        <item x="455"/>
        <item x="302"/>
        <item x="75"/>
        <item x="496"/>
        <item x="31"/>
        <item x="339"/>
        <item x="26"/>
        <item x="178"/>
        <item x="57"/>
        <item x="102"/>
        <item x="357"/>
        <item x="306"/>
        <item x="108"/>
        <item x="51"/>
        <item x="224"/>
        <item x="503"/>
        <item x="165"/>
        <item x="92"/>
        <item x="475"/>
        <item x="482"/>
        <item x="158"/>
        <item x="512"/>
        <item x="299"/>
        <item x="34"/>
        <item x="157"/>
        <item x="312"/>
        <item x="426"/>
        <item x="173"/>
        <item x="485"/>
        <item x="9"/>
        <item x="405"/>
        <item x="213"/>
        <item x="46"/>
        <item x="27"/>
        <item x="354"/>
        <item x="116"/>
        <item x="320"/>
        <item x="194"/>
        <item x="210"/>
        <item x="295"/>
        <item x="385"/>
        <item x="319"/>
        <item x="464"/>
        <item x="438"/>
        <item x="258"/>
        <item x="336"/>
        <item x="43"/>
        <item x="277"/>
        <item x="111"/>
        <item x="450"/>
        <item x="197"/>
        <item x="162"/>
        <item x="246"/>
        <item x="62"/>
        <item x="161"/>
        <item x="268"/>
        <item x="80"/>
        <item x="78"/>
        <item x="269"/>
        <item x="126"/>
        <item x="317"/>
        <item x="209"/>
        <item x="247"/>
        <item x="387"/>
        <item x="110"/>
        <item x="395"/>
        <item x="231"/>
        <item x="422"/>
        <item x="456"/>
        <item x="372"/>
        <item x="467"/>
        <item x="45"/>
        <item x="186"/>
        <item x="132"/>
        <item x="137"/>
        <item x="65"/>
        <item x="502"/>
        <item x="382"/>
        <item x="267"/>
        <item x="286"/>
        <item x="333"/>
        <item x="453"/>
        <item x="270"/>
        <item x="217"/>
        <item x="53"/>
        <item x="1"/>
        <item x="225"/>
        <item x="91"/>
        <item x="61"/>
        <item x="206"/>
        <item x="249"/>
        <item x="96"/>
        <item x="337"/>
        <item x="321"/>
        <item x="432"/>
        <item x="152"/>
        <item x="54"/>
        <item x="117"/>
        <item x="368"/>
        <item x="281"/>
        <item x="207"/>
        <item x="275"/>
        <item x="156"/>
        <item x="471"/>
        <item x="263"/>
        <item x="307"/>
        <item x="344"/>
        <item x="500"/>
        <item x="138"/>
        <item x="63"/>
        <item x="273"/>
        <item x="304"/>
        <item x="184"/>
        <item x="120"/>
        <item x="331"/>
        <item x="374"/>
        <item x="423"/>
        <item x="153"/>
        <item x="159"/>
        <item x="383"/>
        <item x="448"/>
        <item x="122"/>
        <item x="486"/>
        <item x="191"/>
        <item x="318"/>
        <item x="352"/>
        <item x="174"/>
        <item x="25"/>
        <item x="4"/>
        <item x="338"/>
        <item x="506"/>
        <item x="396"/>
        <item x="393"/>
        <item x="478"/>
        <item x="87"/>
        <item x="297"/>
        <item x="127"/>
        <item x="144"/>
        <item t="default"/>
      </items>
    </pivotField>
    <pivotField showAll="0"/>
    <pivotField numFmtId="165" showAll="0"/>
    <pivotField numFmtId="14" showAll="0"/>
    <pivotField showAll="0">
      <items count="4">
        <item x="1"/>
        <item x="2"/>
        <item x="0"/>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showAll="0"/>
    <pivotField showAll="0"/>
    <pivotField showAll="0"/>
    <pivotField numFmtId="14" showAll="0">
      <items count="565">
        <item x="94"/>
        <item x="92"/>
        <item x="79"/>
        <item x="2"/>
        <item x="97"/>
        <item x="20"/>
        <item x="40"/>
        <item x="90"/>
        <item x="91"/>
        <item x="7"/>
        <item x="85"/>
        <item x="98"/>
        <item x="49"/>
        <item x="54"/>
        <item x="39"/>
        <item x="36"/>
        <item x="89"/>
        <item x="78"/>
        <item x="9"/>
        <item x="69"/>
        <item x="76"/>
        <item x="13"/>
        <item x="64"/>
        <item x="15"/>
        <item x="52"/>
        <item x="50"/>
        <item x="35"/>
        <item x="70"/>
        <item x="87"/>
        <item x="32"/>
        <item x="0"/>
        <item x="3"/>
        <item x="95"/>
        <item x="22"/>
        <item x="53"/>
        <item x="63"/>
        <item x="33"/>
        <item x="43"/>
        <item x="58"/>
        <item x="4"/>
        <item x="72"/>
        <item x="11"/>
        <item x="23"/>
        <item x="57"/>
        <item x="10"/>
        <item x="68"/>
        <item x="31"/>
        <item x="42"/>
        <item x="65"/>
        <item x="59"/>
        <item x="71"/>
        <item x="34"/>
        <item x="12"/>
        <item x="88"/>
        <item x="61"/>
        <item x="46"/>
        <item x="81"/>
        <item x="93"/>
        <item x="74"/>
        <item x="73"/>
        <item x="38"/>
        <item x="17"/>
        <item x="6"/>
        <item x="21"/>
        <item x="47"/>
        <item x="62"/>
        <item x="18"/>
        <item x="25"/>
        <item x="41"/>
        <item x="30"/>
        <item x="86"/>
        <item x="16"/>
        <item x="27"/>
        <item x="48"/>
        <item x="28"/>
        <item x="83"/>
        <item x="5"/>
        <item x="77"/>
        <item x="8"/>
        <item x="19"/>
        <item x="1"/>
        <item x="84"/>
        <item x="51"/>
        <item x="55"/>
        <item x="406"/>
        <item x="96"/>
        <item x="235"/>
        <item x="322"/>
        <item x="372"/>
        <item x="442"/>
        <item x="256"/>
        <item x="413"/>
        <item x="113"/>
        <item x="67"/>
        <item x="180"/>
        <item x="231"/>
        <item x="303"/>
        <item x="281"/>
        <item x="210"/>
        <item x="170"/>
        <item x="24"/>
        <item x="531"/>
        <item x="403"/>
        <item x="108"/>
        <item x="173"/>
        <item x="548"/>
        <item x="425"/>
        <item x="522"/>
        <item x="473"/>
        <item x="335"/>
        <item x="333"/>
        <item x="446"/>
        <item x="532"/>
        <item x="251"/>
        <item x="285"/>
        <item x="435"/>
        <item x="496"/>
        <item x="60"/>
        <item x="321"/>
        <item x="334"/>
        <item x="452"/>
        <item x="506"/>
        <item x="409"/>
        <item x="274"/>
        <item x="26"/>
        <item x="134"/>
        <item x="82"/>
        <item x="37"/>
        <item x="261"/>
        <item x="14"/>
        <item x="517"/>
        <item x="353"/>
        <item x="421"/>
        <item x="266"/>
        <item x="316"/>
        <item x="194"/>
        <item x="314"/>
        <item x="486"/>
        <item x="541"/>
        <item x="157"/>
        <item x="29"/>
        <item x="318"/>
        <item x="375"/>
        <item x="459"/>
        <item x="543"/>
        <item x="66"/>
        <item x="465"/>
        <item x="552"/>
        <item x="487"/>
        <item x="195"/>
        <item x="138"/>
        <item x="313"/>
        <item x="362"/>
        <item x="447"/>
        <item x="174"/>
        <item x="460"/>
        <item x="179"/>
        <item x="391"/>
        <item x="80"/>
        <item x="239"/>
        <item x="505"/>
        <item x="555"/>
        <item x="75"/>
        <item x="254"/>
        <item x="45"/>
        <item x="365"/>
        <item x="390"/>
        <item x="374"/>
        <item x="348"/>
        <item x="221"/>
        <item x="115"/>
        <item x="56"/>
        <item x="183"/>
        <item x="407"/>
        <item x="402"/>
        <item x="253"/>
        <item x="244"/>
        <item x="520"/>
        <item x="309"/>
        <item x="228"/>
        <item x="512"/>
        <item x="366"/>
        <item x="342"/>
        <item x="434"/>
        <item x="229"/>
        <item x="319"/>
        <item x="538"/>
        <item x="123"/>
        <item x="105"/>
        <item x="500"/>
        <item x="410"/>
        <item x="363"/>
        <item x="236"/>
        <item x="557"/>
        <item x="397"/>
        <item x="293"/>
        <item x="396"/>
        <item x="158"/>
        <item x="439"/>
        <item x="463"/>
        <item x="404"/>
        <item x="222"/>
        <item x="384"/>
        <item x="143"/>
        <item x="558"/>
        <item x="146"/>
        <item x="193"/>
        <item x="559"/>
        <item x="330"/>
        <item x="262"/>
        <item x="423"/>
        <item x="245"/>
        <item x="411"/>
        <item x="192"/>
        <item x="340"/>
        <item x="356"/>
        <item x="323"/>
        <item x="203"/>
        <item x="441"/>
        <item x="172"/>
        <item x="419"/>
        <item x="508"/>
        <item x="556"/>
        <item x="530"/>
        <item x="175"/>
        <item x="269"/>
        <item x="477"/>
        <item x="540"/>
        <item x="44"/>
        <item x="511"/>
        <item x="151"/>
        <item x="492"/>
        <item x="326"/>
        <item x="428"/>
        <item x="308"/>
        <item x="450"/>
        <item x="471"/>
        <item x="132"/>
        <item x="198"/>
        <item x="206"/>
        <item x="213"/>
        <item x="145"/>
        <item x="257"/>
        <item x="533"/>
        <item x="412"/>
        <item x="545"/>
        <item x="501"/>
        <item x="112"/>
        <item x="136"/>
        <item x="527"/>
        <item x="241"/>
        <item x="311"/>
        <item x="499"/>
        <item x="250"/>
        <item x="523"/>
        <item x="490"/>
        <item x="242"/>
        <item x="276"/>
        <item x="237"/>
        <item x="347"/>
        <item x="408"/>
        <item x="346"/>
        <item x="455"/>
        <item x="489"/>
        <item x="509"/>
        <item x="364"/>
        <item x="155"/>
        <item x="103"/>
        <item x="553"/>
        <item x="212"/>
        <item x="279"/>
        <item x="457"/>
        <item x="535"/>
        <item x="369"/>
        <item x="177"/>
        <item x="427"/>
        <item x="264"/>
        <item x="484"/>
        <item x="160"/>
        <item x="121"/>
        <item x="176"/>
        <item x="493"/>
        <item x="202"/>
        <item x="186"/>
        <item x="265"/>
        <item x="287"/>
        <item x="218"/>
        <item x="327"/>
        <item x="142"/>
        <item x="124"/>
        <item x="127"/>
        <item x="300"/>
        <item x="166"/>
        <item x="178"/>
        <item x="332"/>
        <item x="528"/>
        <item x="401"/>
        <item x="329"/>
        <item x="357"/>
        <item x="225"/>
        <item x="377"/>
        <item x="306"/>
        <item x="355"/>
        <item x="360"/>
        <item x="467"/>
        <item x="246"/>
        <item x="444"/>
        <item x="392"/>
        <item x="325"/>
        <item x="131"/>
        <item x="135"/>
        <item x="352"/>
        <item x="117"/>
        <item x="302"/>
        <item x="149"/>
        <item x="376"/>
        <item x="288"/>
        <item x="292"/>
        <item x="315"/>
        <item x="440"/>
        <item x="109"/>
        <item x="383"/>
        <item x="282"/>
        <item x="100"/>
        <item x="182"/>
        <item x="525"/>
        <item x="453"/>
        <item x="129"/>
        <item x="125"/>
        <item x="171"/>
        <item x="211"/>
        <item x="102"/>
        <item x="448"/>
        <item x="217"/>
        <item x="554"/>
        <item x="370"/>
        <item x="191"/>
        <item x="443"/>
        <item x="118"/>
        <item x="294"/>
        <item x="414"/>
        <item x="350"/>
        <item x="529"/>
        <item x="331"/>
        <item x="153"/>
        <item x="111"/>
        <item x="99"/>
        <item x="185"/>
        <item x="526"/>
        <item x="133"/>
        <item x="415"/>
        <item x="214"/>
        <item x="106"/>
        <item x="388"/>
        <item x="468"/>
        <item x="429"/>
        <item x="101"/>
        <item x="243"/>
        <item x="291"/>
        <item x="273"/>
        <item x="343"/>
        <item x="297"/>
        <item x="387"/>
        <item x="272"/>
        <item x="456"/>
        <item x="504"/>
        <item x="422"/>
        <item x="208"/>
        <item x="144"/>
        <item x="399"/>
        <item x="147"/>
        <item x="137"/>
        <item x="482"/>
        <item x="424"/>
        <item x="141"/>
        <item x="386"/>
        <item x="120"/>
        <item x="278"/>
        <item x="510"/>
        <item x="317"/>
        <item x="562"/>
        <item x="299"/>
        <item x="268"/>
        <item x="371"/>
        <item x="289"/>
        <item x="338"/>
        <item x="255"/>
        <item x="542"/>
        <item x="122"/>
        <item x="324"/>
        <item x="307"/>
        <item x="426"/>
        <item x="150"/>
        <item x="197"/>
        <item x="547"/>
        <item x="275"/>
        <item x="436"/>
        <item x="188"/>
        <item x="219"/>
        <item x="380"/>
        <item x="563"/>
        <item x="312"/>
        <item x="491"/>
        <item x="437"/>
        <item x="359"/>
        <item x="405"/>
        <item x="514"/>
        <item x="378"/>
        <item x="126"/>
        <item x="296"/>
        <item x="521"/>
        <item x="420"/>
        <item x="207"/>
        <item x="156"/>
        <item x="161"/>
        <item x="209"/>
        <item x="480"/>
        <item x="216"/>
        <item x="349"/>
        <item x="169"/>
        <item x="247"/>
        <item x="284"/>
        <item x="337"/>
        <item x="451"/>
        <item x="267"/>
        <item x="164"/>
        <item x="454"/>
        <item x="479"/>
        <item x="431"/>
        <item x="498"/>
        <item x="400"/>
        <item x="152"/>
        <item x="260"/>
        <item x="238"/>
        <item x="361"/>
        <item x="524"/>
        <item x="418"/>
        <item x="204"/>
        <item x="283"/>
        <item x="469"/>
        <item x="240"/>
        <item x="516"/>
        <item x="495"/>
        <item x="252"/>
        <item x="549"/>
        <item x="351"/>
        <item x="546"/>
        <item x="277"/>
        <item x="165"/>
        <item x="249"/>
        <item x="181"/>
        <item x="232"/>
        <item x="305"/>
        <item x="367"/>
        <item x="162"/>
        <item x="502"/>
        <item x="368"/>
        <item x="320"/>
        <item x="464"/>
        <item x="230"/>
        <item x="536"/>
        <item x="233"/>
        <item x="167"/>
        <item x="220"/>
        <item x="382"/>
        <item x="474"/>
        <item x="226"/>
        <item x="518"/>
        <item x="534"/>
        <item x="438"/>
        <item x="433"/>
        <item x="290"/>
        <item x="215"/>
        <item x="248"/>
        <item x="139"/>
        <item x="462"/>
        <item x="485"/>
        <item x="449"/>
        <item x="280"/>
        <item x="561"/>
        <item x="271"/>
        <item x="224"/>
        <item x="301"/>
        <item x="341"/>
        <item x="107"/>
        <item x="270"/>
        <item x="430"/>
        <item x="148"/>
        <item x="304"/>
        <item x="196"/>
        <item x="223"/>
        <item x="200"/>
        <item x="515"/>
        <item x="466"/>
        <item x="519"/>
        <item x="381"/>
        <item x="385"/>
        <item x="476"/>
        <item x="497"/>
        <item x="551"/>
        <item x="398"/>
        <item x="130"/>
        <item x="201"/>
        <item x="336"/>
        <item x="507"/>
        <item x="537"/>
        <item x="472"/>
        <item x="373"/>
        <item x="258"/>
        <item x="154"/>
        <item x="344"/>
        <item x="163"/>
        <item x="184"/>
        <item x="140"/>
        <item x="234"/>
        <item x="110"/>
        <item x="354"/>
        <item x="416"/>
        <item x="259"/>
        <item x="128"/>
        <item x="478"/>
        <item x="358"/>
        <item x="488"/>
        <item x="417"/>
        <item x="550"/>
        <item x="395"/>
        <item x="539"/>
        <item x="119"/>
        <item x="379"/>
        <item x="286"/>
        <item x="445"/>
        <item x="458"/>
        <item x="389"/>
        <item x="114"/>
        <item x="560"/>
        <item x="189"/>
        <item x="159"/>
        <item x="345"/>
        <item x="470"/>
        <item x="263"/>
        <item x="393"/>
        <item x="295"/>
        <item x="481"/>
        <item x="513"/>
        <item x="310"/>
        <item x="494"/>
        <item x="190"/>
        <item x="328"/>
        <item x="432"/>
        <item x="475"/>
        <item x="227"/>
        <item x="503"/>
        <item x="394"/>
        <item x="544"/>
        <item x="187"/>
        <item x="116"/>
        <item x="298"/>
        <item x="104"/>
        <item x="461"/>
        <item x="199"/>
        <item x="168"/>
        <item x="483"/>
        <item x="205"/>
        <item x="3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5"/>
  </rowFields>
  <rowItems count="12">
    <i>
      <x/>
    </i>
    <i>
      <x v="1"/>
    </i>
    <i>
      <x v="2"/>
    </i>
    <i>
      <x v="3"/>
    </i>
    <i>
      <x v="4"/>
    </i>
    <i>
      <x v="5"/>
    </i>
    <i>
      <x v="6"/>
    </i>
    <i>
      <x v="7"/>
    </i>
    <i>
      <x v="8"/>
    </i>
    <i>
      <x v="9"/>
    </i>
    <i>
      <x v="10"/>
    </i>
    <i t="grand">
      <x/>
    </i>
  </rowItems>
  <colItems count="1">
    <i/>
  </colItems>
  <dataFields count="1">
    <dataField name="Count of ManagerName" fld="7" subtotal="count" baseField="0" baseItem="0"/>
  </dataFields>
  <formats count="8">
    <format dxfId="66">
      <pivotArea field="5" type="button" dataOnly="0" labelOnly="1" outline="0" axis="axisRow"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5" type="button" dataOnly="0" labelOnly="1" outline="0" axis="axisRow" fieldPosition="0"/>
    </format>
    <format dxfId="61">
      <pivotArea dataOnly="0" labelOnly="1" fieldPosition="0">
        <references count="1">
          <reference field="5" count="0"/>
        </references>
      </pivotArea>
    </format>
    <format dxfId="60">
      <pivotArea dataOnly="0" labelOnly="1" grandRow="1" outline="0" fieldPosition="0"/>
    </format>
    <format dxfId="5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D6F02E-DE8B-472D-9CB0-A2B06D87ECB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3:B139" firstHeaderRow="1" firstDataRow="1" firstDataCol="1"/>
  <pivotFields count="36">
    <pivotField dataField="1" showAll="0"/>
    <pivotField showAll="0"/>
    <pivotField showAll="0"/>
    <pivotField showAll="0"/>
    <pivotField showAll="0">
      <items count="3">
        <item x="1"/>
        <item x="0"/>
        <item t="default"/>
      </items>
    </pivotField>
    <pivotField showAll="0">
      <items count="12">
        <item x="3"/>
        <item x="5"/>
        <item x="9"/>
        <item x="7"/>
        <item x="6"/>
        <item x="1"/>
        <item x="10"/>
        <item x="0"/>
        <item x="8"/>
        <item x="4"/>
        <item x="2"/>
        <item t="default"/>
      </items>
    </pivotField>
    <pivotField axis="axisRow" showAll="0">
      <items count="36">
        <item x="10"/>
        <item x="22"/>
        <item x="11"/>
        <item x="17"/>
        <item x="13"/>
        <item x="31"/>
        <item x="5"/>
        <item x="30"/>
        <item x="28"/>
        <item x="6"/>
        <item x="14"/>
        <item x="21"/>
        <item x="7"/>
        <item x="34"/>
        <item x="20"/>
        <item x="29"/>
        <item x="26"/>
        <item x="18"/>
        <item x="4"/>
        <item x="33"/>
        <item x="19"/>
        <item x="23"/>
        <item x="27"/>
        <item x="9"/>
        <item x="0"/>
        <item x="2"/>
        <item x="32"/>
        <item x="16"/>
        <item x="24"/>
        <item x="25"/>
        <item x="3"/>
        <item x="12"/>
        <item x="8"/>
        <item x="1"/>
        <item x="15"/>
        <item t="default"/>
      </items>
    </pivotField>
    <pivotField showAll="0">
      <items count="521">
        <item x="326"/>
        <item x="310"/>
        <item x="442"/>
        <item x="177"/>
        <item x="452"/>
        <item x="60"/>
        <item x="189"/>
        <item x="343"/>
        <item x="6"/>
        <item x="399"/>
        <item x="32"/>
        <item x="218"/>
        <item x="463"/>
        <item x="366"/>
        <item x="313"/>
        <item x="369"/>
        <item x="24"/>
        <item x="5"/>
        <item x="480"/>
        <item x="145"/>
        <item x="373"/>
        <item x="454"/>
        <item x="329"/>
        <item x="330"/>
        <item x="107"/>
        <item x="134"/>
        <item x="188"/>
        <item x="459"/>
        <item x="446"/>
        <item x="139"/>
        <item x="143"/>
        <item x="166"/>
        <item x="421"/>
        <item x="497"/>
        <item x="414"/>
        <item x="101"/>
        <item x="283"/>
        <item x="469"/>
        <item x="439"/>
        <item x="40"/>
        <item x="294"/>
        <item x="492"/>
        <item x="488"/>
        <item x="293"/>
        <item x="20"/>
        <item x="276"/>
        <item x="12"/>
        <item x="494"/>
        <item x="8"/>
        <item x="248"/>
        <item x="298"/>
        <item x="19"/>
        <item x="212"/>
        <item x="88"/>
        <item x="141"/>
        <item x="148"/>
        <item x="112"/>
        <item x="420"/>
        <item x="106"/>
        <item x="86"/>
        <item x="407"/>
        <item x="274"/>
        <item x="142"/>
        <item x="389"/>
        <item x="216"/>
        <item x="291"/>
        <item x="146"/>
        <item x="227"/>
        <item x="257"/>
        <item x="233"/>
        <item x="219"/>
        <item x="499"/>
        <item x="175"/>
        <item x="180"/>
        <item x="264"/>
        <item x="47"/>
        <item x="431"/>
        <item x="355"/>
        <item x="35"/>
        <item x="28"/>
        <item x="124"/>
        <item x="484"/>
        <item x="100"/>
        <item x="507"/>
        <item x="358"/>
        <item x="97"/>
        <item x="94"/>
        <item x="182"/>
        <item x="265"/>
        <item x="323"/>
        <item x="185"/>
        <item x="404"/>
        <item x="64"/>
        <item x="289"/>
        <item x="424"/>
        <item x="66"/>
        <item x="58"/>
        <item x="56"/>
        <item x="443"/>
        <item x="384"/>
        <item x="428"/>
        <item x="113"/>
        <item x="363"/>
        <item x="444"/>
        <item x="52"/>
        <item x="73"/>
        <item x="282"/>
        <item x="280"/>
        <item x="95"/>
        <item x="21"/>
        <item x="42"/>
        <item x="324"/>
        <item x="220"/>
        <item x="409"/>
        <item x="495"/>
        <item x="441"/>
        <item x="195"/>
        <item x="187"/>
        <item x="315"/>
        <item x="33"/>
        <item x="314"/>
        <item x="481"/>
        <item x="361"/>
        <item x="168"/>
        <item x="68"/>
        <item x="226"/>
        <item x="149"/>
        <item x="37"/>
        <item x="147"/>
        <item x="325"/>
        <item x="215"/>
        <item x="10"/>
        <item x="181"/>
        <item x="411"/>
        <item x="204"/>
        <item x="199"/>
        <item x="125"/>
        <item x="18"/>
        <item x="243"/>
        <item x="202"/>
        <item x="114"/>
        <item x="511"/>
        <item x="296"/>
        <item x="397"/>
        <item x="381"/>
        <item x="473"/>
        <item x="229"/>
        <item x="154"/>
        <item x="77"/>
        <item x="402"/>
        <item x="284"/>
        <item x="3"/>
        <item x="44"/>
        <item x="71"/>
        <item x="49"/>
        <item x="140"/>
        <item x="322"/>
        <item x="81"/>
        <item x="340"/>
        <item x="109"/>
        <item x="17"/>
        <item x="128"/>
        <item x="244"/>
        <item x="377"/>
        <item x="491"/>
        <item x="378"/>
        <item x="150"/>
        <item x="445"/>
        <item x="211"/>
        <item x="415"/>
        <item x="190"/>
        <item x="105"/>
        <item x="238"/>
        <item x="129"/>
        <item x="380"/>
        <item x="103"/>
        <item x="67"/>
        <item x="418"/>
        <item x="29"/>
        <item x="23"/>
        <item x="198"/>
        <item x="228"/>
        <item x="82"/>
        <item x="203"/>
        <item x="193"/>
        <item x="501"/>
        <item x="300"/>
        <item x="278"/>
        <item x="342"/>
        <item x="328"/>
        <item x="345"/>
        <item x="434"/>
        <item x="335"/>
        <item x="400"/>
        <item x="514"/>
        <item x="255"/>
        <item x="239"/>
        <item x="279"/>
        <item x="121"/>
        <item x="429"/>
        <item x="256"/>
        <item x="13"/>
        <item x="272"/>
        <item x="364"/>
        <item x="408"/>
        <item x="223"/>
        <item x="305"/>
        <item x="386"/>
        <item x="130"/>
        <item x="119"/>
        <item x="38"/>
        <item x="83"/>
        <item x="135"/>
        <item x="435"/>
        <item x="410"/>
        <item x="367"/>
        <item x="201"/>
        <item x="36"/>
        <item x="356"/>
        <item x="436"/>
        <item x="451"/>
        <item x="308"/>
        <item x="470"/>
        <item x="15"/>
        <item x="440"/>
        <item x="513"/>
        <item x="22"/>
        <item x="519"/>
        <item x="205"/>
        <item x="365"/>
        <item x="518"/>
        <item x="192"/>
        <item x="347"/>
        <item x="236"/>
        <item x="30"/>
        <item x="254"/>
        <item x="151"/>
        <item x="234"/>
        <item x="472"/>
        <item x="221"/>
        <item x="348"/>
        <item x="517"/>
        <item x="476"/>
        <item x="169"/>
        <item x="115"/>
        <item x="48"/>
        <item x="433"/>
        <item x="388"/>
        <item x="14"/>
        <item x="222"/>
        <item x="259"/>
        <item x="164"/>
        <item x="362"/>
        <item x="417"/>
        <item x="237"/>
        <item x="252"/>
        <item x="457"/>
        <item x="508"/>
        <item x="99"/>
        <item x="401"/>
        <item x="316"/>
        <item x="41"/>
        <item x="288"/>
        <item x="479"/>
        <item x="98"/>
        <item x="262"/>
        <item x="250"/>
        <item x="123"/>
        <item x="498"/>
        <item x="136"/>
        <item x="39"/>
        <item x="85"/>
        <item x="208"/>
        <item x="266"/>
        <item x="413"/>
        <item x="230"/>
        <item x="510"/>
        <item x="376"/>
        <item x="301"/>
        <item x="50"/>
        <item x="406"/>
        <item x="155"/>
        <item x="11"/>
        <item x="290"/>
        <item x="311"/>
        <item x="427"/>
        <item x="176"/>
        <item x="7"/>
        <item x="465"/>
        <item x="390"/>
        <item x="89"/>
        <item x="460"/>
        <item x="327"/>
        <item x="461"/>
        <item x="398"/>
        <item x="483"/>
        <item x="292"/>
        <item x="2"/>
        <item x="93"/>
        <item x="375"/>
        <item x="350"/>
        <item x="271"/>
        <item x="462"/>
        <item x="55"/>
        <item x="416"/>
        <item x="251"/>
        <item x="183"/>
        <item x="303"/>
        <item x="449"/>
        <item x="253"/>
        <item x="505"/>
        <item x="245"/>
        <item x="170"/>
        <item x="285"/>
        <item x="133"/>
        <item x="163"/>
        <item x="346"/>
        <item x="493"/>
        <item x="172"/>
        <item x="371"/>
        <item x="392"/>
        <item x="489"/>
        <item x="160"/>
        <item x="59"/>
        <item x="419"/>
        <item x="468"/>
        <item x="214"/>
        <item x="16"/>
        <item x="74"/>
        <item x="171"/>
        <item x="359"/>
        <item x="118"/>
        <item x="487"/>
        <item x="232"/>
        <item x="240"/>
        <item x="515"/>
        <item x="167"/>
        <item x="332"/>
        <item x="334"/>
        <item x="490"/>
        <item x="79"/>
        <item x="235"/>
        <item x="349"/>
        <item x="370"/>
        <item x="104"/>
        <item x="477"/>
        <item x="466"/>
        <item x="403"/>
        <item x="351"/>
        <item x="261"/>
        <item x="430"/>
        <item x="437"/>
        <item x="391"/>
        <item x="412"/>
        <item x="179"/>
        <item x="447"/>
        <item x="242"/>
        <item x="90"/>
        <item x="200"/>
        <item x="360"/>
        <item x="394"/>
        <item x="504"/>
        <item x="516"/>
        <item x="0"/>
        <item x="509"/>
        <item x="341"/>
        <item x="379"/>
        <item x="69"/>
        <item x="72"/>
        <item x="84"/>
        <item x="260"/>
        <item x="474"/>
        <item x="425"/>
        <item x="241"/>
        <item x="70"/>
        <item x="76"/>
        <item x="196"/>
        <item x="131"/>
        <item x="458"/>
        <item x="353"/>
        <item x="309"/>
        <item x="287"/>
        <item x="455"/>
        <item x="302"/>
        <item x="75"/>
        <item x="496"/>
        <item x="31"/>
        <item x="339"/>
        <item x="26"/>
        <item x="178"/>
        <item x="57"/>
        <item x="102"/>
        <item x="357"/>
        <item x="306"/>
        <item x="108"/>
        <item x="51"/>
        <item x="224"/>
        <item x="503"/>
        <item x="165"/>
        <item x="92"/>
        <item x="475"/>
        <item x="482"/>
        <item x="158"/>
        <item x="512"/>
        <item x="299"/>
        <item x="34"/>
        <item x="157"/>
        <item x="312"/>
        <item x="426"/>
        <item x="173"/>
        <item x="485"/>
        <item x="9"/>
        <item x="405"/>
        <item x="213"/>
        <item x="46"/>
        <item x="27"/>
        <item x="354"/>
        <item x="116"/>
        <item x="320"/>
        <item x="194"/>
        <item x="210"/>
        <item x="295"/>
        <item x="385"/>
        <item x="319"/>
        <item x="464"/>
        <item x="438"/>
        <item x="258"/>
        <item x="336"/>
        <item x="43"/>
        <item x="277"/>
        <item x="111"/>
        <item x="450"/>
        <item x="197"/>
        <item x="162"/>
        <item x="246"/>
        <item x="62"/>
        <item x="161"/>
        <item x="268"/>
        <item x="80"/>
        <item x="78"/>
        <item x="269"/>
        <item x="126"/>
        <item x="317"/>
        <item x="209"/>
        <item x="247"/>
        <item x="387"/>
        <item x="110"/>
        <item x="395"/>
        <item x="231"/>
        <item x="422"/>
        <item x="456"/>
        <item x="372"/>
        <item x="467"/>
        <item x="45"/>
        <item x="186"/>
        <item x="132"/>
        <item x="137"/>
        <item x="65"/>
        <item x="502"/>
        <item x="382"/>
        <item x="267"/>
        <item x="286"/>
        <item x="333"/>
        <item x="453"/>
        <item x="270"/>
        <item x="217"/>
        <item x="53"/>
        <item x="1"/>
        <item x="225"/>
        <item x="91"/>
        <item x="61"/>
        <item x="206"/>
        <item x="249"/>
        <item x="96"/>
        <item x="337"/>
        <item x="321"/>
        <item x="432"/>
        <item x="152"/>
        <item x="54"/>
        <item x="117"/>
        <item x="368"/>
        <item x="281"/>
        <item x="207"/>
        <item x="275"/>
        <item x="156"/>
        <item x="471"/>
        <item x="263"/>
        <item x="307"/>
        <item x="344"/>
        <item x="500"/>
        <item x="138"/>
        <item x="63"/>
        <item x="273"/>
        <item x="304"/>
        <item x="184"/>
        <item x="120"/>
        <item x="331"/>
        <item x="374"/>
        <item x="423"/>
        <item x="153"/>
        <item x="159"/>
        <item x="383"/>
        <item x="448"/>
        <item x="122"/>
        <item x="486"/>
        <item x="191"/>
        <item x="318"/>
        <item x="352"/>
        <item x="174"/>
        <item x="25"/>
        <item x="4"/>
        <item x="338"/>
        <item x="506"/>
        <item x="396"/>
        <item x="393"/>
        <item x="478"/>
        <item x="87"/>
        <item x="297"/>
        <item x="127"/>
        <item x="144"/>
        <item t="default"/>
      </items>
    </pivotField>
    <pivotField showAll="0"/>
    <pivotField numFmtId="165" showAll="0"/>
    <pivotField numFmtId="14" showAll="0"/>
    <pivotField showAll="0">
      <items count="4">
        <item x="1"/>
        <item x="2"/>
        <item x="0"/>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showAll="0"/>
    <pivotField showAll="0"/>
    <pivotField showAll="0"/>
    <pivotField numFmtId="14" showAll="0">
      <items count="565">
        <item x="94"/>
        <item x="92"/>
        <item x="79"/>
        <item x="2"/>
        <item x="97"/>
        <item x="20"/>
        <item x="40"/>
        <item x="90"/>
        <item x="91"/>
        <item x="7"/>
        <item x="85"/>
        <item x="98"/>
        <item x="49"/>
        <item x="54"/>
        <item x="39"/>
        <item x="36"/>
        <item x="89"/>
        <item x="78"/>
        <item x="9"/>
        <item x="69"/>
        <item x="76"/>
        <item x="13"/>
        <item x="64"/>
        <item x="15"/>
        <item x="52"/>
        <item x="50"/>
        <item x="35"/>
        <item x="70"/>
        <item x="87"/>
        <item x="32"/>
        <item x="0"/>
        <item x="3"/>
        <item x="95"/>
        <item x="22"/>
        <item x="53"/>
        <item x="63"/>
        <item x="33"/>
        <item x="43"/>
        <item x="58"/>
        <item x="4"/>
        <item x="72"/>
        <item x="11"/>
        <item x="23"/>
        <item x="57"/>
        <item x="10"/>
        <item x="68"/>
        <item x="31"/>
        <item x="42"/>
        <item x="65"/>
        <item x="59"/>
        <item x="71"/>
        <item x="34"/>
        <item x="12"/>
        <item x="88"/>
        <item x="61"/>
        <item x="46"/>
        <item x="81"/>
        <item x="93"/>
        <item x="74"/>
        <item x="73"/>
        <item x="38"/>
        <item x="17"/>
        <item x="6"/>
        <item x="21"/>
        <item x="47"/>
        <item x="62"/>
        <item x="18"/>
        <item x="25"/>
        <item x="41"/>
        <item x="30"/>
        <item x="86"/>
        <item x="16"/>
        <item x="27"/>
        <item x="48"/>
        <item x="28"/>
        <item x="83"/>
        <item x="5"/>
        <item x="77"/>
        <item x="8"/>
        <item x="19"/>
        <item x="1"/>
        <item x="84"/>
        <item x="51"/>
        <item x="55"/>
        <item x="406"/>
        <item x="96"/>
        <item x="235"/>
        <item x="322"/>
        <item x="372"/>
        <item x="442"/>
        <item x="256"/>
        <item x="413"/>
        <item x="113"/>
        <item x="67"/>
        <item x="180"/>
        <item x="231"/>
        <item x="303"/>
        <item x="281"/>
        <item x="210"/>
        <item x="170"/>
        <item x="24"/>
        <item x="531"/>
        <item x="403"/>
        <item x="108"/>
        <item x="173"/>
        <item x="548"/>
        <item x="425"/>
        <item x="522"/>
        <item x="473"/>
        <item x="335"/>
        <item x="333"/>
        <item x="446"/>
        <item x="532"/>
        <item x="251"/>
        <item x="285"/>
        <item x="435"/>
        <item x="496"/>
        <item x="60"/>
        <item x="321"/>
        <item x="334"/>
        <item x="452"/>
        <item x="506"/>
        <item x="409"/>
        <item x="274"/>
        <item x="26"/>
        <item x="134"/>
        <item x="82"/>
        <item x="37"/>
        <item x="261"/>
        <item x="14"/>
        <item x="517"/>
        <item x="353"/>
        <item x="421"/>
        <item x="266"/>
        <item x="316"/>
        <item x="194"/>
        <item x="314"/>
        <item x="486"/>
        <item x="541"/>
        <item x="157"/>
        <item x="29"/>
        <item x="318"/>
        <item x="375"/>
        <item x="459"/>
        <item x="543"/>
        <item x="66"/>
        <item x="465"/>
        <item x="552"/>
        <item x="487"/>
        <item x="195"/>
        <item x="138"/>
        <item x="313"/>
        <item x="362"/>
        <item x="447"/>
        <item x="174"/>
        <item x="460"/>
        <item x="179"/>
        <item x="391"/>
        <item x="80"/>
        <item x="239"/>
        <item x="505"/>
        <item x="555"/>
        <item x="75"/>
        <item x="254"/>
        <item x="45"/>
        <item x="365"/>
        <item x="390"/>
        <item x="374"/>
        <item x="348"/>
        <item x="221"/>
        <item x="115"/>
        <item x="56"/>
        <item x="183"/>
        <item x="407"/>
        <item x="402"/>
        <item x="253"/>
        <item x="244"/>
        <item x="520"/>
        <item x="309"/>
        <item x="228"/>
        <item x="512"/>
        <item x="366"/>
        <item x="342"/>
        <item x="434"/>
        <item x="229"/>
        <item x="319"/>
        <item x="538"/>
        <item x="123"/>
        <item x="105"/>
        <item x="500"/>
        <item x="410"/>
        <item x="363"/>
        <item x="236"/>
        <item x="557"/>
        <item x="397"/>
        <item x="293"/>
        <item x="396"/>
        <item x="158"/>
        <item x="439"/>
        <item x="463"/>
        <item x="404"/>
        <item x="222"/>
        <item x="384"/>
        <item x="143"/>
        <item x="558"/>
        <item x="146"/>
        <item x="193"/>
        <item x="559"/>
        <item x="330"/>
        <item x="262"/>
        <item x="423"/>
        <item x="245"/>
        <item x="411"/>
        <item x="192"/>
        <item x="340"/>
        <item x="356"/>
        <item x="323"/>
        <item x="203"/>
        <item x="441"/>
        <item x="172"/>
        <item x="419"/>
        <item x="508"/>
        <item x="556"/>
        <item x="530"/>
        <item x="175"/>
        <item x="269"/>
        <item x="477"/>
        <item x="540"/>
        <item x="44"/>
        <item x="511"/>
        <item x="151"/>
        <item x="492"/>
        <item x="326"/>
        <item x="428"/>
        <item x="308"/>
        <item x="450"/>
        <item x="471"/>
        <item x="132"/>
        <item x="198"/>
        <item x="206"/>
        <item x="213"/>
        <item x="145"/>
        <item x="257"/>
        <item x="533"/>
        <item x="412"/>
        <item x="545"/>
        <item x="501"/>
        <item x="112"/>
        <item x="136"/>
        <item x="527"/>
        <item x="241"/>
        <item x="311"/>
        <item x="499"/>
        <item x="250"/>
        <item x="523"/>
        <item x="490"/>
        <item x="242"/>
        <item x="276"/>
        <item x="237"/>
        <item x="347"/>
        <item x="408"/>
        <item x="346"/>
        <item x="455"/>
        <item x="489"/>
        <item x="509"/>
        <item x="364"/>
        <item x="155"/>
        <item x="103"/>
        <item x="553"/>
        <item x="212"/>
        <item x="279"/>
        <item x="457"/>
        <item x="535"/>
        <item x="369"/>
        <item x="177"/>
        <item x="427"/>
        <item x="264"/>
        <item x="484"/>
        <item x="160"/>
        <item x="121"/>
        <item x="176"/>
        <item x="493"/>
        <item x="202"/>
        <item x="186"/>
        <item x="265"/>
        <item x="287"/>
        <item x="218"/>
        <item x="327"/>
        <item x="142"/>
        <item x="124"/>
        <item x="127"/>
        <item x="300"/>
        <item x="166"/>
        <item x="178"/>
        <item x="332"/>
        <item x="528"/>
        <item x="401"/>
        <item x="329"/>
        <item x="357"/>
        <item x="225"/>
        <item x="377"/>
        <item x="306"/>
        <item x="355"/>
        <item x="360"/>
        <item x="467"/>
        <item x="246"/>
        <item x="444"/>
        <item x="392"/>
        <item x="325"/>
        <item x="131"/>
        <item x="135"/>
        <item x="352"/>
        <item x="117"/>
        <item x="302"/>
        <item x="149"/>
        <item x="376"/>
        <item x="288"/>
        <item x="292"/>
        <item x="315"/>
        <item x="440"/>
        <item x="109"/>
        <item x="383"/>
        <item x="282"/>
        <item x="100"/>
        <item x="182"/>
        <item x="525"/>
        <item x="453"/>
        <item x="129"/>
        <item x="125"/>
        <item x="171"/>
        <item x="211"/>
        <item x="102"/>
        <item x="448"/>
        <item x="217"/>
        <item x="554"/>
        <item x="370"/>
        <item x="191"/>
        <item x="443"/>
        <item x="118"/>
        <item x="294"/>
        <item x="414"/>
        <item x="350"/>
        <item x="529"/>
        <item x="331"/>
        <item x="153"/>
        <item x="111"/>
        <item x="99"/>
        <item x="185"/>
        <item x="526"/>
        <item x="133"/>
        <item x="415"/>
        <item x="214"/>
        <item x="106"/>
        <item x="388"/>
        <item x="468"/>
        <item x="429"/>
        <item x="101"/>
        <item x="243"/>
        <item x="291"/>
        <item x="273"/>
        <item x="343"/>
        <item x="297"/>
        <item x="387"/>
        <item x="272"/>
        <item x="456"/>
        <item x="504"/>
        <item x="422"/>
        <item x="208"/>
        <item x="144"/>
        <item x="399"/>
        <item x="147"/>
        <item x="137"/>
        <item x="482"/>
        <item x="424"/>
        <item x="141"/>
        <item x="386"/>
        <item x="120"/>
        <item x="278"/>
        <item x="510"/>
        <item x="317"/>
        <item x="562"/>
        <item x="299"/>
        <item x="268"/>
        <item x="371"/>
        <item x="289"/>
        <item x="338"/>
        <item x="255"/>
        <item x="542"/>
        <item x="122"/>
        <item x="324"/>
        <item x="307"/>
        <item x="426"/>
        <item x="150"/>
        <item x="197"/>
        <item x="547"/>
        <item x="275"/>
        <item x="436"/>
        <item x="188"/>
        <item x="219"/>
        <item x="380"/>
        <item x="563"/>
        <item x="312"/>
        <item x="491"/>
        <item x="437"/>
        <item x="359"/>
        <item x="405"/>
        <item x="514"/>
        <item x="378"/>
        <item x="126"/>
        <item x="296"/>
        <item x="521"/>
        <item x="420"/>
        <item x="207"/>
        <item x="156"/>
        <item x="161"/>
        <item x="209"/>
        <item x="480"/>
        <item x="216"/>
        <item x="349"/>
        <item x="169"/>
        <item x="247"/>
        <item x="284"/>
        <item x="337"/>
        <item x="451"/>
        <item x="267"/>
        <item x="164"/>
        <item x="454"/>
        <item x="479"/>
        <item x="431"/>
        <item x="498"/>
        <item x="400"/>
        <item x="152"/>
        <item x="260"/>
        <item x="238"/>
        <item x="361"/>
        <item x="524"/>
        <item x="418"/>
        <item x="204"/>
        <item x="283"/>
        <item x="469"/>
        <item x="240"/>
        <item x="516"/>
        <item x="495"/>
        <item x="252"/>
        <item x="549"/>
        <item x="351"/>
        <item x="546"/>
        <item x="277"/>
        <item x="165"/>
        <item x="249"/>
        <item x="181"/>
        <item x="232"/>
        <item x="305"/>
        <item x="367"/>
        <item x="162"/>
        <item x="502"/>
        <item x="368"/>
        <item x="320"/>
        <item x="464"/>
        <item x="230"/>
        <item x="536"/>
        <item x="233"/>
        <item x="167"/>
        <item x="220"/>
        <item x="382"/>
        <item x="474"/>
        <item x="226"/>
        <item x="518"/>
        <item x="534"/>
        <item x="438"/>
        <item x="433"/>
        <item x="290"/>
        <item x="215"/>
        <item x="248"/>
        <item x="139"/>
        <item x="462"/>
        <item x="485"/>
        <item x="449"/>
        <item x="280"/>
        <item x="561"/>
        <item x="271"/>
        <item x="224"/>
        <item x="301"/>
        <item x="341"/>
        <item x="107"/>
        <item x="270"/>
        <item x="430"/>
        <item x="148"/>
        <item x="304"/>
        <item x="196"/>
        <item x="223"/>
        <item x="200"/>
        <item x="515"/>
        <item x="466"/>
        <item x="519"/>
        <item x="381"/>
        <item x="385"/>
        <item x="476"/>
        <item x="497"/>
        <item x="551"/>
        <item x="398"/>
        <item x="130"/>
        <item x="201"/>
        <item x="336"/>
        <item x="507"/>
        <item x="537"/>
        <item x="472"/>
        <item x="373"/>
        <item x="258"/>
        <item x="154"/>
        <item x="344"/>
        <item x="163"/>
        <item x="184"/>
        <item x="140"/>
        <item x="234"/>
        <item x="110"/>
        <item x="354"/>
        <item x="416"/>
        <item x="259"/>
        <item x="128"/>
        <item x="478"/>
        <item x="358"/>
        <item x="488"/>
        <item x="417"/>
        <item x="550"/>
        <item x="395"/>
        <item x="539"/>
        <item x="119"/>
        <item x="379"/>
        <item x="286"/>
        <item x="445"/>
        <item x="458"/>
        <item x="389"/>
        <item x="114"/>
        <item x="560"/>
        <item x="189"/>
        <item x="159"/>
        <item x="345"/>
        <item x="470"/>
        <item x="263"/>
        <item x="393"/>
        <item x="295"/>
        <item x="481"/>
        <item x="513"/>
        <item x="310"/>
        <item x="494"/>
        <item x="190"/>
        <item x="328"/>
        <item x="432"/>
        <item x="475"/>
        <item x="227"/>
        <item x="503"/>
        <item x="394"/>
        <item x="544"/>
        <item x="187"/>
        <item x="116"/>
        <item x="298"/>
        <item x="104"/>
        <item x="461"/>
        <item x="199"/>
        <item x="168"/>
        <item x="483"/>
        <item x="205"/>
        <item x="3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6"/>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Count of EmpID" fld="0" subtotal="count" baseField="5" baseItem="0"/>
  </dataFields>
  <formats count="6">
    <format dxfId="72">
      <pivotArea type="all" dataOnly="0" outline="0" fieldPosition="0"/>
    </format>
    <format dxfId="71">
      <pivotArea outline="0" collapsedLevelsAreSubtotals="1" fieldPosition="0"/>
    </format>
    <format dxfId="70">
      <pivotArea field="6" type="button" dataOnly="0" labelOnly="1" outline="0" axis="axisRow" fieldPosition="0"/>
    </format>
    <format dxfId="69">
      <pivotArea dataOnly="0" labelOnly="1" fieldPosition="0">
        <references count="1">
          <reference field="6" count="0"/>
        </references>
      </pivotArea>
    </format>
    <format dxfId="68">
      <pivotArea dataOnly="0" labelOnly="1" grandRow="1" outline="0" fieldPosition="0"/>
    </format>
    <format dxfId="6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B6A5A2-734F-44C2-9FE2-D3904FB33450}"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S33:T54" firstHeaderRow="1" firstDataRow="1" firstDataCol="1"/>
  <pivotFields count="36">
    <pivotField dataField="1" showAll="0"/>
    <pivotField showAll="0"/>
    <pivotField showAll="0"/>
    <pivotField showAll="0"/>
    <pivotField showAll="0">
      <items count="3">
        <item x="1"/>
        <item x="0"/>
        <item t="default"/>
      </items>
    </pivotField>
    <pivotField showAll="0">
      <items count="12">
        <item x="3"/>
        <item x="5"/>
        <item x="9"/>
        <item x="7"/>
        <item x="6"/>
        <item x="1"/>
        <item x="10"/>
        <item x="0"/>
        <item x="8"/>
        <item x="4"/>
        <item x="2"/>
        <item t="default"/>
      </items>
    </pivotField>
    <pivotField showAll="0">
      <items count="36">
        <item x="10"/>
        <item x="22"/>
        <item x="11"/>
        <item x="17"/>
        <item x="13"/>
        <item x="31"/>
        <item x="5"/>
        <item x="30"/>
        <item x="28"/>
        <item x="6"/>
        <item x="14"/>
        <item x="21"/>
        <item x="7"/>
        <item x="34"/>
        <item x="20"/>
        <item x="29"/>
        <item x="26"/>
        <item x="18"/>
        <item x="4"/>
        <item x="33"/>
        <item x="19"/>
        <item x="23"/>
        <item x="27"/>
        <item x="9"/>
        <item x="0"/>
        <item x="2"/>
        <item x="32"/>
        <item x="16"/>
        <item x="24"/>
        <item x="25"/>
        <item x="3"/>
        <item x="12"/>
        <item x="8"/>
        <item x="1"/>
        <item x="15"/>
        <item t="default"/>
      </items>
    </pivotField>
    <pivotField showAll="0">
      <items count="521">
        <item x="326"/>
        <item x="310"/>
        <item x="442"/>
        <item x="177"/>
        <item x="452"/>
        <item x="60"/>
        <item x="189"/>
        <item x="343"/>
        <item x="6"/>
        <item x="399"/>
        <item x="32"/>
        <item x="218"/>
        <item x="463"/>
        <item x="366"/>
        <item x="313"/>
        <item x="369"/>
        <item x="24"/>
        <item x="5"/>
        <item x="480"/>
        <item x="145"/>
        <item x="373"/>
        <item x="454"/>
        <item x="329"/>
        <item x="330"/>
        <item x="107"/>
        <item x="134"/>
        <item x="188"/>
        <item x="459"/>
        <item x="446"/>
        <item x="139"/>
        <item x="143"/>
        <item x="166"/>
        <item x="421"/>
        <item x="497"/>
        <item x="414"/>
        <item x="101"/>
        <item x="283"/>
        <item x="469"/>
        <item x="439"/>
        <item x="40"/>
        <item x="294"/>
        <item x="492"/>
        <item x="488"/>
        <item x="293"/>
        <item x="20"/>
        <item x="276"/>
        <item x="12"/>
        <item x="494"/>
        <item x="8"/>
        <item x="248"/>
        <item x="298"/>
        <item x="19"/>
        <item x="212"/>
        <item x="88"/>
        <item x="141"/>
        <item x="148"/>
        <item x="112"/>
        <item x="420"/>
        <item x="106"/>
        <item x="86"/>
        <item x="407"/>
        <item x="274"/>
        <item x="142"/>
        <item x="389"/>
        <item x="216"/>
        <item x="291"/>
        <item x="146"/>
        <item x="227"/>
        <item x="257"/>
        <item x="233"/>
        <item x="219"/>
        <item x="499"/>
        <item x="175"/>
        <item x="180"/>
        <item x="264"/>
        <item x="47"/>
        <item x="431"/>
        <item x="355"/>
        <item x="35"/>
        <item x="28"/>
        <item x="124"/>
        <item x="484"/>
        <item x="100"/>
        <item x="507"/>
        <item x="358"/>
        <item x="97"/>
        <item x="94"/>
        <item x="182"/>
        <item x="265"/>
        <item x="323"/>
        <item x="185"/>
        <item x="404"/>
        <item x="64"/>
        <item x="289"/>
        <item x="424"/>
        <item x="66"/>
        <item x="58"/>
        <item x="56"/>
        <item x="443"/>
        <item x="384"/>
        <item x="428"/>
        <item x="113"/>
        <item x="363"/>
        <item x="444"/>
        <item x="52"/>
        <item x="73"/>
        <item x="282"/>
        <item x="280"/>
        <item x="95"/>
        <item x="21"/>
        <item x="42"/>
        <item x="324"/>
        <item x="220"/>
        <item x="409"/>
        <item x="495"/>
        <item x="441"/>
        <item x="195"/>
        <item x="187"/>
        <item x="315"/>
        <item x="33"/>
        <item x="314"/>
        <item x="481"/>
        <item x="361"/>
        <item x="168"/>
        <item x="68"/>
        <item x="226"/>
        <item x="149"/>
        <item x="37"/>
        <item x="147"/>
        <item x="325"/>
        <item x="215"/>
        <item x="10"/>
        <item x="181"/>
        <item x="411"/>
        <item x="204"/>
        <item x="199"/>
        <item x="125"/>
        <item x="18"/>
        <item x="243"/>
        <item x="202"/>
        <item x="114"/>
        <item x="511"/>
        <item x="296"/>
        <item x="397"/>
        <item x="381"/>
        <item x="473"/>
        <item x="229"/>
        <item x="154"/>
        <item x="77"/>
        <item x="402"/>
        <item x="284"/>
        <item x="3"/>
        <item x="44"/>
        <item x="71"/>
        <item x="49"/>
        <item x="140"/>
        <item x="322"/>
        <item x="81"/>
        <item x="340"/>
        <item x="109"/>
        <item x="17"/>
        <item x="128"/>
        <item x="244"/>
        <item x="377"/>
        <item x="491"/>
        <item x="378"/>
        <item x="150"/>
        <item x="445"/>
        <item x="211"/>
        <item x="415"/>
        <item x="190"/>
        <item x="105"/>
        <item x="238"/>
        <item x="129"/>
        <item x="380"/>
        <item x="103"/>
        <item x="67"/>
        <item x="418"/>
        <item x="29"/>
        <item x="23"/>
        <item x="198"/>
        <item x="228"/>
        <item x="82"/>
        <item x="203"/>
        <item x="193"/>
        <item x="501"/>
        <item x="300"/>
        <item x="278"/>
        <item x="342"/>
        <item x="328"/>
        <item x="345"/>
        <item x="434"/>
        <item x="335"/>
        <item x="400"/>
        <item x="514"/>
        <item x="255"/>
        <item x="239"/>
        <item x="279"/>
        <item x="121"/>
        <item x="429"/>
        <item x="256"/>
        <item x="13"/>
        <item x="272"/>
        <item x="364"/>
        <item x="408"/>
        <item x="223"/>
        <item x="305"/>
        <item x="386"/>
        <item x="130"/>
        <item x="119"/>
        <item x="38"/>
        <item x="83"/>
        <item x="135"/>
        <item x="435"/>
        <item x="410"/>
        <item x="367"/>
        <item x="201"/>
        <item x="36"/>
        <item x="356"/>
        <item x="436"/>
        <item x="451"/>
        <item x="308"/>
        <item x="470"/>
        <item x="15"/>
        <item x="440"/>
        <item x="513"/>
        <item x="22"/>
        <item x="519"/>
        <item x="205"/>
        <item x="365"/>
        <item x="518"/>
        <item x="192"/>
        <item x="347"/>
        <item x="236"/>
        <item x="30"/>
        <item x="254"/>
        <item x="151"/>
        <item x="234"/>
        <item x="472"/>
        <item x="221"/>
        <item x="348"/>
        <item x="517"/>
        <item x="476"/>
        <item x="169"/>
        <item x="115"/>
        <item x="48"/>
        <item x="433"/>
        <item x="388"/>
        <item x="14"/>
        <item x="222"/>
        <item x="259"/>
        <item x="164"/>
        <item x="362"/>
        <item x="417"/>
        <item x="237"/>
        <item x="252"/>
        <item x="457"/>
        <item x="508"/>
        <item x="99"/>
        <item x="401"/>
        <item x="316"/>
        <item x="41"/>
        <item x="288"/>
        <item x="479"/>
        <item x="98"/>
        <item x="262"/>
        <item x="250"/>
        <item x="123"/>
        <item x="498"/>
        <item x="136"/>
        <item x="39"/>
        <item x="85"/>
        <item x="208"/>
        <item x="266"/>
        <item x="413"/>
        <item x="230"/>
        <item x="510"/>
        <item x="376"/>
        <item x="301"/>
        <item x="50"/>
        <item x="406"/>
        <item x="155"/>
        <item x="11"/>
        <item x="290"/>
        <item x="311"/>
        <item x="427"/>
        <item x="176"/>
        <item x="7"/>
        <item x="465"/>
        <item x="390"/>
        <item x="89"/>
        <item x="460"/>
        <item x="327"/>
        <item x="461"/>
        <item x="398"/>
        <item x="483"/>
        <item x="292"/>
        <item x="2"/>
        <item x="93"/>
        <item x="375"/>
        <item x="350"/>
        <item x="271"/>
        <item x="462"/>
        <item x="55"/>
        <item x="416"/>
        <item x="251"/>
        <item x="183"/>
        <item x="303"/>
        <item x="449"/>
        <item x="253"/>
        <item x="505"/>
        <item x="245"/>
        <item x="170"/>
        <item x="285"/>
        <item x="133"/>
        <item x="163"/>
        <item x="346"/>
        <item x="493"/>
        <item x="172"/>
        <item x="371"/>
        <item x="392"/>
        <item x="489"/>
        <item x="160"/>
        <item x="59"/>
        <item x="419"/>
        <item x="468"/>
        <item x="214"/>
        <item x="16"/>
        <item x="74"/>
        <item x="171"/>
        <item x="359"/>
        <item x="118"/>
        <item x="487"/>
        <item x="232"/>
        <item x="240"/>
        <item x="515"/>
        <item x="167"/>
        <item x="332"/>
        <item x="334"/>
        <item x="490"/>
        <item x="79"/>
        <item x="235"/>
        <item x="349"/>
        <item x="370"/>
        <item x="104"/>
        <item x="477"/>
        <item x="466"/>
        <item x="403"/>
        <item x="351"/>
        <item x="261"/>
        <item x="430"/>
        <item x="437"/>
        <item x="391"/>
        <item x="412"/>
        <item x="179"/>
        <item x="447"/>
        <item x="242"/>
        <item x="90"/>
        <item x="200"/>
        <item x="360"/>
        <item x="394"/>
        <item x="504"/>
        <item x="516"/>
        <item x="0"/>
        <item x="509"/>
        <item x="341"/>
        <item x="379"/>
        <item x="69"/>
        <item x="72"/>
        <item x="84"/>
        <item x="260"/>
        <item x="474"/>
        <item x="425"/>
        <item x="241"/>
        <item x="70"/>
        <item x="76"/>
        <item x="196"/>
        <item x="131"/>
        <item x="458"/>
        <item x="353"/>
        <item x="309"/>
        <item x="287"/>
        <item x="455"/>
        <item x="302"/>
        <item x="75"/>
        <item x="496"/>
        <item x="31"/>
        <item x="339"/>
        <item x="26"/>
        <item x="178"/>
        <item x="57"/>
        <item x="102"/>
        <item x="357"/>
        <item x="306"/>
        <item x="108"/>
        <item x="51"/>
        <item x="224"/>
        <item x="503"/>
        <item x="165"/>
        <item x="92"/>
        <item x="475"/>
        <item x="482"/>
        <item x="158"/>
        <item x="512"/>
        <item x="299"/>
        <item x="34"/>
        <item x="157"/>
        <item x="312"/>
        <item x="426"/>
        <item x="173"/>
        <item x="485"/>
        <item x="9"/>
        <item x="405"/>
        <item x="213"/>
        <item x="46"/>
        <item x="27"/>
        <item x="354"/>
        <item x="116"/>
        <item x="320"/>
        <item x="194"/>
        <item x="210"/>
        <item x="295"/>
        <item x="385"/>
        <item x="319"/>
        <item x="464"/>
        <item x="438"/>
        <item x="258"/>
        <item x="336"/>
        <item x="43"/>
        <item x="277"/>
        <item x="111"/>
        <item x="450"/>
        <item x="197"/>
        <item x="162"/>
        <item x="246"/>
        <item x="62"/>
        <item x="161"/>
        <item x="268"/>
        <item x="80"/>
        <item x="78"/>
        <item x="269"/>
        <item x="126"/>
        <item x="317"/>
        <item x="209"/>
        <item x="247"/>
        <item x="387"/>
        <item x="110"/>
        <item x="395"/>
        <item x="231"/>
        <item x="422"/>
        <item x="456"/>
        <item x="372"/>
        <item x="467"/>
        <item x="45"/>
        <item x="186"/>
        <item x="132"/>
        <item x="137"/>
        <item x="65"/>
        <item x="502"/>
        <item x="382"/>
        <item x="267"/>
        <item x="286"/>
        <item x="333"/>
        <item x="453"/>
        <item x="270"/>
        <item x="217"/>
        <item x="53"/>
        <item x="1"/>
        <item x="225"/>
        <item x="91"/>
        <item x="61"/>
        <item x="206"/>
        <item x="249"/>
        <item x="96"/>
        <item x="337"/>
        <item x="321"/>
        <item x="432"/>
        <item x="152"/>
        <item x="54"/>
        <item x="117"/>
        <item x="368"/>
        <item x="281"/>
        <item x="207"/>
        <item x="275"/>
        <item x="156"/>
        <item x="471"/>
        <item x="263"/>
        <item x="307"/>
        <item x="344"/>
        <item x="500"/>
        <item x="138"/>
        <item x="63"/>
        <item x="273"/>
        <item x="304"/>
        <item x="184"/>
        <item x="120"/>
        <item x="331"/>
        <item x="374"/>
        <item x="423"/>
        <item x="153"/>
        <item x="159"/>
        <item x="383"/>
        <item x="448"/>
        <item x="122"/>
        <item x="486"/>
        <item x="191"/>
        <item x="318"/>
        <item x="352"/>
        <item x="174"/>
        <item x="25"/>
        <item x="4"/>
        <item x="338"/>
        <item x="506"/>
        <item x="396"/>
        <item x="393"/>
        <item x="478"/>
        <item x="87"/>
        <item x="297"/>
        <item x="127"/>
        <item x="144"/>
        <item t="default"/>
      </items>
    </pivotField>
    <pivotField showAll="0"/>
    <pivotField numFmtId="165" showAll="0"/>
    <pivotField numFmtId="14" showAll="0"/>
    <pivotField showAll="0">
      <items count="4">
        <item x="1"/>
        <item x="2"/>
        <item x="0"/>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showAll="0"/>
    <pivotField showAll="0"/>
    <pivotField showAll="0"/>
    <pivotField numFmtId="14" showAll="0">
      <items count="565">
        <item x="94"/>
        <item x="92"/>
        <item x="79"/>
        <item x="2"/>
        <item x="97"/>
        <item x="20"/>
        <item x="40"/>
        <item x="90"/>
        <item x="91"/>
        <item x="7"/>
        <item x="85"/>
        <item x="98"/>
        <item x="49"/>
        <item x="54"/>
        <item x="39"/>
        <item x="36"/>
        <item x="89"/>
        <item x="78"/>
        <item x="9"/>
        <item x="69"/>
        <item x="76"/>
        <item x="13"/>
        <item x="64"/>
        <item x="15"/>
        <item x="52"/>
        <item x="50"/>
        <item x="35"/>
        <item x="70"/>
        <item x="87"/>
        <item x="32"/>
        <item x="0"/>
        <item x="3"/>
        <item x="95"/>
        <item x="22"/>
        <item x="53"/>
        <item x="63"/>
        <item x="33"/>
        <item x="43"/>
        <item x="58"/>
        <item x="4"/>
        <item x="72"/>
        <item x="11"/>
        <item x="23"/>
        <item x="57"/>
        <item x="10"/>
        <item x="68"/>
        <item x="31"/>
        <item x="42"/>
        <item x="65"/>
        <item x="59"/>
        <item x="71"/>
        <item x="34"/>
        <item x="12"/>
        <item x="88"/>
        <item x="61"/>
        <item x="46"/>
        <item x="81"/>
        <item x="93"/>
        <item x="74"/>
        <item x="73"/>
        <item x="38"/>
        <item x="17"/>
        <item x="6"/>
        <item x="21"/>
        <item x="47"/>
        <item x="62"/>
        <item x="18"/>
        <item x="25"/>
        <item x="41"/>
        <item x="30"/>
        <item x="86"/>
        <item x="16"/>
        <item x="27"/>
        <item x="48"/>
        <item x="28"/>
        <item x="83"/>
        <item x="5"/>
        <item x="77"/>
        <item x="8"/>
        <item x="19"/>
        <item x="1"/>
        <item x="84"/>
        <item x="51"/>
        <item x="55"/>
        <item x="406"/>
        <item x="96"/>
        <item x="235"/>
        <item x="322"/>
        <item x="372"/>
        <item x="442"/>
        <item x="256"/>
        <item x="413"/>
        <item x="113"/>
        <item x="67"/>
        <item x="180"/>
        <item x="231"/>
        <item x="303"/>
        <item x="281"/>
        <item x="210"/>
        <item x="170"/>
        <item x="24"/>
        <item x="531"/>
        <item x="403"/>
        <item x="108"/>
        <item x="173"/>
        <item x="548"/>
        <item x="425"/>
        <item x="522"/>
        <item x="473"/>
        <item x="335"/>
        <item x="333"/>
        <item x="446"/>
        <item x="532"/>
        <item x="251"/>
        <item x="285"/>
        <item x="435"/>
        <item x="496"/>
        <item x="60"/>
        <item x="321"/>
        <item x="334"/>
        <item x="452"/>
        <item x="506"/>
        <item x="409"/>
        <item x="274"/>
        <item x="26"/>
        <item x="134"/>
        <item x="82"/>
        <item x="37"/>
        <item x="261"/>
        <item x="14"/>
        <item x="517"/>
        <item x="353"/>
        <item x="421"/>
        <item x="266"/>
        <item x="316"/>
        <item x="194"/>
        <item x="314"/>
        <item x="486"/>
        <item x="541"/>
        <item x="157"/>
        <item x="29"/>
        <item x="318"/>
        <item x="375"/>
        <item x="459"/>
        <item x="543"/>
        <item x="66"/>
        <item x="465"/>
        <item x="552"/>
        <item x="487"/>
        <item x="195"/>
        <item x="138"/>
        <item x="313"/>
        <item x="362"/>
        <item x="447"/>
        <item x="174"/>
        <item x="460"/>
        <item x="179"/>
        <item x="391"/>
        <item x="80"/>
        <item x="239"/>
        <item x="505"/>
        <item x="555"/>
        <item x="75"/>
        <item x="254"/>
        <item x="45"/>
        <item x="365"/>
        <item x="390"/>
        <item x="374"/>
        <item x="348"/>
        <item x="221"/>
        <item x="115"/>
        <item x="56"/>
        <item x="183"/>
        <item x="407"/>
        <item x="402"/>
        <item x="253"/>
        <item x="244"/>
        <item x="520"/>
        <item x="309"/>
        <item x="228"/>
        <item x="512"/>
        <item x="366"/>
        <item x="342"/>
        <item x="434"/>
        <item x="229"/>
        <item x="319"/>
        <item x="538"/>
        <item x="123"/>
        <item x="105"/>
        <item x="500"/>
        <item x="410"/>
        <item x="363"/>
        <item x="236"/>
        <item x="557"/>
        <item x="397"/>
        <item x="293"/>
        <item x="396"/>
        <item x="158"/>
        <item x="439"/>
        <item x="463"/>
        <item x="404"/>
        <item x="222"/>
        <item x="384"/>
        <item x="143"/>
        <item x="558"/>
        <item x="146"/>
        <item x="193"/>
        <item x="559"/>
        <item x="330"/>
        <item x="262"/>
        <item x="423"/>
        <item x="245"/>
        <item x="411"/>
        <item x="192"/>
        <item x="340"/>
        <item x="356"/>
        <item x="323"/>
        <item x="203"/>
        <item x="441"/>
        <item x="172"/>
        <item x="419"/>
        <item x="508"/>
        <item x="556"/>
        <item x="530"/>
        <item x="175"/>
        <item x="269"/>
        <item x="477"/>
        <item x="540"/>
        <item x="44"/>
        <item x="511"/>
        <item x="151"/>
        <item x="492"/>
        <item x="326"/>
        <item x="428"/>
        <item x="308"/>
        <item x="450"/>
        <item x="471"/>
        <item x="132"/>
        <item x="198"/>
        <item x="206"/>
        <item x="213"/>
        <item x="145"/>
        <item x="257"/>
        <item x="533"/>
        <item x="412"/>
        <item x="545"/>
        <item x="501"/>
        <item x="112"/>
        <item x="136"/>
        <item x="527"/>
        <item x="241"/>
        <item x="311"/>
        <item x="499"/>
        <item x="250"/>
        <item x="523"/>
        <item x="490"/>
        <item x="242"/>
        <item x="276"/>
        <item x="237"/>
        <item x="347"/>
        <item x="408"/>
        <item x="346"/>
        <item x="455"/>
        <item x="489"/>
        <item x="509"/>
        <item x="364"/>
        <item x="155"/>
        <item x="103"/>
        <item x="553"/>
        <item x="212"/>
        <item x="279"/>
        <item x="457"/>
        <item x="535"/>
        <item x="369"/>
        <item x="177"/>
        <item x="427"/>
        <item x="264"/>
        <item x="484"/>
        <item x="160"/>
        <item x="121"/>
        <item x="176"/>
        <item x="493"/>
        <item x="202"/>
        <item x="186"/>
        <item x="265"/>
        <item x="287"/>
        <item x="218"/>
        <item x="327"/>
        <item x="142"/>
        <item x="124"/>
        <item x="127"/>
        <item x="300"/>
        <item x="166"/>
        <item x="178"/>
        <item x="332"/>
        <item x="528"/>
        <item x="401"/>
        <item x="329"/>
        <item x="357"/>
        <item x="225"/>
        <item x="377"/>
        <item x="306"/>
        <item x="355"/>
        <item x="360"/>
        <item x="467"/>
        <item x="246"/>
        <item x="444"/>
        <item x="392"/>
        <item x="325"/>
        <item x="131"/>
        <item x="135"/>
        <item x="352"/>
        <item x="117"/>
        <item x="302"/>
        <item x="149"/>
        <item x="376"/>
        <item x="288"/>
        <item x="292"/>
        <item x="315"/>
        <item x="440"/>
        <item x="109"/>
        <item x="383"/>
        <item x="282"/>
        <item x="100"/>
        <item x="182"/>
        <item x="525"/>
        <item x="453"/>
        <item x="129"/>
        <item x="125"/>
        <item x="171"/>
        <item x="211"/>
        <item x="102"/>
        <item x="448"/>
        <item x="217"/>
        <item x="554"/>
        <item x="370"/>
        <item x="191"/>
        <item x="443"/>
        <item x="118"/>
        <item x="294"/>
        <item x="414"/>
        <item x="350"/>
        <item x="529"/>
        <item x="331"/>
        <item x="153"/>
        <item x="111"/>
        <item x="99"/>
        <item x="185"/>
        <item x="526"/>
        <item x="133"/>
        <item x="415"/>
        <item x="214"/>
        <item x="106"/>
        <item x="388"/>
        <item x="468"/>
        <item x="429"/>
        <item x="101"/>
        <item x="243"/>
        <item x="291"/>
        <item x="273"/>
        <item x="343"/>
        <item x="297"/>
        <item x="387"/>
        <item x="272"/>
        <item x="456"/>
        <item x="504"/>
        <item x="422"/>
        <item x="208"/>
        <item x="144"/>
        <item x="399"/>
        <item x="147"/>
        <item x="137"/>
        <item x="482"/>
        <item x="424"/>
        <item x="141"/>
        <item x="386"/>
        <item x="120"/>
        <item x="278"/>
        <item x="510"/>
        <item x="317"/>
        <item x="562"/>
        <item x="299"/>
        <item x="268"/>
        <item x="371"/>
        <item x="289"/>
        <item x="338"/>
        <item x="255"/>
        <item x="542"/>
        <item x="122"/>
        <item x="324"/>
        <item x="307"/>
        <item x="426"/>
        <item x="150"/>
        <item x="197"/>
        <item x="547"/>
        <item x="275"/>
        <item x="436"/>
        <item x="188"/>
        <item x="219"/>
        <item x="380"/>
        <item x="563"/>
        <item x="312"/>
        <item x="491"/>
        <item x="437"/>
        <item x="359"/>
        <item x="405"/>
        <item x="514"/>
        <item x="378"/>
        <item x="126"/>
        <item x="296"/>
        <item x="521"/>
        <item x="420"/>
        <item x="207"/>
        <item x="156"/>
        <item x="161"/>
        <item x="209"/>
        <item x="480"/>
        <item x="216"/>
        <item x="349"/>
        <item x="169"/>
        <item x="247"/>
        <item x="284"/>
        <item x="337"/>
        <item x="451"/>
        <item x="267"/>
        <item x="164"/>
        <item x="454"/>
        <item x="479"/>
        <item x="431"/>
        <item x="498"/>
        <item x="400"/>
        <item x="152"/>
        <item x="260"/>
        <item x="238"/>
        <item x="361"/>
        <item x="524"/>
        <item x="418"/>
        <item x="204"/>
        <item x="283"/>
        <item x="469"/>
        <item x="240"/>
        <item x="516"/>
        <item x="495"/>
        <item x="252"/>
        <item x="549"/>
        <item x="351"/>
        <item x="546"/>
        <item x="277"/>
        <item x="165"/>
        <item x="249"/>
        <item x="181"/>
        <item x="232"/>
        <item x="305"/>
        <item x="367"/>
        <item x="162"/>
        <item x="502"/>
        <item x="368"/>
        <item x="320"/>
        <item x="464"/>
        <item x="230"/>
        <item x="536"/>
        <item x="233"/>
        <item x="167"/>
        <item x="220"/>
        <item x="382"/>
        <item x="474"/>
        <item x="226"/>
        <item x="518"/>
        <item x="534"/>
        <item x="438"/>
        <item x="433"/>
        <item x="290"/>
        <item x="215"/>
        <item x="248"/>
        <item x="139"/>
        <item x="462"/>
        <item x="485"/>
        <item x="449"/>
        <item x="280"/>
        <item x="561"/>
        <item x="271"/>
        <item x="224"/>
        <item x="301"/>
        <item x="341"/>
        <item x="107"/>
        <item x="270"/>
        <item x="430"/>
        <item x="148"/>
        <item x="304"/>
        <item x="196"/>
        <item x="223"/>
        <item x="200"/>
        <item x="515"/>
        <item x="466"/>
        <item x="519"/>
        <item x="381"/>
        <item x="385"/>
        <item x="476"/>
        <item x="497"/>
        <item x="551"/>
        <item x="398"/>
        <item x="130"/>
        <item x="201"/>
        <item x="336"/>
        <item x="507"/>
        <item x="537"/>
        <item x="472"/>
        <item x="373"/>
        <item x="258"/>
        <item x="154"/>
        <item x="344"/>
        <item x="163"/>
        <item x="184"/>
        <item x="140"/>
        <item x="234"/>
        <item x="110"/>
        <item x="354"/>
        <item x="416"/>
        <item x="259"/>
        <item x="128"/>
        <item x="478"/>
        <item x="358"/>
        <item x="488"/>
        <item x="417"/>
        <item x="550"/>
        <item x="395"/>
        <item x="539"/>
        <item x="119"/>
        <item x="379"/>
        <item x="286"/>
        <item x="445"/>
        <item x="458"/>
        <item x="389"/>
        <item x="114"/>
        <item x="560"/>
        <item x="189"/>
        <item x="159"/>
        <item x="345"/>
        <item x="470"/>
        <item x="263"/>
        <item x="393"/>
        <item x="295"/>
        <item x="481"/>
        <item x="513"/>
        <item x="310"/>
        <item x="494"/>
        <item x="190"/>
        <item x="328"/>
        <item x="432"/>
        <item x="475"/>
        <item x="227"/>
        <item x="503"/>
        <item x="394"/>
        <item x="544"/>
        <item x="187"/>
        <item x="116"/>
        <item x="298"/>
        <item x="104"/>
        <item x="461"/>
        <item x="199"/>
        <item x="168"/>
        <item x="483"/>
        <item x="205"/>
        <item x="339"/>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2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t="default"/>
      </items>
    </pivotField>
  </pivotFields>
  <rowFields count="1">
    <field x="35"/>
  </rowFields>
  <rowItems count="21">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EmpID" fld="0" subtotal="count" baseField="5" baseItem="0"/>
  </dataFields>
  <formats count="17">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19" type="button" dataOnly="0" labelOnly="1" outline="0"/>
    </format>
    <format dxfId="85">
      <pivotArea dataOnly="0" labelOnly="1" grandRow="1" outline="0" fieldPosition="0"/>
    </format>
    <format dxfId="84">
      <pivotArea dataOnly="0" labelOnly="1" outline="0" axis="axisValues" fieldPosition="0"/>
    </format>
    <format dxfId="83">
      <pivotArea dataOnly="0" labelOnly="1" outline="0" axis="axisValues" fieldPosition="0"/>
    </format>
    <format dxfId="82">
      <pivotArea field="35" type="button" dataOnly="0" labelOnly="1" outline="0" axis="axisRow" fieldPosition="0"/>
    </format>
    <format dxfId="81">
      <pivotArea field="35" type="button" dataOnly="0" labelOnly="1" outline="0" axis="axisRow" fieldPosition="0"/>
    </format>
    <format dxfId="80">
      <pivotArea type="all" dataOnly="0" outline="0" fieldPosition="0"/>
    </format>
    <format dxfId="79">
      <pivotArea outline="0" collapsedLevelsAreSubtotals="1" fieldPosition="0"/>
    </format>
    <format dxfId="78">
      <pivotArea field="35" type="button" dataOnly="0" labelOnly="1" outline="0" axis="axisRow" fieldPosition="0"/>
    </format>
    <format dxfId="77">
      <pivotArea dataOnly="0" labelOnly="1" fieldPosition="0">
        <references count="1">
          <reference field="35" count="20">
            <x v="1"/>
            <x v="2"/>
            <x v="3"/>
            <x v="4"/>
            <x v="5"/>
            <x v="6"/>
            <x v="7"/>
            <x v="8"/>
            <x v="9"/>
            <x v="10"/>
            <x v="11"/>
            <x v="12"/>
            <x v="13"/>
            <x v="14"/>
            <x v="15"/>
            <x v="16"/>
            <x v="17"/>
            <x v="18"/>
            <x v="19"/>
            <x v="20"/>
          </reference>
        </references>
      </pivotArea>
    </format>
    <format dxfId="76">
      <pivotArea dataOnly="0" labelOnly="1" grandRow="1" outline="0" fieldPosition="0"/>
    </format>
    <format dxfId="75">
      <pivotArea dataOnly="0" labelOnly="1" outline="0" axis="axisValues" fieldPosition="0"/>
    </format>
    <format dxfId="74">
      <pivotArea dataOnly="0" fieldPosition="0">
        <references count="1">
          <reference field="35" count="1">
            <x v="11"/>
          </reference>
        </references>
      </pivotArea>
    </format>
    <format dxfId="73">
      <pivotArea dataOnly="0" fieldPosition="0">
        <references count="1">
          <reference field="35" count="1">
            <x v="11"/>
          </reference>
        </references>
      </pivotArea>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855200-8963-4C3D-B18E-EE85768B543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44:K47" firstHeaderRow="1" firstDataRow="1" firstDataCol="1"/>
  <pivotFields count="36">
    <pivotField dataField="1" showAll="0"/>
    <pivotField showAll="0"/>
    <pivotField showAll="0"/>
    <pivotField showAll="0"/>
    <pivotField showAll="0">
      <items count="3">
        <item x="1"/>
        <item x="0"/>
        <item t="default"/>
      </items>
    </pivotField>
    <pivotField showAll="0">
      <items count="12">
        <item x="3"/>
        <item x="5"/>
        <item x="9"/>
        <item x="7"/>
        <item x="6"/>
        <item x="1"/>
        <item x="10"/>
        <item x="0"/>
        <item x="8"/>
        <item x="4"/>
        <item x="2"/>
        <item t="default"/>
      </items>
    </pivotField>
    <pivotField showAll="0">
      <items count="36">
        <item x="10"/>
        <item x="22"/>
        <item x="11"/>
        <item x="17"/>
        <item x="13"/>
        <item x="31"/>
        <item x="5"/>
        <item x="30"/>
        <item x="28"/>
        <item x="6"/>
        <item x="14"/>
        <item x="21"/>
        <item x="7"/>
        <item x="34"/>
        <item x="20"/>
        <item x="29"/>
        <item x="26"/>
        <item x="18"/>
        <item x="4"/>
        <item x="33"/>
        <item x="19"/>
        <item x="23"/>
        <item x="27"/>
        <item x="9"/>
        <item x="0"/>
        <item x="2"/>
        <item x="32"/>
        <item x="16"/>
        <item x="24"/>
        <item x="25"/>
        <item x="3"/>
        <item x="12"/>
        <item x="8"/>
        <item x="1"/>
        <item x="15"/>
        <item t="default"/>
      </items>
    </pivotField>
    <pivotField showAll="0">
      <items count="521">
        <item x="326"/>
        <item x="310"/>
        <item x="442"/>
        <item x="177"/>
        <item x="452"/>
        <item x="60"/>
        <item x="189"/>
        <item x="343"/>
        <item x="6"/>
        <item x="399"/>
        <item x="32"/>
        <item x="218"/>
        <item x="463"/>
        <item x="366"/>
        <item x="313"/>
        <item x="369"/>
        <item x="24"/>
        <item x="5"/>
        <item x="480"/>
        <item x="145"/>
        <item x="373"/>
        <item x="454"/>
        <item x="329"/>
        <item x="330"/>
        <item x="107"/>
        <item x="134"/>
        <item x="188"/>
        <item x="459"/>
        <item x="446"/>
        <item x="139"/>
        <item x="143"/>
        <item x="166"/>
        <item x="421"/>
        <item x="497"/>
        <item x="414"/>
        <item x="101"/>
        <item x="283"/>
        <item x="469"/>
        <item x="439"/>
        <item x="40"/>
        <item x="294"/>
        <item x="492"/>
        <item x="488"/>
        <item x="293"/>
        <item x="20"/>
        <item x="276"/>
        <item x="12"/>
        <item x="494"/>
        <item x="8"/>
        <item x="248"/>
        <item x="298"/>
        <item x="19"/>
        <item x="212"/>
        <item x="88"/>
        <item x="141"/>
        <item x="148"/>
        <item x="112"/>
        <item x="420"/>
        <item x="106"/>
        <item x="86"/>
        <item x="407"/>
        <item x="274"/>
        <item x="142"/>
        <item x="389"/>
        <item x="216"/>
        <item x="291"/>
        <item x="146"/>
        <item x="227"/>
        <item x="257"/>
        <item x="233"/>
        <item x="219"/>
        <item x="499"/>
        <item x="175"/>
        <item x="180"/>
        <item x="264"/>
        <item x="47"/>
        <item x="431"/>
        <item x="355"/>
        <item x="35"/>
        <item x="28"/>
        <item x="124"/>
        <item x="484"/>
        <item x="100"/>
        <item x="507"/>
        <item x="358"/>
        <item x="97"/>
        <item x="94"/>
        <item x="182"/>
        <item x="265"/>
        <item x="323"/>
        <item x="185"/>
        <item x="404"/>
        <item x="64"/>
        <item x="289"/>
        <item x="424"/>
        <item x="66"/>
        <item x="58"/>
        <item x="56"/>
        <item x="443"/>
        <item x="384"/>
        <item x="428"/>
        <item x="113"/>
        <item x="363"/>
        <item x="444"/>
        <item x="52"/>
        <item x="73"/>
        <item x="282"/>
        <item x="280"/>
        <item x="95"/>
        <item x="21"/>
        <item x="42"/>
        <item x="324"/>
        <item x="220"/>
        <item x="409"/>
        <item x="495"/>
        <item x="441"/>
        <item x="195"/>
        <item x="187"/>
        <item x="315"/>
        <item x="33"/>
        <item x="314"/>
        <item x="481"/>
        <item x="361"/>
        <item x="168"/>
        <item x="68"/>
        <item x="226"/>
        <item x="149"/>
        <item x="37"/>
        <item x="147"/>
        <item x="325"/>
        <item x="215"/>
        <item x="10"/>
        <item x="181"/>
        <item x="411"/>
        <item x="204"/>
        <item x="199"/>
        <item x="125"/>
        <item x="18"/>
        <item x="243"/>
        <item x="202"/>
        <item x="114"/>
        <item x="511"/>
        <item x="296"/>
        <item x="397"/>
        <item x="381"/>
        <item x="473"/>
        <item x="229"/>
        <item x="154"/>
        <item x="77"/>
        <item x="402"/>
        <item x="284"/>
        <item x="3"/>
        <item x="44"/>
        <item x="71"/>
        <item x="49"/>
        <item x="140"/>
        <item x="322"/>
        <item x="81"/>
        <item x="340"/>
        <item x="109"/>
        <item x="17"/>
        <item x="128"/>
        <item x="244"/>
        <item x="377"/>
        <item x="491"/>
        <item x="378"/>
        <item x="150"/>
        <item x="445"/>
        <item x="211"/>
        <item x="415"/>
        <item x="190"/>
        <item x="105"/>
        <item x="238"/>
        <item x="129"/>
        <item x="380"/>
        <item x="103"/>
        <item x="67"/>
        <item x="418"/>
        <item x="29"/>
        <item x="23"/>
        <item x="198"/>
        <item x="228"/>
        <item x="82"/>
        <item x="203"/>
        <item x="193"/>
        <item x="501"/>
        <item x="300"/>
        <item x="278"/>
        <item x="342"/>
        <item x="328"/>
        <item x="345"/>
        <item x="434"/>
        <item x="335"/>
        <item x="400"/>
        <item x="514"/>
        <item x="255"/>
        <item x="239"/>
        <item x="279"/>
        <item x="121"/>
        <item x="429"/>
        <item x="256"/>
        <item x="13"/>
        <item x="272"/>
        <item x="364"/>
        <item x="408"/>
        <item x="223"/>
        <item x="305"/>
        <item x="386"/>
        <item x="130"/>
        <item x="119"/>
        <item x="38"/>
        <item x="83"/>
        <item x="135"/>
        <item x="435"/>
        <item x="410"/>
        <item x="367"/>
        <item x="201"/>
        <item x="36"/>
        <item x="356"/>
        <item x="436"/>
        <item x="451"/>
        <item x="308"/>
        <item x="470"/>
        <item x="15"/>
        <item x="440"/>
        <item x="513"/>
        <item x="22"/>
        <item x="519"/>
        <item x="205"/>
        <item x="365"/>
        <item x="518"/>
        <item x="192"/>
        <item x="347"/>
        <item x="236"/>
        <item x="30"/>
        <item x="254"/>
        <item x="151"/>
        <item x="234"/>
        <item x="472"/>
        <item x="221"/>
        <item x="348"/>
        <item x="517"/>
        <item x="476"/>
        <item x="169"/>
        <item x="115"/>
        <item x="48"/>
        <item x="433"/>
        <item x="388"/>
        <item x="14"/>
        <item x="222"/>
        <item x="259"/>
        <item x="164"/>
        <item x="362"/>
        <item x="417"/>
        <item x="237"/>
        <item x="252"/>
        <item x="457"/>
        <item x="508"/>
        <item x="99"/>
        <item x="401"/>
        <item x="316"/>
        <item x="41"/>
        <item x="288"/>
        <item x="479"/>
        <item x="98"/>
        <item x="262"/>
        <item x="250"/>
        <item x="123"/>
        <item x="498"/>
        <item x="136"/>
        <item x="39"/>
        <item x="85"/>
        <item x="208"/>
        <item x="266"/>
        <item x="413"/>
        <item x="230"/>
        <item x="510"/>
        <item x="376"/>
        <item x="301"/>
        <item x="50"/>
        <item x="406"/>
        <item x="155"/>
        <item x="11"/>
        <item x="290"/>
        <item x="311"/>
        <item x="427"/>
        <item x="176"/>
        <item x="7"/>
        <item x="465"/>
        <item x="390"/>
        <item x="89"/>
        <item x="460"/>
        <item x="327"/>
        <item x="461"/>
        <item x="398"/>
        <item x="483"/>
        <item x="292"/>
        <item x="2"/>
        <item x="93"/>
        <item x="375"/>
        <item x="350"/>
        <item x="271"/>
        <item x="462"/>
        <item x="55"/>
        <item x="416"/>
        <item x="251"/>
        <item x="183"/>
        <item x="303"/>
        <item x="449"/>
        <item x="253"/>
        <item x="505"/>
        <item x="245"/>
        <item x="170"/>
        <item x="285"/>
        <item x="133"/>
        <item x="163"/>
        <item x="346"/>
        <item x="493"/>
        <item x="172"/>
        <item x="371"/>
        <item x="392"/>
        <item x="489"/>
        <item x="160"/>
        <item x="59"/>
        <item x="419"/>
        <item x="468"/>
        <item x="214"/>
        <item x="16"/>
        <item x="74"/>
        <item x="171"/>
        <item x="359"/>
        <item x="118"/>
        <item x="487"/>
        <item x="232"/>
        <item x="240"/>
        <item x="515"/>
        <item x="167"/>
        <item x="332"/>
        <item x="334"/>
        <item x="490"/>
        <item x="79"/>
        <item x="235"/>
        <item x="349"/>
        <item x="370"/>
        <item x="104"/>
        <item x="477"/>
        <item x="466"/>
        <item x="403"/>
        <item x="351"/>
        <item x="261"/>
        <item x="430"/>
        <item x="437"/>
        <item x="391"/>
        <item x="412"/>
        <item x="179"/>
        <item x="447"/>
        <item x="242"/>
        <item x="90"/>
        <item x="200"/>
        <item x="360"/>
        <item x="394"/>
        <item x="504"/>
        <item x="516"/>
        <item x="0"/>
        <item x="509"/>
        <item x="341"/>
        <item x="379"/>
        <item x="69"/>
        <item x="72"/>
        <item x="84"/>
        <item x="260"/>
        <item x="474"/>
        <item x="425"/>
        <item x="241"/>
        <item x="70"/>
        <item x="76"/>
        <item x="196"/>
        <item x="131"/>
        <item x="458"/>
        <item x="353"/>
        <item x="309"/>
        <item x="287"/>
        <item x="455"/>
        <item x="302"/>
        <item x="75"/>
        <item x="496"/>
        <item x="31"/>
        <item x="339"/>
        <item x="26"/>
        <item x="178"/>
        <item x="57"/>
        <item x="102"/>
        <item x="357"/>
        <item x="306"/>
        <item x="108"/>
        <item x="51"/>
        <item x="224"/>
        <item x="503"/>
        <item x="165"/>
        <item x="92"/>
        <item x="475"/>
        <item x="482"/>
        <item x="158"/>
        <item x="512"/>
        <item x="299"/>
        <item x="34"/>
        <item x="157"/>
        <item x="312"/>
        <item x="426"/>
        <item x="173"/>
        <item x="485"/>
        <item x="9"/>
        <item x="405"/>
        <item x="213"/>
        <item x="46"/>
        <item x="27"/>
        <item x="354"/>
        <item x="116"/>
        <item x="320"/>
        <item x="194"/>
        <item x="210"/>
        <item x="295"/>
        <item x="385"/>
        <item x="319"/>
        <item x="464"/>
        <item x="438"/>
        <item x="258"/>
        <item x="336"/>
        <item x="43"/>
        <item x="277"/>
        <item x="111"/>
        <item x="450"/>
        <item x="197"/>
        <item x="162"/>
        <item x="246"/>
        <item x="62"/>
        <item x="161"/>
        <item x="268"/>
        <item x="80"/>
        <item x="78"/>
        <item x="269"/>
        <item x="126"/>
        <item x="317"/>
        <item x="209"/>
        <item x="247"/>
        <item x="387"/>
        <item x="110"/>
        <item x="395"/>
        <item x="231"/>
        <item x="422"/>
        <item x="456"/>
        <item x="372"/>
        <item x="467"/>
        <item x="45"/>
        <item x="186"/>
        <item x="132"/>
        <item x="137"/>
        <item x="65"/>
        <item x="502"/>
        <item x="382"/>
        <item x="267"/>
        <item x="286"/>
        <item x="333"/>
        <item x="453"/>
        <item x="270"/>
        <item x="217"/>
        <item x="53"/>
        <item x="1"/>
        <item x="225"/>
        <item x="91"/>
        <item x="61"/>
        <item x="206"/>
        <item x="249"/>
        <item x="96"/>
        <item x="337"/>
        <item x="321"/>
        <item x="432"/>
        <item x="152"/>
        <item x="54"/>
        <item x="117"/>
        <item x="368"/>
        <item x="281"/>
        <item x="207"/>
        <item x="275"/>
        <item x="156"/>
        <item x="471"/>
        <item x="263"/>
        <item x="307"/>
        <item x="344"/>
        <item x="500"/>
        <item x="138"/>
        <item x="63"/>
        <item x="273"/>
        <item x="304"/>
        <item x="184"/>
        <item x="120"/>
        <item x="331"/>
        <item x="374"/>
        <item x="423"/>
        <item x="153"/>
        <item x="159"/>
        <item x="383"/>
        <item x="448"/>
        <item x="122"/>
        <item x="486"/>
        <item x="191"/>
        <item x="318"/>
        <item x="352"/>
        <item x="174"/>
        <item x="25"/>
        <item x="4"/>
        <item x="338"/>
        <item x="506"/>
        <item x="396"/>
        <item x="393"/>
        <item x="478"/>
        <item x="87"/>
        <item x="297"/>
        <item x="127"/>
        <item x="144"/>
        <item t="default"/>
      </items>
    </pivotField>
    <pivotField showAll="0"/>
    <pivotField numFmtId="165" showAll="0"/>
    <pivotField numFmtId="14" showAll="0"/>
    <pivotField showAll="0">
      <items count="4">
        <item x="1"/>
        <item x="2"/>
        <item x="0"/>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showAll="0"/>
    <pivotField showAll="0"/>
    <pivotField showAll="0"/>
    <pivotField numFmtId="14" showAll="0">
      <items count="565">
        <item x="94"/>
        <item x="92"/>
        <item x="79"/>
        <item x="2"/>
        <item x="97"/>
        <item x="20"/>
        <item x="40"/>
        <item x="90"/>
        <item x="91"/>
        <item x="7"/>
        <item x="85"/>
        <item x="98"/>
        <item x="49"/>
        <item x="54"/>
        <item x="39"/>
        <item x="36"/>
        <item x="89"/>
        <item x="78"/>
        <item x="9"/>
        <item x="69"/>
        <item x="76"/>
        <item x="13"/>
        <item x="64"/>
        <item x="15"/>
        <item x="52"/>
        <item x="50"/>
        <item x="35"/>
        <item x="70"/>
        <item x="87"/>
        <item x="32"/>
        <item x="0"/>
        <item x="3"/>
        <item x="95"/>
        <item x="22"/>
        <item x="53"/>
        <item x="63"/>
        <item x="33"/>
        <item x="43"/>
        <item x="58"/>
        <item x="4"/>
        <item x="72"/>
        <item x="11"/>
        <item x="23"/>
        <item x="57"/>
        <item x="10"/>
        <item x="68"/>
        <item x="31"/>
        <item x="42"/>
        <item x="65"/>
        <item x="59"/>
        <item x="71"/>
        <item x="34"/>
        <item x="12"/>
        <item x="88"/>
        <item x="61"/>
        <item x="46"/>
        <item x="81"/>
        <item x="93"/>
        <item x="74"/>
        <item x="73"/>
        <item x="38"/>
        <item x="17"/>
        <item x="6"/>
        <item x="21"/>
        <item x="47"/>
        <item x="62"/>
        <item x="18"/>
        <item x="25"/>
        <item x="41"/>
        <item x="30"/>
        <item x="86"/>
        <item x="16"/>
        <item x="27"/>
        <item x="48"/>
        <item x="28"/>
        <item x="83"/>
        <item x="5"/>
        <item x="77"/>
        <item x="8"/>
        <item x="19"/>
        <item x="1"/>
        <item x="84"/>
        <item x="51"/>
        <item x="55"/>
        <item x="406"/>
        <item x="96"/>
        <item x="235"/>
        <item x="322"/>
        <item x="372"/>
        <item x="442"/>
        <item x="256"/>
        <item x="413"/>
        <item x="113"/>
        <item x="67"/>
        <item x="180"/>
        <item x="231"/>
        <item x="303"/>
        <item x="281"/>
        <item x="210"/>
        <item x="170"/>
        <item x="24"/>
        <item x="531"/>
        <item x="403"/>
        <item x="108"/>
        <item x="173"/>
        <item x="548"/>
        <item x="425"/>
        <item x="522"/>
        <item x="473"/>
        <item x="335"/>
        <item x="333"/>
        <item x="446"/>
        <item x="532"/>
        <item x="251"/>
        <item x="285"/>
        <item x="435"/>
        <item x="496"/>
        <item x="60"/>
        <item x="321"/>
        <item x="334"/>
        <item x="452"/>
        <item x="506"/>
        <item x="409"/>
        <item x="274"/>
        <item x="26"/>
        <item x="134"/>
        <item x="82"/>
        <item x="37"/>
        <item x="261"/>
        <item x="14"/>
        <item x="517"/>
        <item x="353"/>
        <item x="421"/>
        <item x="266"/>
        <item x="316"/>
        <item x="194"/>
        <item x="314"/>
        <item x="486"/>
        <item x="541"/>
        <item x="157"/>
        <item x="29"/>
        <item x="318"/>
        <item x="375"/>
        <item x="459"/>
        <item x="543"/>
        <item x="66"/>
        <item x="465"/>
        <item x="552"/>
        <item x="487"/>
        <item x="195"/>
        <item x="138"/>
        <item x="313"/>
        <item x="362"/>
        <item x="447"/>
        <item x="174"/>
        <item x="460"/>
        <item x="179"/>
        <item x="391"/>
        <item x="80"/>
        <item x="239"/>
        <item x="505"/>
        <item x="555"/>
        <item x="75"/>
        <item x="254"/>
        <item x="45"/>
        <item x="365"/>
        <item x="390"/>
        <item x="374"/>
        <item x="348"/>
        <item x="221"/>
        <item x="115"/>
        <item x="56"/>
        <item x="183"/>
        <item x="407"/>
        <item x="402"/>
        <item x="253"/>
        <item x="244"/>
        <item x="520"/>
        <item x="309"/>
        <item x="228"/>
        <item x="512"/>
        <item x="366"/>
        <item x="342"/>
        <item x="434"/>
        <item x="229"/>
        <item x="319"/>
        <item x="538"/>
        <item x="123"/>
        <item x="105"/>
        <item x="500"/>
        <item x="410"/>
        <item x="363"/>
        <item x="236"/>
        <item x="557"/>
        <item x="397"/>
        <item x="293"/>
        <item x="396"/>
        <item x="158"/>
        <item x="439"/>
        <item x="463"/>
        <item x="404"/>
        <item x="222"/>
        <item x="384"/>
        <item x="143"/>
        <item x="558"/>
        <item x="146"/>
        <item x="193"/>
        <item x="559"/>
        <item x="330"/>
        <item x="262"/>
        <item x="423"/>
        <item x="245"/>
        <item x="411"/>
        <item x="192"/>
        <item x="340"/>
        <item x="356"/>
        <item x="323"/>
        <item x="203"/>
        <item x="441"/>
        <item x="172"/>
        <item x="419"/>
        <item x="508"/>
        <item x="556"/>
        <item x="530"/>
        <item x="175"/>
        <item x="269"/>
        <item x="477"/>
        <item x="540"/>
        <item x="44"/>
        <item x="511"/>
        <item x="151"/>
        <item x="492"/>
        <item x="326"/>
        <item x="428"/>
        <item x="308"/>
        <item x="450"/>
        <item x="471"/>
        <item x="132"/>
        <item x="198"/>
        <item x="206"/>
        <item x="213"/>
        <item x="145"/>
        <item x="257"/>
        <item x="533"/>
        <item x="412"/>
        <item x="545"/>
        <item x="501"/>
        <item x="112"/>
        <item x="136"/>
        <item x="527"/>
        <item x="241"/>
        <item x="311"/>
        <item x="499"/>
        <item x="250"/>
        <item x="523"/>
        <item x="490"/>
        <item x="242"/>
        <item x="276"/>
        <item x="237"/>
        <item x="347"/>
        <item x="408"/>
        <item x="346"/>
        <item x="455"/>
        <item x="489"/>
        <item x="509"/>
        <item x="364"/>
        <item x="155"/>
        <item x="103"/>
        <item x="553"/>
        <item x="212"/>
        <item x="279"/>
        <item x="457"/>
        <item x="535"/>
        <item x="369"/>
        <item x="177"/>
        <item x="427"/>
        <item x="264"/>
        <item x="484"/>
        <item x="160"/>
        <item x="121"/>
        <item x="176"/>
        <item x="493"/>
        <item x="202"/>
        <item x="186"/>
        <item x="265"/>
        <item x="287"/>
        <item x="218"/>
        <item x="327"/>
        <item x="142"/>
        <item x="124"/>
        <item x="127"/>
        <item x="300"/>
        <item x="166"/>
        <item x="178"/>
        <item x="332"/>
        <item x="528"/>
        <item x="401"/>
        <item x="329"/>
        <item x="357"/>
        <item x="225"/>
        <item x="377"/>
        <item x="306"/>
        <item x="355"/>
        <item x="360"/>
        <item x="467"/>
        <item x="246"/>
        <item x="444"/>
        <item x="392"/>
        <item x="325"/>
        <item x="131"/>
        <item x="135"/>
        <item x="352"/>
        <item x="117"/>
        <item x="302"/>
        <item x="149"/>
        <item x="376"/>
        <item x="288"/>
        <item x="292"/>
        <item x="315"/>
        <item x="440"/>
        <item x="109"/>
        <item x="383"/>
        <item x="282"/>
        <item x="100"/>
        <item x="182"/>
        <item x="525"/>
        <item x="453"/>
        <item x="129"/>
        <item x="125"/>
        <item x="171"/>
        <item x="211"/>
        <item x="102"/>
        <item x="448"/>
        <item x="217"/>
        <item x="554"/>
        <item x="370"/>
        <item x="191"/>
        <item x="443"/>
        <item x="118"/>
        <item x="294"/>
        <item x="414"/>
        <item x="350"/>
        <item x="529"/>
        <item x="331"/>
        <item x="153"/>
        <item x="111"/>
        <item x="99"/>
        <item x="185"/>
        <item x="526"/>
        <item x="133"/>
        <item x="415"/>
        <item x="214"/>
        <item x="106"/>
        <item x="388"/>
        <item x="468"/>
        <item x="429"/>
        <item x="101"/>
        <item x="243"/>
        <item x="291"/>
        <item x="273"/>
        <item x="343"/>
        <item x="297"/>
        <item x="387"/>
        <item x="272"/>
        <item x="456"/>
        <item x="504"/>
        <item x="422"/>
        <item x="208"/>
        <item x="144"/>
        <item x="399"/>
        <item x="147"/>
        <item x="137"/>
        <item x="482"/>
        <item x="424"/>
        <item x="141"/>
        <item x="386"/>
        <item x="120"/>
        <item x="278"/>
        <item x="510"/>
        <item x="317"/>
        <item x="562"/>
        <item x="299"/>
        <item x="268"/>
        <item x="371"/>
        <item x="289"/>
        <item x="338"/>
        <item x="255"/>
        <item x="542"/>
        <item x="122"/>
        <item x="324"/>
        <item x="307"/>
        <item x="426"/>
        <item x="150"/>
        <item x="197"/>
        <item x="547"/>
        <item x="275"/>
        <item x="436"/>
        <item x="188"/>
        <item x="219"/>
        <item x="380"/>
        <item x="563"/>
        <item x="312"/>
        <item x="491"/>
        <item x="437"/>
        <item x="359"/>
        <item x="405"/>
        <item x="514"/>
        <item x="378"/>
        <item x="126"/>
        <item x="296"/>
        <item x="521"/>
        <item x="420"/>
        <item x="207"/>
        <item x="156"/>
        <item x="161"/>
        <item x="209"/>
        <item x="480"/>
        <item x="216"/>
        <item x="349"/>
        <item x="169"/>
        <item x="247"/>
        <item x="284"/>
        <item x="337"/>
        <item x="451"/>
        <item x="267"/>
        <item x="164"/>
        <item x="454"/>
        <item x="479"/>
        <item x="431"/>
        <item x="498"/>
        <item x="400"/>
        <item x="152"/>
        <item x="260"/>
        <item x="238"/>
        <item x="361"/>
        <item x="524"/>
        <item x="418"/>
        <item x="204"/>
        <item x="283"/>
        <item x="469"/>
        <item x="240"/>
        <item x="516"/>
        <item x="495"/>
        <item x="252"/>
        <item x="549"/>
        <item x="351"/>
        <item x="546"/>
        <item x="277"/>
        <item x="165"/>
        <item x="249"/>
        <item x="181"/>
        <item x="232"/>
        <item x="305"/>
        <item x="367"/>
        <item x="162"/>
        <item x="502"/>
        <item x="368"/>
        <item x="320"/>
        <item x="464"/>
        <item x="230"/>
        <item x="536"/>
        <item x="233"/>
        <item x="167"/>
        <item x="220"/>
        <item x="382"/>
        <item x="474"/>
        <item x="226"/>
        <item x="518"/>
        <item x="534"/>
        <item x="438"/>
        <item x="433"/>
        <item x="290"/>
        <item x="215"/>
        <item x="248"/>
        <item x="139"/>
        <item x="462"/>
        <item x="485"/>
        <item x="449"/>
        <item x="280"/>
        <item x="561"/>
        <item x="271"/>
        <item x="224"/>
        <item x="301"/>
        <item x="341"/>
        <item x="107"/>
        <item x="270"/>
        <item x="430"/>
        <item x="148"/>
        <item x="304"/>
        <item x="196"/>
        <item x="223"/>
        <item x="200"/>
        <item x="515"/>
        <item x="466"/>
        <item x="519"/>
        <item x="381"/>
        <item x="385"/>
        <item x="476"/>
        <item x="497"/>
        <item x="551"/>
        <item x="398"/>
        <item x="130"/>
        <item x="201"/>
        <item x="336"/>
        <item x="507"/>
        <item x="537"/>
        <item x="472"/>
        <item x="373"/>
        <item x="258"/>
        <item x="154"/>
        <item x="344"/>
        <item x="163"/>
        <item x="184"/>
        <item x="140"/>
        <item x="234"/>
        <item x="110"/>
        <item x="354"/>
        <item x="416"/>
        <item x="259"/>
        <item x="128"/>
        <item x="478"/>
        <item x="358"/>
        <item x="488"/>
        <item x="417"/>
        <item x="550"/>
        <item x="395"/>
        <item x="539"/>
        <item x="119"/>
        <item x="379"/>
        <item x="286"/>
        <item x="445"/>
        <item x="458"/>
        <item x="389"/>
        <item x="114"/>
        <item x="560"/>
        <item x="189"/>
        <item x="159"/>
        <item x="345"/>
        <item x="470"/>
        <item x="263"/>
        <item x="393"/>
        <item x="295"/>
        <item x="481"/>
        <item x="513"/>
        <item x="310"/>
        <item x="494"/>
        <item x="190"/>
        <item x="328"/>
        <item x="432"/>
        <item x="475"/>
        <item x="227"/>
        <item x="503"/>
        <item x="394"/>
        <item x="544"/>
        <item x="187"/>
        <item x="116"/>
        <item x="298"/>
        <item x="104"/>
        <item x="461"/>
        <item x="199"/>
        <item x="168"/>
        <item x="483"/>
        <item x="205"/>
        <item x="339"/>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19"/>
  </rowFields>
  <rowItems count="3">
    <i>
      <x/>
    </i>
    <i>
      <x v="1"/>
    </i>
    <i t="grand">
      <x/>
    </i>
  </rowItems>
  <colItems count="1">
    <i/>
  </colItems>
  <dataFields count="1">
    <dataField name="Count of EmpID" fld="0" subtotal="count" baseField="5" baseItem="0"/>
  </dataFields>
  <formats count="8">
    <format dxfId="97">
      <pivotArea dataOnly="0" labelOnly="1" outline="0" axis="axisValues" fieldPosition="0"/>
    </format>
    <format dxfId="96">
      <pivotArea type="all" dataOnly="0" outline="0" fieldPosition="0"/>
    </format>
    <format dxfId="95">
      <pivotArea outline="0" collapsedLevelsAreSubtotals="1" fieldPosition="0"/>
    </format>
    <format dxfId="94">
      <pivotArea field="19" type="button" dataOnly="0" labelOnly="1" outline="0" axis="axisRow" fieldPosition="0"/>
    </format>
    <format dxfId="93">
      <pivotArea dataOnly="0" labelOnly="1" fieldPosition="0">
        <references count="1">
          <reference field="19" count="0"/>
        </references>
      </pivotArea>
    </format>
    <format dxfId="92">
      <pivotArea dataOnly="0" labelOnly="1" grandRow="1" outline="0" fieldPosition="0"/>
    </format>
    <format dxfId="91">
      <pivotArea dataOnly="0" labelOnly="1" outline="0" axis="axisValues" fieldPosition="0"/>
    </format>
    <format dxfId="90">
      <pivotArea dataOnly="0"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9" count="1" selected="0">
            <x v="0"/>
          </reference>
        </references>
      </pivotArea>
    </chartFormat>
    <chartFormat chart="4" format="6">
      <pivotArea type="data" outline="0" fieldPosition="0">
        <references count="2">
          <reference field="4294967294" count="1" selected="0">
            <x v="0"/>
          </reference>
          <reference field="19" count="1" selected="0">
            <x v="1"/>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8F00D3-40DE-44B2-8D41-4C8C7D5FAE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8:B30" firstHeaderRow="1" firstDataRow="1" firstDataCol="1"/>
  <pivotFields count="36">
    <pivotField showAll="0"/>
    <pivotField showAll="0"/>
    <pivotField showAll="0"/>
    <pivotField showAll="0"/>
    <pivotField showAll="0">
      <items count="3">
        <item x="1"/>
        <item x="0"/>
        <item t="default"/>
      </items>
    </pivotField>
    <pivotField axis="axisRow" showAll="0">
      <items count="12">
        <item x="3"/>
        <item x="5"/>
        <item x="9"/>
        <item x="7"/>
        <item x="6"/>
        <item x="1"/>
        <item x="10"/>
        <item x="0"/>
        <item x="8"/>
        <item x="4"/>
        <item x="2"/>
        <item t="default"/>
      </items>
    </pivotField>
    <pivotField showAll="0">
      <items count="36">
        <item x="10"/>
        <item x="22"/>
        <item x="11"/>
        <item x="17"/>
        <item x="13"/>
        <item x="31"/>
        <item x="5"/>
        <item x="30"/>
        <item x="28"/>
        <item x="6"/>
        <item x="14"/>
        <item x="21"/>
        <item x="7"/>
        <item x="34"/>
        <item x="20"/>
        <item x="29"/>
        <item x="26"/>
        <item x="18"/>
        <item x="4"/>
        <item x="33"/>
        <item x="19"/>
        <item x="23"/>
        <item x="27"/>
        <item x="9"/>
        <item x="0"/>
        <item x="2"/>
        <item x="32"/>
        <item x="16"/>
        <item x="24"/>
        <item x="25"/>
        <item x="3"/>
        <item x="12"/>
        <item x="8"/>
        <item x="1"/>
        <item x="15"/>
        <item t="default"/>
      </items>
    </pivotField>
    <pivotField showAll="0">
      <items count="521">
        <item x="326"/>
        <item x="310"/>
        <item x="442"/>
        <item x="177"/>
        <item x="452"/>
        <item x="60"/>
        <item x="189"/>
        <item x="343"/>
        <item x="6"/>
        <item x="399"/>
        <item x="32"/>
        <item x="218"/>
        <item x="463"/>
        <item x="366"/>
        <item x="313"/>
        <item x="369"/>
        <item x="24"/>
        <item x="5"/>
        <item x="480"/>
        <item x="145"/>
        <item x="373"/>
        <item x="454"/>
        <item x="329"/>
        <item x="330"/>
        <item x="107"/>
        <item x="134"/>
        <item x="188"/>
        <item x="459"/>
        <item x="446"/>
        <item x="139"/>
        <item x="143"/>
        <item x="166"/>
        <item x="421"/>
        <item x="497"/>
        <item x="414"/>
        <item x="101"/>
        <item x="283"/>
        <item x="469"/>
        <item x="439"/>
        <item x="40"/>
        <item x="294"/>
        <item x="492"/>
        <item x="488"/>
        <item x="293"/>
        <item x="20"/>
        <item x="276"/>
        <item x="12"/>
        <item x="494"/>
        <item x="8"/>
        <item x="248"/>
        <item x="298"/>
        <item x="19"/>
        <item x="212"/>
        <item x="88"/>
        <item x="141"/>
        <item x="148"/>
        <item x="112"/>
        <item x="420"/>
        <item x="106"/>
        <item x="86"/>
        <item x="407"/>
        <item x="274"/>
        <item x="142"/>
        <item x="389"/>
        <item x="216"/>
        <item x="291"/>
        <item x="146"/>
        <item x="227"/>
        <item x="257"/>
        <item x="233"/>
        <item x="219"/>
        <item x="499"/>
        <item x="175"/>
        <item x="180"/>
        <item x="264"/>
        <item x="47"/>
        <item x="431"/>
        <item x="355"/>
        <item x="35"/>
        <item x="28"/>
        <item x="124"/>
        <item x="484"/>
        <item x="100"/>
        <item x="507"/>
        <item x="358"/>
        <item x="97"/>
        <item x="94"/>
        <item x="182"/>
        <item x="265"/>
        <item x="323"/>
        <item x="185"/>
        <item x="404"/>
        <item x="64"/>
        <item x="289"/>
        <item x="424"/>
        <item x="66"/>
        <item x="58"/>
        <item x="56"/>
        <item x="443"/>
        <item x="384"/>
        <item x="428"/>
        <item x="113"/>
        <item x="363"/>
        <item x="444"/>
        <item x="52"/>
        <item x="73"/>
        <item x="282"/>
        <item x="280"/>
        <item x="95"/>
        <item x="21"/>
        <item x="42"/>
        <item x="324"/>
        <item x="220"/>
        <item x="409"/>
        <item x="495"/>
        <item x="441"/>
        <item x="195"/>
        <item x="187"/>
        <item x="315"/>
        <item x="33"/>
        <item x="314"/>
        <item x="481"/>
        <item x="361"/>
        <item x="168"/>
        <item x="68"/>
        <item x="226"/>
        <item x="149"/>
        <item x="37"/>
        <item x="147"/>
        <item x="325"/>
        <item x="215"/>
        <item x="10"/>
        <item x="181"/>
        <item x="411"/>
        <item x="204"/>
        <item x="199"/>
        <item x="125"/>
        <item x="18"/>
        <item x="243"/>
        <item x="202"/>
        <item x="114"/>
        <item x="511"/>
        <item x="296"/>
        <item x="397"/>
        <item x="381"/>
        <item x="473"/>
        <item x="229"/>
        <item x="154"/>
        <item x="77"/>
        <item x="402"/>
        <item x="284"/>
        <item x="3"/>
        <item x="44"/>
        <item x="71"/>
        <item x="49"/>
        <item x="140"/>
        <item x="322"/>
        <item x="81"/>
        <item x="340"/>
        <item x="109"/>
        <item x="17"/>
        <item x="128"/>
        <item x="244"/>
        <item x="377"/>
        <item x="491"/>
        <item x="378"/>
        <item x="150"/>
        <item x="445"/>
        <item x="211"/>
        <item x="415"/>
        <item x="190"/>
        <item x="105"/>
        <item x="238"/>
        <item x="129"/>
        <item x="380"/>
        <item x="103"/>
        <item x="67"/>
        <item x="418"/>
        <item x="29"/>
        <item x="23"/>
        <item x="198"/>
        <item x="228"/>
        <item x="82"/>
        <item x="203"/>
        <item x="193"/>
        <item x="501"/>
        <item x="300"/>
        <item x="278"/>
        <item x="342"/>
        <item x="328"/>
        <item x="345"/>
        <item x="434"/>
        <item x="335"/>
        <item x="400"/>
        <item x="514"/>
        <item x="255"/>
        <item x="239"/>
        <item x="279"/>
        <item x="121"/>
        <item x="429"/>
        <item x="256"/>
        <item x="13"/>
        <item x="272"/>
        <item x="364"/>
        <item x="408"/>
        <item x="223"/>
        <item x="305"/>
        <item x="386"/>
        <item x="130"/>
        <item x="119"/>
        <item x="38"/>
        <item x="83"/>
        <item x="135"/>
        <item x="435"/>
        <item x="410"/>
        <item x="367"/>
        <item x="201"/>
        <item x="36"/>
        <item x="356"/>
        <item x="436"/>
        <item x="451"/>
        <item x="308"/>
        <item x="470"/>
        <item x="15"/>
        <item x="440"/>
        <item x="513"/>
        <item x="22"/>
        <item x="519"/>
        <item x="205"/>
        <item x="365"/>
        <item x="518"/>
        <item x="192"/>
        <item x="347"/>
        <item x="236"/>
        <item x="30"/>
        <item x="254"/>
        <item x="151"/>
        <item x="234"/>
        <item x="472"/>
        <item x="221"/>
        <item x="348"/>
        <item x="517"/>
        <item x="476"/>
        <item x="169"/>
        <item x="115"/>
        <item x="48"/>
        <item x="433"/>
        <item x="388"/>
        <item x="14"/>
        <item x="222"/>
        <item x="259"/>
        <item x="164"/>
        <item x="362"/>
        <item x="417"/>
        <item x="237"/>
        <item x="252"/>
        <item x="457"/>
        <item x="508"/>
        <item x="99"/>
        <item x="401"/>
        <item x="316"/>
        <item x="41"/>
        <item x="288"/>
        <item x="479"/>
        <item x="98"/>
        <item x="262"/>
        <item x="250"/>
        <item x="123"/>
        <item x="498"/>
        <item x="136"/>
        <item x="39"/>
        <item x="85"/>
        <item x="208"/>
        <item x="266"/>
        <item x="413"/>
        <item x="230"/>
        <item x="510"/>
        <item x="376"/>
        <item x="301"/>
        <item x="50"/>
        <item x="406"/>
        <item x="155"/>
        <item x="11"/>
        <item x="290"/>
        <item x="311"/>
        <item x="427"/>
        <item x="176"/>
        <item x="7"/>
        <item x="465"/>
        <item x="390"/>
        <item x="89"/>
        <item x="460"/>
        <item x="327"/>
        <item x="461"/>
        <item x="398"/>
        <item x="483"/>
        <item x="292"/>
        <item x="2"/>
        <item x="93"/>
        <item x="375"/>
        <item x="350"/>
        <item x="271"/>
        <item x="462"/>
        <item x="55"/>
        <item x="416"/>
        <item x="251"/>
        <item x="183"/>
        <item x="303"/>
        <item x="449"/>
        <item x="253"/>
        <item x="505"/>
        <item x="245"/>
        <item x="170"/>
        <item x="285"/>
        <item x="133"/>
        <item x="163"/>
        <item x="346"/>
        <item x="493"/>
        <item x="172"/>
        <item x="371"/>
        <item x="392"/>
        <item x="489"/>
        <item x="160"/>
        <item x="59"/>
        <item x="419"/>
        <item x="468"/>
        <item x="214"/>
        <item x="16"/>
        <item x="74"/>
        <item x="171"/>
        <item x="359"/>
        <item x="118"/>
        <item x="487"/>
        <item x="232"/>
        <item x="240"/>
        <item x="515"/>
        <item x="167"/>
        <item x="332"/>
        <item x="334"/>
        <item x="490"/>
        <item x="79"/>
        <item x="235"/>
        <item x="349"/>
        <item x="370"/>
        <item x="104"/>
        <item x="477"/>
        <item x="466"/>
        <item x="403"/>
        <item x="351"/>
        <item x="261"/>
        <item x="430"/>
        <item x="437"/>
        <item x="391"/>
        <item x="412"/>
        <item x="179"/>
        <item x="447"/>
        <item x="242"/>
        <item x="90"/>
        <item x="200"/>
        <item x="360"/>
        <item x="394"/>
        <item x="504"/>
        <item x="516"/>
        <item x="0"/>
        <item x="509"/>
        <item x="341"/>
        <item x="379"/>
        <item x="69"/>
        <item x="72"/>
        <item x="84"/>
        <item x="260"/>
        <item x="474"/>
        <item x="425"/>
        <item x="241"/>
        <item x="70"/>
        <item x="76"/>
        <item x="196"/>
        <item x="131"/>
        <item x="458"/>
        <item x="353"/>
        <item x="309"/>
        <item x="287"/>
        <item x="455"/>
        <item x="302"/>
        <item x="75"/>
        <item x="496"/>
        <item x="31"/>
        <item x="339"/>
        <item x="26"/>
        <item x="178"/>
        <item x="57"/>
        <item x="102"/>
        <item x="357"/>
        <item x="306"/>
        <item x="108"/>
        <item x="51"/>
        <item x="224"/>
        <item x="503"/>
        <item x="165"/>
        <item x="92"/>
        <item x="475"/>
        <item x="482"/>
        <item x="158"/>
        <item x="512"/>
        <item x="299"/>
        <item x="34"/>
        <item x="157"/>
        <item x="312"/>
        <item x="426"/>
        <item x="173"/>
        <item x="485"/>
        <item x="9"/>
        <item x="405"/>
        <item x="213"/>
        <item x="46"/>
        <item x="27"/>
        <item x="354"/>
        <item x="116"/>
        <item x="320"/>
        <item x="194"/>
        <item x="210"/>
        <item x="295"/>
        <item x="385"/>
        <item x="319"/>
        <item x="464"/>
        <item x="438"/>
        <item x="258"/>
        <item x="336"/>
        <item x="43"/>
        <item x="277"/>
        <item x="111"/>
        <item x="450"/>
        <item x="197"/>
        <item x="162"/>
        <item x="246"/>
        <item x="62"/>
        <item x="161"/>
        <item x="268"/>
        <item x="80"/>
        <item x="78"/>
        <item x="269"/>
        <item x="126"/>
        <item x="317"/>
        <item x="209"/>
        <item x="247"/>
        <item x="387"/>
        <item x="110"/>
        <item x="395"/>
        <item x="231"/>
        <item x="422"/>
        <item x="456"/>
        <item x="372"/>
        <item x="467"/>
        <item x="45"/>
        <item x="186"/>
        <item x="132"/>
        <item x="137"/>
        <item x="65"/>
        <item x="502"/>
        <item x="382"/>
        <item x="267"/>
        <item x="286"/>
        <item x="333"/>
        <item x="453"/>
        <item x="270"/>
        <item x="217"/>
        <item x="53"/>
        <item x="1"/>
        <item x="225"/>
        <item x="91"/>
        <item x="61"/>
        <item x="206"/>
        <item x="249"/>
        <item x="96"/>
        <item x="337"/>
        <item x="321"/>
        <item x="432"/>
        <item x="152"/>
        <item x="54"/>
        <item x="117"/>
        <item x="368"/>
        <item x="281"/>
        <item x="207"/>
        <item x="275"/>
        <item x="156"/>
        <item x="471"/>
        <item x="263"/>
        <item x="307"/>
        <item x="344"/>
        <item x="500"/>
        <item x="138"/>
        <item x="63"/>
        <item x="273"/>
        <item x="304"/>
        <item x="184"/>
        <item x="120"/>
        <item x="331"/>
        <item x="374"/>
        <item x="423"/>
        <item x="153"/>
        <item x="159"/>
        <item x="383"/>
        <item x="448"/>
        <item x="122"/>
        <item x="486"/>
        <item x="191"/>
        <item x="318"/>
        <item x="352"/>
        <item x="174"/>
        <item x="25"/>
        <item x="4"/>
        <item x="338"/>
        <item x="506"/>
        <item x="396"/>
        <item x="393"/>
        <item x="478"/>
        <item x="87"/>
        <item x="297"/>
        <item x="127"/>
        <item x="144"/>
        <item t="default"/>
      </items>
    </pivotField>
    <pivotField dataField="1" showAll="0"/>
    <pivotField numFmtId="165" showAll="0">
      <items count="800">
        <item x="465"/>
        <item x="341"/>
        <item x="462"/>
        <item x="758"/>
        <item x="624"/>
        <item x="426"/>
        <item x="521"/>
        <item x="692"/>
        <item x="356"/>
        <item x="566"/>
        <item x="653"/>
        <item x="649"/>
        <item x="544"/>
        <item x="597"/>
        <item x="362"/>
        <item x="571"/>
        <item x="535"/>
        <item x="588"/>
        <item x="331"/>
        <item x="418"/>
        <item x="522"/>
        <item x="680"/>
        <item x="599"/>
        <item x="473"/>
        <item x="783"/>
        <item x="757"/>
        <item x="436"/>
        <item x="347"/>
        <item x="587"/>
        <item x="532"/>
        <item x="688"/>
        <item x="446"/>
        <item x="326"/>
        <item x="353"/>
        <item x="474"/>
        <item x="318"/>
        <item x="712"/>
        <item x="763"/>
        <item x="414"/>
        <item x="767"/>
        <item x="655"/>
        <item x="373"/>
        <item x="691"/>
        <item x="633"/>
        <item x="394"/>
        <item x="734"/>
        <item x="528"/>
        <item x="569"/>
        <item x="531"/>
        <item x="493"/>
        <item x="498"/>
        <item x="480"/>
        <item x="524"/>
        <item x="508"/>
        <item x="610"/>
        <item x="485"/>
        <item x="332"/>
        <item x="742"/>
        <item x="623"/>
        <item x="533"/>
        <item x="714"/>
        <item x="613"/>
        <item x="502"/>
        <item x="606"/>
        <item x="739"/>
        <item x="308"/>
        <item x="654"/>
        <item x="404"/>
        <item x="512"/>
        <item x="672"/>
        <item x="612"/>
        <item x="646"/>
        <item x="618"/>
        <item x="700"/>
        <item x="614"/>
        <item x="724"/>
        <item x="608"/>
        <item x="576"/>
        <item x="601"/>
        <item x="470"/>
        <item x="327"/>
        <item x="403"/>
        <item x="592"/>
        <item x="358"/>
        <item x="565"/>
        <item x="471"/>
        <item x="443"/>
        <item x="472"/>
        <item x="766"/>
        <item x="430"/>
        <item x="514"/>
        <item x="538"/>
        <item x="299"/>
        <item x="133"/>
        <item x="223"/>
        <item x="169"/>
        <item x="145"/>
        <item x="685"/>
        <item x="451"/>
        <item x="495"/>
        <item x="449"/>
        <item x="344"/>
        <item x="208"/>
        <item x="152"/>
        <item x="787"/>
        <item x="563"/>
        <item x="71"/>
        <item x="238"/>
        <item x="218"/>
        <item x="146"/>
        <item x="191"/>
        <item x="645"/>
        <item x="216"/>
        <item x="136"/>
        <item x="121"/>
        <item x="214"/>
        <item x="554"/>
        <item x="11"/>
        <item x="629"/>
        <item x="200"/>
        <item x="167"/>
        <item x="388"/>
        <item x="686"/>
        <item x="338"/>
        <item x="237"/>
        <item x="371"/>
        <item x="8"/>
        <item x="256"/>
        <item x="408"/>
        <item x="663"/>
        <item x="345"/>
        <item x="110"/>
        <item x="795"/>
        <item x="269"/>
        <item x="192"/>
        <item x="296"/>
        <item x="78"/>
        <item x="781"/>
        <item x="642"/>
        <item x="547"/>
        <item x="513"/>
        <item x="112"/>
        <item x="677"/>
        <item x="310"/>
        <item x="330"/>
        <item x="282"/>
        <item x="127"/>
        <item x="707"/>
        <item x="9"/>
        <item x="589"/>
        <item x="286"/>
        <item x="48"/>
        <item x="226"/>
        <item x="190"/>
        <item x="141"/>
        <item x="721"/>
        <item x="656"/>
        <item x="242"/>
        <item x="501"/>
        <item x="4"/>
        <item x="19"/>
        <item x="378"/>
        <item x="68"/>
        <item x="777"/>
        <item x="762"/>
        <item x="98"/>
        <item x="507"/>
        <item x="617"/>
        <item x="99"/>
        <item x="384"/>
        <item x="163"/>
        <item x="132"/>
        <item x="245"/>
        <item x="166"/>
        <item x="243"/>
        <item x="119"/>
        <item x="96"/>
        <item x="350"/>
        <item x="14"/>
        <item x="185"/>
        <item x="161"/>
        <item x="197"/>
        <item x="168"/>
        <item x="584"/>
        <item x="36"/>
        <item x="193"/>
        <item x="105"/>
        <item x="201"/>
        <item x="97"/>
        <item x="233"/>
        <item x="66"/>
        <item x="87"/>
        <item x="27"/>
        <item x="206"/>
        <item x="622"/>
        <item x="144"/>
        <item x="323"/>
        <item x="541"/>
        <item x="173"/>
        <item x="41"/>
        <item x="79"/>
        <item x="693"/>
        <item x="340"/>
        <item x="669"/>
        <item x="510"/>
        <item x="10"/>
        <item x="444"/>
        <item x="313"/>
        <item x="583"/>
        <item x="379"/>
        <item x="117"/>
        <item x="598"/>
        <item x="101"/>
        <item x="249"/>
        <item x="290"/>
        <item x="753"/>
        <item x="174"/>
        <item x="557"/>
        <item x="128"/>
        <item x="648"/>
        <item x="225"/>
        <item x="178"/>
        <item x="62"/>
        <item x="180"/>
        <item x="280"/>
        <item x="678"/>
        <item x="90"/>
        <item x="241"/>
        <item x="55"/>
        <item x="738"/>
        <item x="60"/>
        <item x="650"/>
        <item x="271"/>
        <item x="603"/>
        <item x="559"/>
        <item x="80"/>
        <item x="61"/>
        <item x="611"/>
        <item x="303"/>
        <item x="5"/>
        <item x="188"/>
        <item x="59"/>
        <item x="85"/>
        <item x="748"/>
        <item x="23"/>
        <item x="15"/>
        <item x="277"/>
        <item x="670"/>
        <item x="209"/>
        <item x="239"/>
        <item x="555"/>
        <item x="291"/>
        <item x="448"/>
        <item x="181"/>
        <item x="257"/>
        <item x="65"/>
        <item x="268"/>
        <item x="289"/>
        <item x="336"/>
        <item x="278"/>
        <item x="88"/>
        <item x="746"/>
        <item x="489"/>
        <item x="13"/>
        <item x="526"/>
        <item x="752"/>
        <item x="250"/>
        <item x="17"/>
        <item x="82"/>
        <item x="50"/>
        <item x="69"/>
        <item x="263"/>
        <item x="7"/>
        <item x="47"/>
        <item x="100"/>
        <item x="217"/>
        <item x="292"/>
        <item x="794"/>
        <item x="106"/>
        <item x="433"/>
        <item x="664"/>
        <item x="334"/>
        <item x="77"/>
        <item x="260"/>
        <item x="207"/>
        <item x="81"/>
        <item x="591"/>
        <item x="135"/>
        <item x="294"/>
        <item x="754"/>
        <item x="232"/>
        <item x="247"/>
        <item x="134"/>
        <item x="266"/>
        <item x="666"/>
        <item x="395"/>
        <item x="325"/>
        <item x="708"/>
        <item x="139"/>
        <item x="108"/>
        <item x="171"/>
        <item x="259"/>
        <item x="227"/>
        <item x="689"/>
        <item x="102"/>
        <item x="509"/>
        <item x="64"/>
        <item x="70"/>
        <item x="720"/>
        <item x="39"/>
        <item x="221"/>
        <item x="590"/>
        <item x="222"/>
        <item x="215"/>
        <item x="561"/>
        <item x="154"/>
        <item x="578"/>
        <item x="602"/>
        <item x="195"/>
        <item x="120"/>
        <item x="283"/>
        <item x="32"/>
        <item x="790"/>
        <item x="789"/>
        <item x="595"/>
        <item x="370"/>
        <item x="255"/>
        <item x="0"/>
        <item x="76"/>
        <item x="177"/>
        <item x="643"/>
        <item x="760"/>
        <item x="175"/>
        <item x="466"/>
        <item x="21"/>
        <item x="736"/>
        <item x="483"/>
        <item x="113"/>
        <item x="28"/>
        <item x="258"/>
        <item x="454"/>
        <item x="745"/>
        <item x="262"/>
        <item x="199"/>
        <item x="387"/>
        <item x="796"/>
        <item x="49"/>
        <item x="550"/>
        <item x="176"/>
        <item x="138"/>
        <item x="228"/>
        <item x="464"/>
        <item x="53"/>
        <item x="186"/>
        <item x="162"/>
        <item x="124"/>
        <item x="203"/>
        <item x="376"/>
        <item x="156"/>
        <item x="261"/>
        <item x="194"/>
        <item x="31"/>
        <item x="114"/>
        <item x="319"/>
        <item x="246"/>
        <item x="147"/>
        <item x="406"/>
        <item x="253"/>
        <item x="86"/>
        <item x="46"/>
        <item x="118"/>
        <item x="537"/>
        <item x="29"/>
        <item x="272"/>
        <item x="529"/>
        <item x="153"/>
        <item x="213"/>
        <item x="158"/>
        <item x="43"/>
        <item x="44"/>
        <item x="357"/>
        <item x="519"/>
        <item x="20"/>
        <item x="759"/>
        <item x="2"/>
        <item x="224"/>
        <item x="3"/>
        <item x="792"/>
        <item x="673"/>
        <item x="442"/>
        <item x="676"/>
        <item x="142"/>
        <item x="774"/>
        <item x="305"/>
        <item x="497"/>
        <item x="95"/>
        <item x="254"/>
        <item x="57"/>
        <item x="295"/>
        <item x="641"/>
        <item x="151"/>
        <item x="697"/>
        <item x="111"/>
        <item x="22"/>
        <item x="328"/>
        <item x="284"/>
        <item x="251"/>
        <item x="196"/>
        <item x="42"/>
        <item x="109"/>
        <item x="352"/>
        <item x="270"/>
        <item x="164"/>
        <item x="94"/>
        <item x="706"/>
        <item x="667"/>
        <item x="343"/>
        <item x="51"/>
        <item x="122"/>
        <item x="130"/>
        <item x="401"/>
        <item x="170"/>
        <item x="456"/>
        <item x="437"/>
        <item x="45"/>
        <item x="202"/>
        <item x="107"/>
        <item x="375"/>
        <item x="329"/>
        <item x="140"/>
        <item x="339"/>
        <item x="581"/>
        <item x="129"/>
        <item x="450"/>
        <item x="683"/>
        <item x="315"/>
        <item x="662"/>
        <item x="439"/>
        <item x="644"/>
        <item x="16"/>
        <item x="91"/>
        <item x="380"/>
        <item x="455"/>
        <item x="159"/>
        <item x="293"/>
        <item x="123"/>
        <item x="304"/>
        <item x="72"/>
        <item x="637"/>
        <item x="696"/>
        <item x="661"/>
        <item x="148"/>
        <item x="540"/>
        <item x="116"/>
        <item x="84"/>
        <item x="38"/>
        <item x="505"/>
        <item x="198"/>
        <item x="184"/>
        <item x="267"/>
        <item x="694"/>
        <item x="312"/>
        <item x="183"/>
        <item x="717"/>
        <item x="382"/>
        <item x="89"/>
        <item x="34"/>
        <item x="711"/>
        <item x="248"/>
        <item x="165"/>
        <item x="719"/>
        <item x="359"/>
        <item x="701"/>
        <item x="434"/>
        <item x="316"/>
        <item x="791"/>
        <item x="725"/>
        <item x="211"/>
        <item x="74"/>
        <item x="26"/>
        <item x="30"/>
        <item x="441"/>
        <item x="187"/>
        <item x="626"/>
        <item x="520"/>
        <item x="705"/>
        <item x="210"/>
        <item x="104"/>
        <item x="772"/>
        <item x="309"/>
        <item x="275"/>
        <item x="476"/>
        <item x="709"/>
        <item x="425"/>
        <item x="75"/>
        <item x="273"/>
        <item x="399"/>
        <item x="377"/>
        <item x="616"/>
        <item x="659"/>
        <item x="374"/>
        <item x="276"/>
        <item x="737"/>
        <item x="771"/>
        <item x="435"/>
        <item x="335"/>
        <item x="314"/>
        <item x="716"/>
        <item x="733"/>
        <item x="750"/>
        <item x="33"/>
        <item x="741"/>
        <item x="160"/>
        <item x="793"/>
        <item x="367"/>
        <item x="410"/>
        <item x="409"/>
        <item x="674"/>
        <item x="499"/>
        <item x="751"/>
        <item x="699"/>
        <item x="422"/>
        <item x="668"/>
        <item x="575"/>
        <item x="558"/>
        <item x="467"/>
        <item x="515"/>
        <item x="722"/>
        <item x="765"/>
        <item x="517"/>
        <item x="718"/>
        <item x="285"/>
        <item x="364"/>
        <item x="383"/>
        <item x="155"/>
        <item x="573"/>
        <item x="586"/>
        <item x="391"/>
        <item x="412"/>
        <item x="150"/>
        <item x="131"/>
        <item x="634"/>
        <item x="496"/>
        <item x="219"/>
        <item x="657"/>
        <item x="54"/>
        <item x="179"/>
        <item x="400"/>
        <item x="324"/>
        <item x="594"/>
        <item x="568"/>
        <item x="619"/>
        <item x="428"/>
        <item x="682"/>
        <item x="366"/>
        <item x="681"/>
        <item x="287"/>
        <item x="552"/>
        <item x="798"/>
        <item x="58"/>
        <item x="419"/>
        <item x="461"/>
        <item x="582"/>
        <item x="349"/>
        <item x="775"/>
        <item x="564"/>
        <item x="687"/>
        <item x="236"/>
        <item x="577"/>
        <item x="609"/>
        <item x="420"/>
        <item x="337"/>
        <item x="780"/>
        <item x="307"/>
        <item x="252"/>
        <item x="715"/>
        <item x="788"/>
        <item x="600"/>
        <item x="244"/>
        <item x="776"/>
        <item x="543"/>
        <item x="189"/>
        <item x="348"/>
        <item x="240"/>
        <item x="494"/>
        <item x="797"/>
        <item x="490"/>
        <item x="431"/>
        <item x="279"/>
        <item x="764"/>
        <item x="488"/>
        <item x="728"/>
        <item x="298"/>
        <item x="779"/>
        <item x="229"/>
        <item x="605"/>
        <item x="658"/>
        <item x="440"/>
        <item x="397"/>
        <item x="265"/>
        <item x="695"/>
        <item x="506"/>
        <item x="640"/>
        <item x="631"/>
        <item x="321"/>
        <item x="704"/>
        <item x="516"/>
        <item x="615"/>
        <item x="372"/>
        <item x="381"/>
        <item x="12"/>
        <item x="56"/>
        <item x="460"/>
        <item x="417"/>
        <item x="264"/>
        <item x="157"/>
        <item x="355"/>
        <item x="205"/>
        <item x="311"/>
        <item x="149"/>
        <item x="35"/>
        <item x="212"/>
        <item x="703"/>
        <item x="413"/>
        <item x="342"/>
        <item x="317"/>
        <item x="363"/>
        <item x="407"/>
        <item x="369"/>
        <item x="580"/>
        <item x="560"/>
        <item x="6"/>
        <item x="475"/>
        <item x="220"/>
        <item x="392"/>
        <item x="710"/>
        <item x="67"/>
        <item x="743"/>
        <item x="511"/>
        <item x="300"/>
        <item x="423"/>
        <item x="416"/>
        <item x="125"/>
        <item x="484"/>
        <item x="411"/>
        <item x="115"/>
        <item x="504"/>
        <item x="548"/>
        <item x="322"/>
        <item x="83"/>
        <item x="93"/>
        <item x="740"/>
        <item x="469"/>
        <item x="306"/>
        <item x="690"/>
        <item x="37"/>
        <item x="726"/>
        <item x="274"/>
        <item x="301"/>
        <item x="636"/>
        <item x="647"/>
        <item x="457"/>
        <item x="63"/>
        <item x="346"/>
        <item x="463"/>
        <item x="627"/>
        <item x="755"/>
        <item x="477"/>
        <item x="638"/>
        <item x="551"/>
        <item x="665"/>
        <item x="445"/>
        <item x="432"/>
        <item x="782"/>
        <item x="621"/>
        <item x="492"/>
        <item x="556"/>
        <item x="574"/>
        <item x="487"/>
        <item x="679"/>
        <item x="784"/>
        <item x="593"/>
        <item x="500"/>
        <item x="756"/>
        <item x="486"/>
        <item x="320"/>
        <item x="24"/>
        <item x="354"/>
        <item x="778"/>
        <item x="630"/>
        <item x="652"/>
        <item x="675"/>
        <item x="1"/>
        <item x="553"/>
        <item x="729"/>
        <item x="536"/>
        <item x="744"/>
        <item x="398"/>
        <item x="478"/>
        <item x="172"/>
        <item x="137"/>
        <item x="530"/>
        <item x="302"/>
        <item x="585"/>
        <item x="25"/>
        <item x="639"/>
        <item x="415"/>
        <item x="723"/>
        <item x="288"/>
        <item x="539"/>
        <item x="727"/>
        <item x="770"/>
        <item x="628"/>
        <item x="389"/>
        <item x="596"/>
        <item x="204"/>
        <item x="421"/>
        <item x="713"/>
        <item x="481"/>
        <item x="545"/>
        <item x="491"/>
        <item x="747"/>
        <item x="542"/>
        <item x="635"/>
        <item x="527"/>
        <item x="447"/>
        <item x="731"/>
        <item x="18"/>
        <item x="523"/>
        <item x="572"/>
        <item x="549"/>
        <item x="761"/>
        <item x="40"/>
        <item x="365"/>
        <item x="427"/>
        <item x="405"/>
        <item x="785"/>
        <item x="333"/>
        <item x="368"/>
        <item x="351"/>
        <item x="468"/>
        <item x="503"/>
        <item x="386"/>
        <item x="525"/>
        <item x="684"/>
        <item x="567"/>
        <item x="390"/>
        <item x="360"/>
        <item x="458"/>
        <item x="769"/>
        <item x="604"/>
        <item x="518"/>
        <item x="281"/>
        <item x="562"/>
        <item x="620"/>
        <item x="651"/>
        <item x="393"/>
        <item x="625"/>
        <item x="103"/>
        <item x="546"/>
        <item x="396"/>
        <item x="702"/>
        <item x="424"/>
        <item x="534"/>
        <item x="730"/>
        <item x="453"/>
        <item x="632"/>
        <item x="438"/>
        <item x="773"/>
        <item x="385"/>
        <item x="482"/>
        <item x="671"/>
        <item x="786"/>
        <item x="429"/>
        <item x="732"/>
        <item x="402"/>
        <item x="768"/>
        <item x="698"/>
        <item x="660"/>
        <item x="570"/>
        <item x="749"/>
        <item x="459"/>
        <item x="479"/>
        <item x="607"/>
        <item x="452"/>
        <item x="361"/>
        <item x="579"/>
        <item x="735"/>
        <item x="230"/>
        <item x="73"/>
        <item x="234"/>
        <item x="235"/>
        <item x="231"/>
        <item x="182"/>
        <item x="52"/>
        <item x="92"/>
        <item x="126"/>
        <item x="297"/>
        <item x="143"/>
        <item t="default"/>
      </items>
    </pivotField>
    <pivotField numFmtId="14" showAll="0"/>
    <pivotField showAll="0">
      <items count="4">
        <item x="1"/>
        <item x="2"/>
        <item x="0"/>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showAll="0"/>
    <pivotField showAll="0"/>
    <pivotField showAll="0"/>
    <pivotField numFmtId="14" showAll="0">
      <items count="565">
        <item x="94"/>
        <item x="92"/>
        <item x="79"/>
        <item x="2"/>
        <item x="97"/>
        <item x="20"/>
        <item x="40"/>
        <item x="90"/>
        <item x="91"/>
        <item x="7"/>
        <item x="85"/>
        <item x="98"/>
        <item x="49"/>
        <item x="54"/>
        <item x="39"/>
        <item x="36"/>
        <item x="89"/>
        <item x="78"/>
        <item x="9"/>
        <item x="69"/>
        <item x="76"/>
        <item x="13"/>
        <item x="64"/>
        <item x="15"/>
        <item x="52"/>
        <item x="50"/>
        <item x="35"/>
        <item x="70"/>
        <item x="87"/>
        <item x="32"/>
        <item x="0"/>
        <item x="3"/>
        <item x="95"/>
        <item x="22"/>
        <item x="53"/>
        <item x="63"/>
        <item x="33"/>
        <item x="43"/>
        <item x="58"/>
        <item x="4"/>
        <item x="72"/>
        <item x="11"/>
        <item x="23"/>
        <item x="57"/>
        <item x="10"/>
        <item x="68"/>
        <item x="31"/>
        <item x="42"/>
        <item x="65"/>
        <item x="59"/>
        <item x="71"/>
        <item x="34"/>
        <item x="12"/>
        <item x="88"/>
        <item x="61"/>
        <item x="46"/>
        <item x="81"/>
        <item x="93"/>
        <item x="74"/>
        <item x="73"/>
        <item x="38"/>
        <item x="17"/>
        <item x="6"/>
        <item x="21"/>
        <item x="47"/>
        <item x="62"/>
        <item x="18"/>
        <item x="25"/>
        <item x="41"/>
        <item x="30"/>
        <item x="86"/>
        <item x="16"/>
        <item x="27"/>
        <item x="48"/>
        <item x="28"/>
        <item x="83"/>
        <item x="5"/>
        <item x="77"/>
        <item x="8"/>
        <item x="19"/>
        <item x="1"/>
        <item x="84"/>
        <item x="51"/>
        <item x="55"/>
        <item x="406"/>
        <item x="96"/>
        <item x="235"/>
        <item x="322"/>
        <item x="372"/>
        <item x="442"/>
        <item x="256"/>
        <item x="413"/>
        <item x="113"/>
        <item x="67"/>
        <item x="180"/>
        <item x="231"/>
        <item x="303"/>
        <item x="281"/>
        <item x="210"/>
        <item x="170"/>
        <item x="24"/>
        <item x="531"/>
        <item x="403"/>
        <item x="108"/>
        <item x="173"/>
        <item x="548"/>
        <item x="425"/>
        <item x="522"/>
        <item x="473"/>
        <item x="335"/>
        <item x="333"/>
        <item x="446"/>
        <item x="532"/>
        <item x="251"/>
        <item x="285"/>
        <item x="435"/>
        <item x="496"/>
        <item x="60"/>
        <item x="321"/>
        <item x="334"/>
        <item x="452"/>
        <item x="506"/>
        <item x="409"/>
        <item x="274"/>
        <item x="26"/>
        <item x="134"/>
        <item x="82"/>
        <item x="37"/>
        <item x="261"/>
        <item x="14"/>
        <item x="517"/>
        <item x="353"/>
        <item x="421"/>
        <item x="266"/>
        <item x="316"/>
        <item x="194"/>
        <item x="314"/>
        <item x="486"/>
        <item x="541"/>
        <item x="157"/>
        <item x="29"/>
        <item x="318"/>
        <item x="375"/>
        <item x="459"/>
        <item x="543"/>
        <item x="66"/>
        <item x="465"/>
        <item x="552"/>
        <item x="487"/>
        <item x="195"/>
        <item x="138"/>
        <item x="313"/>
        <item x="362"/>
        <item x="447"/>
        <item x="174"/>
        <item x="460"/>
        <item x="179"/>
        <item x="391"/>
        <item x="80"/>
        <item x="239"/>
        <item x="505"/>
        <item x="555"/>
        <item x="75"/>
        <item x="254"/>
        <item x="45"/>
        <item x="365"/>
        <item x="390"/>
        <item x="374"/>
        <item x="348"/>
        <item x="221"/>
        <item x="115"/>
        <item x="56"/>
        <item x="183"/>
        <item x="407"/>
        <item x="402"/>
        <item x="253"/>
        <item x="244"/>
        <item x="520"/>
        <item x="309"/>
        <item x="228"/>
        <item x="512"/>
        <item x="366"/>
        <item x="342"/>
        <item x="434"/>
        <item x="229"/>
        <item x="319"/>
        <item x="538"/>
        <item x="123"/>
        <item x="105"/>
        <item x="500"/>
        <item x="410"/>
        <item x="363"/>
        <item x="236"/>
        <item x="557"/>
        <item x="397"/>
        <item x="293"/>
        <item x="396"/>
        <item x="158"/>
        <item x="439"/>
        <item x="463"/>
        <item x="404"/>
        <item x="222"/>
        <item x="384"/>
        <item x="143"/>
        <item x="558"/>
        <item x="146"/>
        <item x="193"/>
        <item x="559"/>
        <item x="330"/>
        <item x="262"/>
        <item x="423"/>
        <item x="245"/>
        <item x="411"/>
        <item x="192"/>
        <item x="340"/>
        <item x="356"/>
        <item x="323"/>
        <item x="203"/>
        <item x="441"/>
        <item x="172"/>
        <item x="419"/>
        <item x="508"/>
        <item x="556"/>
        <item x="530"/>
        <item x="175"/>
        <item x="269"/>
        <item x="477"/>
        <item x="540"/>
        <item x="44"/>
        <item x="511"/>
        <item x="151"/>
        <item x="492"/>
        <item x="326"/>
        <item x="428"/>
        <item x="308"/>
        <item x="450"/>
        <item x="471"/>
        <item x="132"/>
        <item x="198"/>
        <item x="206"/>
        <item x="213"/>
        <item x="145"/>
        <item x="257"/>
        <item x="533"/>
        <item x="412"/>
        <item x="545"/>
        <item x="501"/>
        <item x="112"/>
        <item x="136"/>
        <item x="527"/>
        <item x="241"/>
        <item x="311"/>
        <item x="499"/>
        <item x="250"/>
        <item x="523"/>
        <item x="490"/>
        <item x="242"/>
        <item x="276"/>
        <item x="237"/>
        <item x="347"/>
        <item x="408"/>
        <item x="346"/>
        <item x="455"/>
        <item x="489"/>
        <item x="509"/>
        <item x="364"/>
        <item x="155"/>
        <item x="103"/>
        <item x="553"/>
        <item x="212"/>
        <item x="279"/>
        <item x="457"/>
        <item x="535"/>
        <item x="369"/>
        <item x="177"/>
        <item x="427"/>
        <item x="264"/>
        <item x="484"/>
        <item x="160"/>
        <item x="121"/>
        <item x="176"/>
        <item x="493"/>
        <item x="202"/>
        <item x="186"/>
        <item x="265"/>
        <item x="287"/>
        <item x="218"/>
        <item x="327"/>
        <item x="142"/>
        <item x="124"/>
        <item x="127"/>
        <item x="300"/>
        <item x="166"/>
        <item x="178"/>
        <item x="332"/>
        <item x="528"/>
        <item x="401"/>
        <item x="329"/>
        <item x="357"/>
        <item x="225"/>
        <item x="377"/>
        <item x="306"/>
        <item x="355"/>
        <item x="360"/>
        <item x="467"/>
        <item x="246"/>
        <item x="444"/>
        <item x="392"/>
        <item x="325"/>
        <item x="131"/>
        <item x="135"/>
        <item x="352"/>
        <item x="117"/>
        <item x="302"/>
        <item x="149"/>
        <item x="376"/>
        <item x="288"/>
        <item x="292"/>
        <item x="315"/>
        <item x="440"/>
        <item x="109"/>
        <item x="383"/>
        <item x="282"/>
        <item x="100"/>
        <item x="182"/>
        <item x="525"/>
        <item x="453"/>
        <item x="129"/>
        <item x="125"/>
        <item x="171"/>
        <item x="211"/>
        <item x="102"/>
        <item x="448"/>
        <item x="217"/>
        <item x="554"/>
        <item x="370"/>
        <item x="191"/>
        <item x="443"/>
        <item x="118"/>
        <item x="294"/>
        <item x="414"/>
        <item x="350"/>
        <item x="529"/>
        <item x="331"/>
        <item x="153"/>
        <item x="111"/>
        <item x="99"/>
        <item x="185"/>
        <item x="526"/>
        <item x="133"/>
        <item x="415"/>
        <item x="214"/>
        <item x="106"/>
        <item x="388"/>
        <item x="468"/>
        <item x="429"/>
        <item x="101"/>
        <item x="243"/>
        <item x="291"/>
        <item x="273"/>
        <item x="343"/>
        <item x="297"/>
        <item x="387"/>
        <item x="272"/>
        <item x="456"/>
        <item x="504"/>
        <item x="422"/>
        <item x="208"/>
        <item x="144"/>
        <item x="399"/>
        <item x="147"/>
        <item x="137"/>
        <item x="482"/>
        <item x="424"/>
        <item x="141"/>
        <item x="386"/>
        <item x="120"/>
        <item x="278"/>
        <item x="510"/>
        <item x="317"/>
        <item x="562"/>
        <item x="299"/>
        <item x="268"/>
        <item x="371"/>
        <item x="289"/>
        <item x="338"/>
        <item x="255"/>
        <item x="542"/>
        <item x="122"/>
        <item x="324"/>
        <item x="307"/>
        <item x="426"/>
        <item x="150"/>
        <item x="197"/>
        <item x="547"/>
        <item x="275"/>
        <item x="436"/>
        <item x="188"/>
        <item x="219"/>
        <item x="380"/>
        <item x="563"/>
        <item x="312"/>
        <item x="491"/>
        <item x="437"/>
        <item x="359"/>
        <item x="405"/>
        <item x="514"/>
        <item x="378"/>
        <item x="126"/>
        <item x="296"/>
        <item x="521"/>
        <item x="420"/>
        <item x="207"/>
        <item x="156"/>
        <item x="161"/>
        <item x="209"/>
        <item x="480"/>
        <item x="216"/>
        <item x="349"/>
        <item x="169"/>
        <item x="247"/>
        <item x="284"/>
        <item x="337"/>
        <item x="451"/>
        <item x="267"/>
        <item x="164"/>
        <item x="454"/>
        <item x="479"/>
        <item x="431"/>
        <item x="498"/>
        <item x="400"/>
        <item x="152"/>
        <item x="260"/>
        <item x="238"/>
        <item x="361"/>
        <item x="524"/>
        <item x="418"/>
        <item x="204"/>
        <item x="283"/>
        <item x="469"/>
        <item x="240"/>
        <item x="516"/>
        <item x="495"/>
        <item x="252"/>
        <item x="549"/>
        <item x="351"/>
        <item x="546"/>
        <item x="277"/>
        <item x="165"/>
        <item x="249"/>
        <item x="181"/>
        <item x="232"/>
        <item x="305"/>
        <item x="367"/>
        <item x="162"/>
        <item x="502"/>
        <item x="368"/>
        <item x="320"/>
        <item x="464"/>
        <item x="230"/>
        <item x="536"/>
        <item x="233"/>
        <item x="167"/>
        <item x="220"/>
        <item x="382"/>
        <item x="474"/>
        <item x="226"/>
        <item x="518"/>
        <item x="534"/>
        <item x="438"/>
        <item x="433"/>
        <item x="290"/>
        <item x="215"/>
        <item x="248"/>
        <item x="139"/>
        <item x="462"/>
        <item x="485"/>
        <item x="449"/>
        <item x="280"/>
        <item x="561"/>
        <item x="271"/>
        <item x="224"/>
        <item x="301"/>
        <item x="341"/>
        <item x="107"/>
        <item x="270"/>
        <item x="430"/>
        <item x="148"/>
        <item x="304"/>
        <item x="196"/>
        <item x="223"/>
        <item x="200"/>
        <item x="515"/>
        <item x="466"/>
        <item x="519"/>
        <item x="381"/>
        <item x="385"/>
        <item x="476"/>
        <item x="497"/>
        <item x="551"/>
        <item x="398"/>
        <item x="130"/>
        <item x="201"/>
        <item x="336"/>
        <item x="507"/>
        <item x="537"/>
        <item x="472"/>
        <item x="373"/>
        <item x="258"/>
        <item x="154"/>
        <item x="344"/>
        <item x="163"/>
        <item x="184"/>
        <item x="140"/>
        <item x="234"/>
        <item x="110"/>
        <item x="354"/>
        <item x="416"/>
        <item x="259"/>
        <item x="128"/>
        <item x="478"/>
        <item x="358"/>
        <item x="488"/>
        <item x="417"/>
        <item x="550"/>
        <item x="395"/>
        <item x="539"/>
        <item x="119"/>
        <item x="379"/>
        <item x="286"/>
        <item x="445"/>
        <item x="458"/>
        <item x="389"/>
        <item x="114"/>
        <item x="560"/>
        <item x="189"/>
        <item x="159"/>
        <item x="345"/>
        <item x="470"/>
        <item x="263"/>
        <item x="393"/>
        <item x="295"/>
        <item x="481"/>
        <item x="513"/>
        <item x="310"/>
        <item x="494"/>
        <item x="190"/>
        <item x="328"/>
        <item x="432"/>
        <item x="475"/>
        <item x="227"/>
        <item x="503"/>
        <item x="394"/>
        <item x="544"/>
        <item x="187"/>
        <item x="116"/>
        <item x="298"/>
        <item x="104"/>
        <item x="461"/>
        <item x="199"/>
        <item x="168"/>
        <item x="483"/>
        <item x="205"/>
        <item x="3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5"/>
  </rowFields>
  <rowItems count="12">
    <i>
      <x/>
    </i>
    <i>
      <x v="1"/>
    </i>
    <i>
      <x v="2"/>
    </i>
    <i>
      <x v="3"/>
    </i>
    <i>
      <x v="4"/>
    </i>
    <i>
      <x v="5"/>
    </i>
    <i>
      <x v="6"/>
    </i>
    <i>
      <x v="7"/>
    </i>
    <i>
      <x v="8"/>
    </i>
    <i>
      <x v="9"/>
    </i>
    <i>
      <x v="10"/>
    </i>
    <i t="grand">
      <x/>
    </i>
  </rowItems>
  <colItems count="1">
    <i/>
  </colItems>
  <dataFields count="1">
    <dataField name="Average of Salary" fld="8" subtotal="average" baseField="5" baseItem="0"/>
  </dataFields>
  <formats count="8">
    <format dxfId="105">
      <pivotArea field="5" type="button" dataOnly="0" labelOnly="1" outline="0" axis="axisRow" fieldPosition="0"/>
    </format>
    <format dxfId="104">
      <pivotArea dataOnly="0" labelOnly="1" outline="0" fieldPosition="0">
        <references count="1">
          <reference field="4294967294" count="1">
            <x v="0"/>
          </reference>
        </references>
      </pivotArea>
    </format>
    <format dxfId="103">
      <pivotArea type="all" dataOnly="0" outline="0" fieldPosition="0"/>
    </format>
    <format dxfId="102">
      <pivotArea outline="0" collapsedLevelsAreSubtotals="1" fieldPosition="0"/>
    </format>
    <format dxfId="101">
      <pivotArea field="5" type="button" dataOnly="0" labelOnly="1" outline="0" axis="axisRow" fieldPosition="0"/>
    </format>
    <format dxfId="100">
      <pivotArea dataOnly="0" labelOnly="1" fieldPosition="0">
        <references count="1">
          <reference field="5" count="0"/>
        </references>
      </pivotArea>
    </format>
    <format dxfId="99">
      <pivotArea dataOnly="0" labelOnly="1" grandRow="1" outline="0" fieldPosition="0"/>
    </format>
    <format dxfId="9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5"/>
          </reference>
        </references>
      </pivotArea>
    </chartFormat>
    <chartFormat chart="4" format="4">
      <pivotArea type="data" outline="0" fieldPosition="0">
        <references count="2">
          <reference field="4294967294" count="1" selected="0">
            <x v="0"/>
          </reference>
          <reference field="5" count="1" selected="0">
            <x v="0"/>
          </reference>
        </references>
      </pivotArea>
    </chartFormat>
    <chartFormat chart="4" format="5">
      <pivotArea type="data" outline="0" fieldPosition="0">
        <references count="2">
          <reference field="4294967294" count="1" selected="0">
            <x v="0"/>
          </reference>
          <reference field="5" count="1" selected="0">
            <x v="2"/>
          </reference>
        </references>
      </pivotArea>
    </chartFormat>
    <chartFormat chart="4" format="6">
      <pivotArea type="data" outline="0" fieldPosition="0">
        <references count="2">
          <reference field="4294967294" count="1" selected="0">
            <x v="0"/>
          </reference>
          <reference field="5" count="1" selected="0">
            <x v="4"/>
          </reference>
        </references>
      </pivotArea>
    </chartFormat>
    <chartFormat chart="4" format="7">
      <pivotArea type="data" outline="0" fieldPosition="0">
        <references count="2">
          <reference field="4294967294" count="1" selected="0">
            <x v="0"/>
          </reference>
          <reference field="5" count="1" selected="0">
            <x v="6"/>
          </reference>
        </references>
      </pivotArea>
    </chartFormat>
    <chartFormat chart="4" format="8">
      <pivotArea type="data" outline="0" fieldPosition="0">
        <references count="2">
          <reference field="4294967294" count="1" selected="0">
            <x v="0"/>
          </reference>
          <reference field="5" count="1" selected="0">
            <x v="9"/>
          </reference>
        </references>
      </pivotArea>
    </chartFormat>
    <chartFormat chart="4" format="9">
      <pivotArea type="data" outline="0" fieldPosition="0">
        <references count="2">
          <reference field="4294967294" count="1" selected="0">
            <x v="0"/>
          </reference>
          <reference field="5" count="1" selected="0">
            <x v="8"/>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820122-4685-42FB-BC3F-3D615EBCE32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0:B96" firstHeaderRow="1" firstDataRow="1" firstDataCol="1"/>
  <pivotFields count="36">
    <pivotField dataField="1" showAll="0"/>
    <pivotField showAll="0"/>
    <pivotField showAll="0"/>
    <pivotField axis="axisRow" showAll="0">
      <items count="6">
        <item x="2"/>
        <item x="1"/>
        <item x="4"/>
        <item x="0"/>
        <item x="3"/>
        <item t="default"/>
      </items>
    </pivotField>
    <pivotField showAll="0">
      <items count="3">
        <item x="1"/>
        <item x="0"/>
        <item t="default"/>
      </items>
    </pivotField>
    <pivotField showAll="0">
      <items count="12">
        <item x="3"/>
        <item x="5"/>
        <item x="9"/>
        <item x="7"/>
        <item x="6"/>
        <item x="1"/>
        <item x="10"/>
        <item x="0"/>
        <item x="8"/>
        <item x="4"/>
        <item x="2"/>
        <item t="default"/>
      </items>
    </pivotField>
    <pivotField showAll="0">
      <items count="36">
        <item x="10"/>
        <item x="22"/>
        <item x="11"/>
        <item x="17"/>
        <item x="13"/>
        <item x="31"/>
        <item x="5"/>
        <item x="30"/>
        <item x="28"/>
        <item x="6"/>
        <item x="14"/>
        <item x="21"/>
        <item x="7"/>
        <item x="34"/>
        <item x="20"/>
        <item x="29"/>
        <item x="26"/>
        <item x="18"/>
        <item x="4"/>
        <item x="33"/>
        <item x="19"/>
        <item x="23"/>
        <item x="27"/>
        <item x="9"/>
        <item x="0"/>
        <item x="2"/>
        <item x="32"/>
        <item x="16"/>
        <item x="24"/>
        <item x="25"/>
        <item x="3"/>
        <item x="12"/>
        <item x="8"/>
        <item x="1"/>
        <item x="15"/>
        <item t="default"/>
      </items>
    </pivotField>
    <pivotField showAll="0">
      <items count="521">
        <item x="326"/>
        <item x="310"/>
        <item x="442"/>
        <item x="177"/>
        <item x="452"/>
        <item x="60"/>
        <item x="189"/>
        <item x="343"/>
        <item x="6"/>
        <item x="399"/>
        <item x="32"/>
        <item x="218"/>
        <item x="463"/>
        <item x="366"/>
        <item x="313"/>
        <item x="369"/>
        <item x="24"/>
        <item x="5"/>
        <item x="480"/>
        <item x="145"/>
        <item x="373"/>
        <item x="454"/>
        <item x="329"/>
        <item x="330"/>
        <item x="107"/>
        <item x="134"/>
        <item x="188"/>
        <item x="459"/>
        <item x="446"/>
        <item x="139"/>
        <item x="143"/>
        <item x="166"/>
        <item x="421"/>
        <item x="497"/>
        <item x="414"/>
        <item x="101"/>
        <item x="283"/>
        <item x="469"/>
        <item x="439"/>
        <item x="40"/>
        <item x="294"/>
        <item x="492"/>
        <item x="488"/>
        <item x="293"/>
        <item x="20"/>
        <item x="276"/>
        <item x="12"/>
        <item x="494"/>
        <item x="8"/>
        <item x="248"/>
        <item x="298"/>
        <item x="19"/>
        <item x="212"/>
        <item x="88"/>
        <item x="141"/>
        <item x="148"/>
        <item x="112"/>
        <item x="420"/>
        <item x="106"/>
        <item x="86"/>
        <item x="407"/>
        <item x="274"/>
        <item x="142"/>
        <item x="389"/>
        <item x="216"/>
        <item x="291"/>
        <item x="146"/>
        <item x="227"/>
        <item x="257"/>
        <item x="233"/>
        <item x="219"/>
        <item x="499"/>
        <item x="175"/>
        <item x="180"/>
        <item x="264"/>
        <item x="47"/>
        <item x="431"/>
        <item x="355"/>
        <item x="35"/>
        <item x="28"/>
        <item x="124"/>
        <item x="484"/>
        <item x="100"/>
        <item x="507"/>
        <item x="358"/>
        <item x="97"/>
        <item x="94"/>
        <item x="182"/>
        <item x="265"/>
        <item x="323"/>
        <item x="185"/>
        <item x="404"/>
        <item x="64"/>
        <item x="289"/>
        <item x="424"/>
        <item x="66"/>
        <item x="58"/>
        <item x="56"/>
        <item x="443"/>
        <item x="384"/>
        <item x="428"/>
        <item x="113"/>
        <item x="363"/>
        <item x="444"/>
        <item x="52"/>
        <item x="73"/>
        <item x="282"/>
        <item x="280"/>
        <item x="95"/>
        <item x="21"/>
        <item x="42"/>
        <item x="324"/>
        <item x="220"/>
        <item x="409"/>
        <item x="495"/>
        <item x="441"/>
        <item x="195"/>
        <item x="187"/>
        <item x="315"/>
        <item x="33"/>
        <item x="314"/>
        <item x="481"/>
        <item x="361"/>
        <item x="168"/>
        <item x="68"/>
        <item x="226"/>
        <item x="149"/>
        <item x="37"/>
        <item x="147"/>
        <item x="325"/>
        <item x="215"/>
        <item x="10"/>
        <item x="181"/>
        <item x="411"/>
        <item x="204"/>
        <item x="199"/>
        <item x="125"/>
        <item x="18"/>
        <item x="243"/>
        <item x="202"/>
        <item x="114"/>
        <item x="511"/>
        <item x="296"/>
        <item x="397"/>
        <item x="381"/>
        <item x="473"/>
        <item x="229"/>
        <item x="154"/>
        <item x="77"/>
        <item x="402"/>
        <item x="284"/>
        <item x="3"/>
        <item x="44"/>
        <item x="71"/>
        <item x="49"/>
        <item x="140"/>
        <item x="322"/>
        <item x="81"/>
        <item x="340"/>
        <item x="109"/>
        <item x="17"/>
        <item x="128"/>
        <item x="244"/>
        <item x="377"/>
        <item x="491"/>
        <item x="378"/>
        <item x="150"/>
        <item x="445"/>
        <item x="211"/>
        <item x="415"/>
        <item x="190"/>
        <item x="105"/>
        <item x="238"/>
        <item x="129"/>
        <item x="380"/>
        <item x="103"/>
        <item x="67"/>
        <item x="418"/>
        <item x="29"/>
        <item x="23"/>
        <item x="198"/>
        <item x="228"/>
        <item x="82"/>
        <item x="203"/>
        <item x="193"/>
        <item x="501"/>
        <item x="300"/>
        <item x="278"/>
        <item x="342"/>
        <item x="328"/>
        <item x="345"/>
        <item x="434"/>
        <item x="335"/>
        <item x="400"/>
        <item x="514"/>
        <item x="255"/>
        <item x="239"/>
        <item x="279"/>
        <item x="121"/>
        <item x="429"/>
        <item x="256"/>
        <item x="13"/>
        <item x="272"/>
        <item x="364"/>
        <item x="408"/>
        <item x="223"/>
        <item x="305"/>
        <item x="386"/>
        <item x="130"/>
        <item x="119"/>
        <item x="38"/>
        <item x="83"/>
        <item x="135"/>
        <item x="435"/>
        <item x="410"/>
        <item x="367"/>
        <item x="201"/>
        <item x="36"/>
        <item x="356"/>
        <item x="436"/>
        <item x="451"/>
        <item x="308"/>
        <item x="470"/>
        <item x="15"/>
        <item x="440"/>
        <item x="513"/>
        <item x="22"/>
        <item x="519"/>
        <item x="205"/>
        <item x="365"/>
        <item x="518"/>
        <item x="192"/>
        <item x="347"/>
        <item x="236"/>
        <item x="30"/>
        <item x="254"/>
        <item x="151"/>
        <item x="234"/>
        <item x="472"/>
        <item x="221"/>
        <item x="348"/>
        <item x="517"/>
        <item x="476"/>
        <item x="169"/>
        <item x="115"/>
        <item x="48"/>
        <item x="433"/>
        <item x="388"/>
        <item x="14"/>
        <item x="222"/>
        <item x="259"/>
        <item x="164"/>
        <item x="362"/>
        <item x="417"/>
        <item x="237"/>
        <item x="252"/>
        <item x="457"/>
        <item x="508"/>
        <item x="99"/>
        <item x="401"/>
        <item x="316"/>
        <item x="41"/>
        <item x="288"/>
        <item x="479"/>
        <item x="98"/>
        <item x="262"/>
        <item x="250"/>
        <item x="123"/>
        <item x="498"/>
        <item x="136"/>
        <item x="39"/>
        <item x="85"/>
        <item x="208"/>
        <item x="266"/>
        <item x="413"/>
        <item x="230"/>
        <item x="510"/>
        <item x="376"/>
        <item x="301"/>
        <item x="50"/>
        <item x="406"/>
        <item x="155"/>
        <item x="11"/>
        <item x="290"/>
        <item x="311"/>
        <item x="427"/>
        <item x="176"/>
        <item x="7"/>
        <item x="465"/>
        <item x="390"/>
        <item x="89"/>
        <item x="460"/>
        <item x="327"/>
        <item x="461"/>
        <item x="398"/>
        <item x="483"/>
        <item x="292"/>
        <item x="2"/>
        <item x="93"/>
        <item x="375"/>
        <item x="350"/>
        <item x="271"/>
        <item x="462"/>
        <item x="55"/>
        <item x="416"/>
        <item x="251"/>
        <item x="183"/>
        <item x="303"/>
        <item x="449"/>
        <item x="253"/>
        <item x="505"/>
        <item x="245"/>
        <item x="170"/>
        <item x="285"/>
        <item x="133"/>
        <item x="163"/>
        <item x="346"/>
        <item x="493"/>
        <item x="172"/>
        <item x="371"/>
        <item x="392"/>
        <item x="489"/>
        <item x="160"/>
        <item x="59"/>
        <item x="419"/>
        <item x="468"/>
        <item x="214"/>
        <item x="16"/>
        <item x="74"/>
        <item x="171"/>
        <item x="359"/>
        <item x="118"/>
        <item x="487"/>
        <item x="232"/>
        <item x="240"/>
        <item x="515"/>
        <item x="167"/>
        <item x="332"/>
        <item x="334"/>
        <item x="490"/>
        <item x="79"/>
        <item x="235"/>
        <item x="349"/>
        <item x="370"/>
        <item x="104"/>
        <item x="477"/>
        <item x="466"/>
        <item x="403"/>
        <item x="351"/>
        <item x="261"/>
        <item x="430"/>
        <item x="437"/>
        <item x="391"/>
        <item x="412"/>
        <item x="179"/>
        <item x="447"/>
        <item x="242"/>
        <item x="90"/>
        <item x="200"/>
        <item x="360"/>
        <item x="394"/>
        <item x="504"/>
        <item x="516"/>
        <item x="0"/>
        <item x="509"/>
        <item x="341"/>
        <item x="379"/>
        <item x="69"/>
        <item x="72"/>
        <item x="84"/>
        <item x="260"/>
        <item x="474"/>
        <item x="425"/>
        <item x="241"/>
        <item x="70"/>
        <item x="76"/>
        <item x="196"/>
        <item x="131"/>
        <item x="458"/>
        <item x="353"/>
        <item x="309"/>
        <item x="287"/>
        <item x="455"/>
        <item x="302"/>
        <item x="75"/>
        <item x="496"/>
        <item x="31"/>
        <item x="339"/>
        <item x="26"/>
        <item x="178"/>
        <item x="57"/>
        <item x="102"/>
        <item x="357"/>
        <item x="306"/>
        <item x="108"/>
        <item x="51"/>
        <item x="224"/>
        <item x="503"/>
        <item x="165"/>
        <item x="92"/>
        <item x="475"/>
        <item x="482"/>
        <item x="158"/>
        <item x="512"/>
        <item x="299"/>
        <item x="34"/>
        <item x="157"/>
        <item x="312"/>
        <item x="426"/>
        <item x="173"/>
        <item x="485"/>
        <item x="9"/>
        <item x="405"/>
        <item x="213"/>
        <item x="46"/>
        <item x="27"/>
        <item x="354"/>
        <item x="116"/>
        <item x="320"/>
        <item x="194"/>
        <item x="210"/>
        <item x="295"/>
        <item x="385"/>
        <item x="319"/>
        <item x="464"/>
        <item x="438"/>
        <item x="258"/>
        <item x="336"/>
        <item x="43"/>
        <item x="277"/>
        <item x="111"/>
        <item x="450"/>
        <item x="197"/>
        <item x="162"/>
        <item x="246"/>
        <item x="62"/>
        <item x="161"/>
        <item x="268"/>
        <item x="80"/>
        <item x="78"/>
        <item x="269"/>
        <item x="126"/>
        <item x="317"/>
        <item x="209"/>
        <item x="247"/>
        <item x="387"/>
        <item x="110"/>
        <item x="395"/>
        <item x="231"/>
        <item x="422"/>
        <item x="456"/>
        <item x="372"/>
        <item x="467"/>
        <item x="45"/>
        <item x="186"/>
        <item x="132"/>
        <item x="137"/>
        <item x="65"/>
        <item x="502"/>
        <item x="382"/>
        <item x="267"/>
        <item x="286"/>
        <item x="333"/>
        <item x="453"/>
        <item x="270"/>
        <item x="217"/>
        <item x="53"/>
        <item x="1"/>
        <item x="225"/>
        <item x="91"/>
        <item x="61"/>
        <item x="206"/>
        <item x="249"/>
        <item x="96"/>
        <item x="337"/>
        <item x="321"/>
        <item x="432"/>
        <item x="152"/>
        <item x="54"/>
        <item x="117"/>
        <item x="368"/>
        <item x="281"/>
        <item x="207"/>
        <item x="275"/>
        <item x="156"/>
        <item x="471"/>
        <item x="263"/>
        <item x="307"/>
        <item x="344"/>
        <item x="500"/>
        <item x="138"/>
        <item x="63"/>
        <item x="273"/>
        <item x="304"/>
        <item x="184"/>
        <item x="120"/>
        <item x="331"/>
        <item x="374"/>
        <item x="423"/>
        <item x="153"/>
        <item x="159"/>
        <item x="383"/>
        <item x="448"/>
        <item x="122"/>
        <item x="486"/>
        <item x="191"/>
        <item x="318"/>
        <item x="352"/>
        <item x="174"/>
        <item x="25"/>
        <item x="4"/>
        <item x="338"/>
        <item x="506"/>
        <item x="396"/>
        <item x="393"/>
        <item x="478"/>
        <item x="87"/>
        <item x="297"/>
        <item x="127"/>
        <item x="144"/>
        <item t="default"/>
      </items>
    </pivotField>
    <pivotField showAll="0"/>
    <pivotField numFmtId="165" showAll="0"/>
    <pivotField numFmtId="14" showAll="0"/>
    <pivotField showAll="0">
      <items count="4">
        <item x="1"/>
        <item x="2"/>
        <item x="0"/>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showAll="0"/>
    <pivotField showAll="0"/>
    <pivotField showAll="0"/>
    <pivotField numFmtId="14" showAll="0">
      <items count="565">
        <item x="94"/>
        <item x="92"/>
        <item x="79"/>
        <item x="2"/>
        <item x="97"/>
        <item x="20"/>
        <item x="40"/>
        <item x="90"/>
        <item x="91"/>
        <item x="7"/>
        <item x="85"/>
        <item x="98"/>
        <item x="49"/>
        <item x="54"/>
        <item x="39"/>
        <item x="36"/>
        <item x="89"/>
        <item x="78"/>
        <item x="9"/>
        <item x="69"/>
        <item x="76"/>
        <item x="13"/>
        <item x="64"/>
        <item x="15"/>
        <item x="52"/>
        <item x="50"/>
        <item x="35"/>
        <item x="70"/>
        <item x="87"/>
        <item x="32"/>
        <item x="0"/>
        <item x="3"/>
        <item x="95"/>
        <item x="22"/>
        <item x="53"/>
        <item x="63"/>
        <item x="33"/>
        <item x="43"/>
        <item x="58"/>
        <item x="4"/>
        <item x="72"/>
        <item x="11"/>
        <item x="23"/>
        <item x="57"/>
        <item x="10"/>
        <item x="68"/>
        <item x="31"/>
        <item x="42"/>
        <item x="65"/>
        <item x="59"/>
        <item x="71"/>
        <item x="34"/>
        <item x="12"/>
        <item x="88"/>
        <item x="61"/>
        <item x="46"/>
        <item x="81"/>
        <item x="93"/>
        <item x="74"/>
        <item x="73"/>
        <item x="38"/>
        <item x="17"/>
        <item x="6"/>
        <item x="21"/>
        <item x="47"/>
        <item x="62"/>
        <item x="18"/>
        <item x="25"/>
        <item x="41"/>
        <item x="30"/>
        <item x="86"/>
        <item x="16"/>
        <item x="27"/>
        <item x="48"/>
        <item x="28"/>
        <item x="83"/>
        <item x="5"/>
        <item x="77"/>
        <item x="8"/>
        <item x="19"/>
        <item x="1"/>
        <item x="84"/>
        <item x="51"/>
        <item x="55"/>
        <item x="406"/>
        <item x="96"/>
        <item x="235"/>
        <item x="322"/>
        <item x="372"/>
        <item x="442"/>
        <item x="256"/>
        <item x="413"/>
        <item x="113"/>
        <item x="67"/>
        <item x="180"/>
        <item x="231"/>
        <item x="303"/>
        <item x="281"/>
        <item x="210"/>
        <item x="170"/>
        <item x="24"/>
        <item x="531"/>
        <item x="403"/>
        <item x="108"/>
        <item x="173"/>
        <item x="548"/>
        <item x="425"/>
        <item x="522"/>
        <item x="473"/>
        <item x="335"/>
        <item x="333"/>
        <item x="446"/>
        <item x="532"/>
        <item x="251"/>
        <item x="285"/>
        <item x="435"/>
        <item x="496"/>
        <item x="60"/>
        <item x="321"/>
        <item x="334"/>
        <item x="452"/>
        <item x="506"/>
        <item x="409"/>
        <item x="274"/>
        <item x="26"/>
        <item x="134"/>
        <item x="82"/>
        <item x="37"/>
        <item x="261"/>
        <item x="14"/>
        <item x="517"/>
        <item x="353"/>
        <item x="421"/>
        <item x="266"/>
        <item x="316"/>
        <item x="194"/>
        <item x="314"/>
        <item x="486"/>
        <item x="541"/>
        <item x="157"/>
        <item x="29"/>
        <item x="318"/>
        <item x="375"/>
        <item x="459"/>
        <item x="543"/>
        <item x="66"/>
        <item x="465"/>
        <item x="552"/>
        <item x="487"/>
        <item x="195"/>
        <item x="138"/>
        <item x="313"/>
        <item x="362"/>
        <item x="447"/>
        <item x="174"/>
        <item x="460"/>
        <item x="179"/>
        <item x="391"/>
        <item x="80"/>
        <item x="239"/>
        <item x="505"/>
        <item x="555"/>
        <item x="75"/>
        <item x="254"/>
        <item x="45"/>
        <item x="365"/>
        <item x="390"/>
        <item x="374"/>
        <item x="348"/>
        <item x="221"/>
        <item x="115"/>
        <item x="56"/>
        <item x="183"/>
        <item x="407"/>
        <item x="402"/>
        <item x="253"/>
        <item x="244"/>
        <item x="520"/>
        <item x="309"/>
        <item x="228"/>
        <item x="512"/>
        <item x="366"/>
        <item x="342"/>
        <item x="434"/>
        <item x="229"/>
        <item x="319"/>
        <item x="538"/>
        <item x="123"/>
        <item x="105"/>
        <item x="500"/>
        <item x="410"/>
        <item x="363"/>
        <item x="236"/>
        <item x="557"/>
        <item x="397"/>
        <item x="293"/>
        <item x="396"/>
        <item x="158"/>
        <item x="439"/>
        <item x="463"/>
        <item x="404"/>
        <item x="222"/>
        <item x="384"/>
        <item x="143"/>
        <item x="558"/>
        <item x="146"/>
        <item x="193"/>
        <item x="559"/>
        <item x="330"/>
        <item x="262"/>
        <item x="423"/>
        <item x="245"/>
        <item x="411"/>
        <item x="192"/>
        <item x="340"/>
        <item x="356"/>
        <item x="323"/>
        <item x="203"/>
        <item x="441"/>
        <item x="172"/>
        <item x="419"/>
        <item x="508"/>
        <item x="556"/>
        <item x="530"/>
        <item x="175"/>
        <item x="269"/>
        <item x="477"/>
        <item x="540"/>
        <item x="44"/>
        <item x="511"/>
        <item x="151"/>
        <item x="492"/>
        <item x="326"/>
        <item x="428"/>
        <item x="308"/>
        <item x="450"/>
        <item x="471"/>
        <item x="132"/>
        <item x="198"/>
        <item x="206"/>
        <item x="213"/>
        <item x="145"/>
        <item x="257"/>
        <item x="533"/>
        <item x="412"/>
        <item x="545"/>
        <item x="501"/>
        <item x="112"/>
        <item x="136"/>
        <item x="527"/>
        <item x="241"/>
        <item x="311"/>
        <item x="499"/>
        <item x="250"/>
        <item x="523"/>
        <item x="490"/>
        <item x="242"/>
        <item x="276"/>
        <item x="237"/>
        <item x="347"/>
        <item x="408"/>
        <item x="346"/>
        <item x="455"/>
        <item x="489"/>
        <item x="509"/>
        <item x="364"/>
        <item x="155"/>
        <item x="103"/>
        <item x="553"/>
        <item x="212"/>
        <item x="279"/>
        <item x="457"/>
        <item x="535"/>
        <item x="369"/>
        <item x="177"/>
        <item x="427"/>
        <item x="264"/>
        <item x="484"/>
        <item x="160"/>
        <item x="121"/>
        <item x="176"/>
        <item x="493"/>
        <item x="202"/>
        <item x="186"/>
        <item x="265"/>
        <item x="287"/>
        <item x="218"/>
        <item x="327"/>
        <item x="142"/>
        <item x="124"/>
        <item x="127"/>
        <item x="300"/>
        <item x="166"/>
        <item x="178"/>
        <item x="332"/>
        <item x="528"/>
        <item x="401"/>
        <item x="329"/>
        <item x="357"/>
        <item x="225"/>
        <item x="377"/>
        <item x="306"/>
        <item x="355"/>
        <item x="360"/>
        <item x="467"/>
        <item x="246"/>
        <item x="444"/>
        <item x="392"/>
        <item x="325"/>
        <item x="131"/>
        <item x="135"/>
        <item x="352"/>
        <item x="117"/>
        <item x="302"/>
        <item x="149"/>
        <item x="376"/>
        <item x="288"/>
        <item x="292"/>
        <item x="315"/>
        <item x="440"/>
        <item x="109"/>
        <item x="383"/>
        <item x="282"/>
        <item x="100"/>
        <item x="182"/>
        <item x="525"/>
        <item x="453"/>
        <item x="129"/>
        <item x="125"/>
        <item x="171"/>
        <item x="211"/>
        <item x="102"/>
        <item x="448"/>
        <item x="217"/>
        <item x="554"/>
        <item x="370"/>
        <item x="191"/>
        <item x="443"/>
        <item x="118"/>
        <item x="294"/>
        <item x="414"/>
        <item x="350"/>
        <item x="529"/>
        <item x="331"/>
        <item x="153"/>
        <item x="111"/>
        <item x="99"/>
        <item x="185"/>
        <item x="526"/>
        <item x="133"/>
        <item x="415"/>
        <item x="214"/>
        <item x="106"/>
        <item x="388"/>
        <item x="468"/>
        <item x="429"/>
        <item x="101"/>
        <item x="243"/>
        <item x="291"/>
        <item x="273"/>
        <item x="343"/>
        <item x="297"/>
        <item x="387"/>
        <item x="272"/>
        <item x="456"/>
        <item x="504"/>
        <item x="422"/>
        <item x="208"/>
        <item x="144"/>
        <item x="399"/>
        <item x="147"/>
        <item x="137"/>
        <item x="482"/>
        <item x="424"/>
        <item x="141"/>
        <item x="386"/>
        <item x="120"/>
        <item x="278"/>
        <item x="510"/>
        <item x="317"/>
        <item x="562"/>
        <item x="299"/>
        <item x="268"/>
        <item x="371"/>
        <item x="289"/>
        <item x="338"/>
        <item x="255"/>
        <item x="542"/>
        <item x="122"/>
        <item x="324"/>
        <item x="307"/>
        <item x="426"/>
        <item x="150"/>
        <item x="197"/>
        <item x="547"/>
        <item x="275"/>
        <item x="436"/>
        <item x="188"/>
        <item x="219"/>
        <item x="380"/>
        <item x="563"/>
        <item x="312"/>
        <item x="491"/>
        <item x="437"/>
        <item x="359"/>
        <item x="405"/>
        <item x="514"/>
        <item x="378"/>
        <item x="126"/>
        <item x="296"/>
        <item x="521"/>
        <item x="420"/>
        <item x="207"/>
        <item x="156"/>
        <item x="161"/>
        <item x="209"/>
        <item x="480"/>
        <item x="216"/>
        <item x="349"/>
        <item x="169"/>
        <item x="247"/>
        <item x="284"/>
        <item x="337"/>
        <item x="451"/>
        <item x="267"/>
        <item x="164"/>
        <item x="454"/>
        <item x="479"/>
        <item x="431"/>
        <item x="498"/>
        <item x="400"/>
        <item x="152"/>
        <item x="260"/>
        <item x="238"/>
        <item x="361"/>
        <item x="524"/>
        <item x="418"/>
        <item x="204"/>
        <item x="283"/>
        <item x="469"/>
        <item x="240"/>
        <item x="516"/>
        <item x="495"/>
        <item x="252"/>
        <item x="549"/>
        <item x="351"/>
        <item x="546"/>
        <item x="277"/>
        <item x="165"/>
        <item x="249"/>
        <item x="181"/>
        <item x="232"/>
        <item x="305"/>
        <item x="367"/>
        <item x="162"/>
        <item x="502"/>
        <item x="368"/>
        <item x="320"/>
        <item x="464"/>
        <item x="230"/>
        <item x="536"/>
        <item x="233"/>
        <item x="167"/>
        <item x="220"/>
        <item x="382"/>
        <item x="474"/>
        <item x="226"/>
        <item x="518"/>
        <item x="534"/>
        <item x="438"/>
        <item x="433"/>
        <item x="290"/>
        <item x="215"/>
        <item x="248"/>
        <item x="139"/>
        <item x="462"/>
        <item x="485"/>
        <item x="449"/>
        <item x="280"/>
        <item x="561"/>
        <item x="271"/>
        <item x="224"/>
        <item x="301"/>
        <item x="341"/>
        <item x="107"/>
        <item x="270"/>
        <item x="430"/>
        <item x="148"/>
        <item x="304"/>
        <item x="196"/>
        <item x="223"/>
        <item x="200"/>
        <item x="515"/>
        <item x="466"/>
        <item x="519"/>
        <item x="381"/>
        <item x="385"/>
        <item x="476"/>
        <item x="497"/>
        <item x="551"/>
        <item x="398"/>
        <item x="130"/>
        <item x="201"/>
        <item x="336"/>
        <item x="507"/>
        <item x="537"/>
        <item x="472"/>
        <item x="373"/>
        <item x="258"/>
        <item x="154"/>
        <item x="344"/>
        <item x="163"/>
        <item x="184"/>
        <item x="140"/>
        <item x="234"/>
        <item x="110"/>
        <item x="354"/>
        <item x="416"/>
        <item x="259"/>
        <item x="128"/>
        <item x="478"/>
        <item x="358"/>
        <item x="488"/>
        <item x="417"/>
        <item x="550"/>
        <item x="395"/>
        <item x="539"/>
        <item x="119"/>
        <item x="379"/>
        <item x="286"/>
        <item x="445"/>
        <item x="458"/>
        <item x="389"/>
        <item x="114"/>
        <item x="560"/>
        <item x="189"/>
        <item x="159"/>
        <item x="345"/>
        <item x="470"/>
        <item x="263"/>
        <item x="393"/>
        <item x="295"/>
        <item x="481"/>
        <item x="513"/>
        <item x="310"/>
        <item x="494"/>
        <item x="190"/>
        <item x="328"/>
        <item x="432"/>
        <item x="475"/>
        <item x="227"/>
        <item x="503"/>
        <item x="394"/>
        <item x="544"/>
        <item x="187"/>
        <item x="116"/>
        <item x="298"/>
        <item x="104"/>
        <item x="461"/>
        <item x="199"/>
        <item x="168"/>
        <item x="483"/>
        <item x="205"/>
        <item x="3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3"/>
  </rowFields>
  <rowItems count="6">
    <i>
      <x/>
    </i>
    <i>
      <x v="1"/>
    </i>
    <i>
      <x v="2"/>
    </i>
    <i>
      <x v="3"/>
    </i>
    <i>
      <x v="4"/>
    </i>
    <i t="grand">
      <x/>
    </i>
  </rowItems>
  <colItems count="1">
    <i/>
  </colItems>
  <dataFields count="1">
    <dataField name="Count of EmpID" fld="0" subtotal="count" baseField="5" baseItem="0"/>
  </dataFields>
  <formats count="6">
    <format dxfId="111">
      <pivotArea type="all" dataOnly="0" outline="0" fieldPosition="0"/>
    </format>
    <format dxfId="110">
      <pivotArea outline="0" collapsedLevelsAreSubtotals="1" fieldPosition="0"/>
    </format>
    <format dxfId="109">
      <pivotArea field="3" type="button" dataOnly="0" labelOnly="1" outline="0" axis="axisRow" fieldPosition="0"/>
    </format>
    <format dxfId="108">
      <pivotArea dataOnly="0" labelOnly="1" fieldPosition="0">
        <references count="1">
          <reference field="3" count="0"/>
        </references>
      </pivotArea>
    </format>
    <format dxfId="107">
      <pivotArea dataOnly="0" labelOnly="1" grandRow="1" outline="0" fieldPosition="0"/>
    </format>
    <format dxfId="106">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7B6430-B949-4D94-9E9D-184325B3745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3:K36" firstHeaderRow="1" firstDataRow="1" firstDataCol="1"/>
  <pivotFields count="36">
    <pivotField dataField="1" showAll="0"/>
    <pivotField showAll="0"/>
    <pivotField showAll="0"/>
    <pivotField showAll="0"/>
    <pivotField showAll="0">
      <items count="3">
        <item x="1"/>
        <item x="0"/>
        <item t="default"/>
      </items>
    </pivotField>
    <pivotField showAll="0">
      <items count="12">
        <item x="3"/>
        <item x="5"/>
        <item x="9"/>
        <item x="7"/>
        <item x="6"/>
        <item x="1"/>
        <item x="10"/>
        <item x="0"/>
        <item x="8"/>
        <item x="4"/>
        <item x="2"/>
        <item t="default"/>
      </items>
    </pivotField>
    <pivotField showAll="0">
      <items count="36">
        <item x="10"/>
        <item x="22"/>
        <item x="11"/>
        <item x="17"/>
        <item x="13"/>
        <item x="31"/>
        <item x="5"/>
        <item x="30"/>
        <item x="28"/>
        <item x="6"/>
        <item x="14"/>
        <item x="21"/>
        <item x="7"/>
        <item x="34"/>
        <item x="20"/>
        <item x="29"/>
        <item x="26"/>
        <item x="18"/>
        <item x="4"/>
        <item x="33"/>
        <item x="19"/>
        <item x="23"/>
        <item x="27"/>
        <item x="9"/>
        <item x="0"/>
        <item x="2"/>
        <item x="32"/>
        <item x="16"/>
        <item x="24"/>
        <item x="25"/>
        <item x="3"/>
        <item x="12"/>
        <item x="8"/>
        <item x="1"/>
        <item x="15"/>
        <item t="default"/>
      </items>
    </pivotField>
    <pivotField showAll="0">
      <items count="521">
        <item x="326"/>
        <item x="310"/>
        <item x="442"/>
        <item x="177"/>
        <item x="452"/>
        <item x="60"/>
        <item x="189"/>
        <item x="343"/>
        <item x="6"/>
        <item x="399"/>
        <item x="32"/>
        <item x="218"/>
        <item x="463"/>
        <item x="366"/>
        <item x="313"/>
        <item x="369"/>
        <item x="24"/>
        <item x="5"/>
        <item x="480"/>
        <item x="145"/>
        <item x="373"/>
        <item x="454"/>
        <item x="329"/>
        <item x="330"/>
        <item x="107"/>
        <item x="134"/>
        <item x="188"/>
        <item x="459"/>
        <item x="446"/>
        <item x="139"/>
        <item x="143"/>
        <item x="166"/>
        <item x="421"/>
        <item x="497"/>
        <item x="414"/>
        <item x="101"/>
        <item x="283"/>
        <item x="469"/>
        <item x="439"/>
        <item x="40"/>
        <item x="294"/>
        <item x="492"/>
        <item x="488"/>
        <item x="293"/>
        <item x="20"/>
        <item x="276"/>
        <item x="12"/>
        <item x="494"/>
        <item x="8"/>
        <item x="248"/>
        <item x="298"/>
        <item x="19"/>
        <item x="212"/>
        <item x="88"/>
        <item x="141"/>
        <item x="148"/>
        <item x="112"/>
        <item x="420"/>
        <item x="106"/>
        <item x="86"/>
        <item x="407"/>
        <item x="274"/>
        <item x="142"/>
        <item x="389"/>
        <item x="216"/>
        <item x="291"/>
        <item x="146"/>
        <item x="227"/>
        <item x="257"/>
        <item x="233"/>
        <item x="219"/>
        <item x="499"/>
        <item x="175"/>
        <item x="180"/>
        <item x="264"/>
        <item x="47"/>
        <item x="431"/>
        <item x="355"/>
        <item x="35"/>
        <item x="28"/>
        <item x="124"/>
        <item x="484"/>
        <item x="100"/>
        <item x="507"/>
        <item x="358"/>
        <item x="97"/>
        <item x="94"/>
        <item x="182"/>
        <item x="265"/>
        <item x="323"/>
        <item x="185"/>
        <item x="404"/>
        <item x="64"/>
        <item x="289"/>
        <item x="424"/>
        <item x="66"/>
        <item x="58"/>
        <item x="56"/>
        <item x="443"/>
        <item x="384"/>
        <item x="428"/>
        <item x="113"/>
        <item x="363"/>
        <item x="444"/>
        <item x="52"/>
        <item x="73"/>
        <item x="282"/>
        <item x="280"/>
        <item x="95"/>
        <item x="21"/>
        <item x="42"/>
        <item x="324"/>
        <item x="220"/>
        <item x="409"/>
        <item x="495"/>
        <item x="441"/>
        <item x="195"/>
        <item x="187"/>
        <item x="315"/>
        <item x="33"/>
        <item x="314"/>
        <item x="481"/>
        <item x="361"/>
        <item x="168"/>
        <item x="68"/>
        <item x="226"/>
        <item x="149"/>
        <item x="37"/>
        <item x="147"/>
        <item x="325"/>
        <item x="215"/>
        <item x="10"/>
        <item x="181"/>
        <item x="411"/>
        <item x="204"/>
        <item x="199"/>
        <item x="125"/>
        <item x="18"/>
        <item x="243"/>
        <item x="202"/>
        <item x="114"/>
        <item x="511"/>
        <item x="296"/>
        <item x="397"/>
        <item x="381"/>
        <item x="473"/>
        <item x="229"/>
        <item x="154"/>
        <item x="77"/>
        <item x="402"/>
        <item x="284"/>
        <item x="3"/>
        <item x="44"/>
        <item x="71"/>
        <item x="49"/>
        <item x="140"/>
        <item x="322"/>
        <item x="81"/>
        <item x="340"/>
        <item x="109"/>
        <item x="17"/>
        <item x="128"/>
        <item x="244"/>
        <item x="377"/>
        <item x="491"/>
        <item x="378"/>
        <item x="150"/>
        <item x="445"/>
        <item x="211"/>
        <item x="415"/>
        <item x="190"/>
        <item x="105"/>
        <item x="238"/>
        <item x="129"/>
        <item x="380"/>
        <item x="103"/>
        <item x="67"/>
        <item x="418"/>
        <item x="29"/>
        <item x="23"/>
        <item x="198"/>
        <item x="228"/>
        <item x="82"/>
        <item x="203"/>
        <item x="193"/>
        <item x="501"/>
        <item x="300"/>
        <item x="278"/>
        <item x="342"/>
        <item x="328"/>
        <item x="345"/>
        <item x="434"/>
        <item x="335"/>
        <item x="400"/>
        <item x="514"/>
        <item x="255"/>
        <item x="239"/>
        <item x="279"/>
        <item x="121"/>
        <item x="429"/>
        <item x="256"/>
        <item x="13"/>
        <item x="272"/>
        <item x="364"/>
        <item x="408"/>
        <item x="223"/>
        <item x="305"/>
        <item x="386"/>
        <item x="130"/>
        <item x="119"/>
        <item x="38"/>
        <item x="83"/>
        <item x="135"/>
        <item x="435"/>
        <item x="410"/>
        <item x="367"/>
        <item x="201"/>
        <item x="36"/>
        <item x="356"/>
        <item x="436"/>
        <item x="451"/>
        <item x="308"/>
        <item x="470"/>
        <item x="15"/>
        <item x="440"/>
        <item x="513"/>
        <item x="22"/>
        <item x="519"/>
        <item x="205"/>
        <item x="365"/>
        <item x="518"/>
        <item x="192"/>
        <item x="347"/>
        <item x="236"/>
        <item x="30"/>
        <item x="254"/>
        <item x="151"/>
        <item x="234"/>
        <item x="472"/>
        <item x="221"/>
        <item x="348"/>
        <item x="517"/>
        <item x="476"/>
        <item x="169"/>
        <item x="115"/>
        <item x="48"/>
        <item x="433"/>
        <item x="388"/>
        <item x="14"/>
        <item x="222"/>
        <item x="259"/>
        <item x="164"/>
        <item x="362"/>
        <item x="417"/>
        <item x="237"/>
        <item x="252"/>
        <item x="457"/>
        <item x="508"/>
        <item x="99"/>
        <item x="401"/>
        <item x="316"/>
        <item x="41"/>
        <item x="288"/>
        <item x="479"/>
        <item x="98"/>
        <item x="262"/>
        <item x="250"/>
        <item x="123"/>
        <item x="498"/>
        <item x="136"/>
        <item x="39"/>
        <item x="85"/>
        <item x="208"/>
        <item x="266"/>
        <item x="413"/>
        <item x="230"/>
        <item x="510"/>
        <item x="376"/>
        <item x="301"/>
        <item x="50"/>
        <item x="406"/>
        <item x="155"/>
        <item x="11"/>
        <item x="290"/>
        <item x="311"/>
        <item x="427"/>
        <item x="176"/>
        <item x="7"/>
        <item x="465"/>
        <item x="390"/>
        <item x="89"/>
        <item x="460"/>
        <item x="327"/>
        <item x="461"/>
        <item x="398"/>
        <item x="483"/>
        <item x="292"/>
        <item x="2"/>
        <item x="93"/>
        <item x="375"/>
        <item x="350"/>
        <item x="271"/>
        <item x="462"/>
        <item x="55"/>
        <item x="416"/>
        <item x="251"/>
        <item x="183"/>
        <item x="303"/>
        <item x="449"/>
        <item x="253"/>
        <item x="505"/>
        <item x="245"/>
        <item x="170"/>
        <item x="285"/>
        <item x="133"/>
        <item x="163"/>
        <item x="346"/>
        <item x="493"/>
        <item x="172"/>
        <item x="371"/>
        <item x="392"/>
        <item x="489"/>
        <item x="160"/>
        <item x="59"/>
        <item x="419"/>
        <item x="468"/>
        <item x="214"/>
        <item x="16"/>
        <item x="74"/>
        <item x="171"/>
        <item x="359"/>
        <item x="118"/>
        <item x="487"/>
        <item x="232"/>
        <item x="240"/>
        <item x="515"/>
        <item x="167"/>
        <item x="332"/>
        <item x="334"/>
        <item x="490"/>
        <item x="79"/>
        <item x="235"/>
        <item x="349"/>
        <item x="370"/>
        <item x="104"/>
        <item x="477"/>
        <item x="466"/>
        <item x="403"/>
        <item x="351"/>
        <item x="261"/>
        <item x="430"/>
        <item x="437"/>
        <item x="391"/>
        <item x="412"/>
        <item x="179"/>
        <item x="447"/>
        <item x="242"/>
        <item x="90"/>
        <item x="200"/>
        <item x="360"/>
        <item x="394"/>
        <item x="504"/>
        <item x="516"/>
        <item x="0"/>
        <item x="509"/>
        <item x="341"/>
        <item x="379"/>
        <item x="69"/>
        <item x="72"/>
        <item x="84"/>
        <item x="260"/>
        <item x="474"/>
        <item x="425"/>
        <item x="241"/>
        <item x="70"/>
        <item x="76"/>
        <item x="196"/>
        <item x="131"/>
        <item x="458"/>
        <item x="353"/>
        <item x="309"/>
        <item x="287"/>
        <item x="455"/>
        <item x="302"/>
        <item x="75"/>
        <item x="496"/>
        <item x="31"/>
        <item x="339"/>
        <item x="26"/>
        <item x="178"/>
        <item x="57"/>
        <item x="102"/>
        <item x="357"/>
        <item x="306"/>
        <item x="108"/>
        <item x="51"/>
        <item x="224"/>
        <item x="503"/>
        <item x="165"/>
        <item x="92"/>
        <item x="475"/>
        <item x="482"/>
        <item x="158"/>
        <item x="512"/>
        <item x="299"/>
        <item x="34"/>
        <item x="157"/>
        <item x="312"/>
        <item x="426"/>
        <item x="173"/>
        <item x="485"/>
        <item x="9"/>
        <item x="405"/>
        <item x="213"/>
        <item x="46"/>
        <item x="27"/>
        <item x="354"/>
        <item x="116"/>
        <item x="320"/>
        <item x="194"/>
        <item x="210"/>
        <item x="295"/>
        <item x="385"/>
        <item x="319"/>
        <item x="464"/>
        <item x="438"/>
        <item x="258"/>
        <item x="336"/>
        <item x="43"/>
        <item x="277"/>
        <item x="111"/>
        <item x="450"/>
        <item x="197"/>
        <item x="162"/>
        <item x="246"/>
        <item x="62"/>
        <item x="161"/>
        <item x="268"/>
        <item x="80"/>
        <item x="78"/>
        <item x="269"/>
        <item x="126"/>
        <item x="317"/>
        <item x="209"/>
        <item x="247"/>
        <item x="387"/>
        <item x="110"/>
        <item x="395"/>
        <item x="231"/>
        <item x="422"/>
        <item x="456"/>
        <item x="372"/>
        <item x="467"/>
        <item x="45"/>
        <item x="186"/>
        <item x="132"/>
        <item x="137"/>
        <item x="65"/>
        <item x="502"/>
        <item x="382"/>
        <item x="267"/>
        <item x="286"/>
        <item x="333"/>
        <item x="453"/>
        <item x="270"/>
        <item x="217"/>
        <item x="53"/>
        <item x="1"/>
        <item x="225"/>
        <item x="91"/>
        <item x="61"/>
        <item x="206"/>
        <item x="249"/>
        <item x="96"/>
        <item x="337"/>
        <item x="321"/>
        <item x="432"/>
        <item x="152"/>
        <item x="54"/>
        <item x="117"/>
        <item x="368"/>
        <item x="281"/>
        <item x="207"/>
        <item x="275"/>
        <item x="156"/>
        <item x="471"/>
        <item x="263"/>
        <item x="307"/>
        <item x="344"/>
        <item x="500"/>
        <item x="138"/>
        <item x="63"/>
        <item x="273"/>
        <item x="304"/>
        <item x="184"/>
        <item x="120"/>
        <item x="331"/>
        <item x="374"/>
        <item x="423"/>
        <item x="153"/>
        <item x="159"/>
        <item x="383"/>
        <item x="448"/>
        <item x="122"/>
        <item x="486"/>
        <item x="191"/>
        <item x="318"/>
        <item x="352"/>
        <item x="174"/>
        <item x="25"/>
        <item x="4"/>
        <item x="338"/>
        <item x="506"/>
        <item x="396"/>
        <item x="393"/>
        <item x="478"/>
        <item x="87"/>
        <item x="297"/>
        <item x="127"/>
        <item x="144"/>
        <item t="default"/>
      </items>
    </pivotField>
    <pivotField showAll="0"/>
    <pivotField numFmtId="165" showAll="0"/>
    <pivotField numFmtId="14" showAll="0"/>
    <pivotField showAll="0">
      <items count="4">
        <item x="1"/>
        <item x="2"/>
        <item x="0"/>
        <item t="default"/>
      </items>
    </pivotField>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axis="axisRow" showAll="0">
      <items count="3">
        <item x="0"/>
        <item x="1"/>
        <item t="default"/>
      </items>
    </pivotField>
    <pivotField showAll="0"/>
    <pivotField showAll="0"/>
    <pivotField numFmtId="14" showAll="0">
      <items count="565">
        <item x="94"/>
        <item x="92"/>
        <item x="79"/>
        <item x="2"/>
        <item x="97"/>
        <item x="20"/>
        <item x="40"/>
        <item x="90"/>
        <item x="91"/>
        <item x="7"/>
        <item x="85"/>
        <item x="98"/>
        <item x="49"/>
        <item x="54"/>
        <item x="39"/>
        <item x="36"/>
        <item x="89"/>
        <item x="78"/>
        <item x="9"/>
        <item x="69"/>
        <item x="76"/>
        <item x="13"/>
        <item x="64"/>
        <item x="15"/>
        <item x="52"/>
        <item x="50"/>
        <item x="35"/>
        <item x="70"/>
        <item x="87"/>
        <item x="32"/>
        <item x="0"/>
        <item x="3"/>
        <item x="95"/>
        <item x="22"/>
        <item x="53"/>
        <item x="63"/>
        <item x="33"/>
        <item x="43"/>
        <item x="58"/>
        <item x="4"/>
        <item x="72"/>
        <item x="11"/>
        <item x="23"/>
        <item x="57"/>
        <item x="10"/>
        <item x="68"/>
        <item x="31"/>
        <item x="42"/>
        <item x="65"/>
        <item x="59"/>
        <item x="71"/>
        <item x="34"/>
        <item x="12"/>
        <item x="88"/>
        <item x="61"/>
        <item x="46"/>
        <item x="81"/>
        <item x="93"/>
        <item x="74"/>
        <item x="73"/>
        <item x="38"/>
        <item x="17"/>
        <item x="6"/>
        <item x="21"/>
        <item x="47"/>
        <item x="62"/>
        <item x="18"/>
        <item x="25"/>
        <item x="41"/>
        <item x="30"/>
        <item x="86"/>
        <item x="16"/>
        <item x="27"/>
        <item x="48"/>
        <item x="28"/>
        <item x="83"/>
        <item x="5"/>
        <item x="77"/>
        <item x="8"/>
        <item x="19"/>
        <item x="1"/>
        <item x="84"/>
        <item x="51"/>
        <item x="55"/>
        <item x="406"/>
        <item x="96"/>
        <item x="235"/>
        <item x="322"/>
        <item x="372"/>
        <item x="442"/>
        <item x="256"/>
        <item x="413"/>
        <item x="113"/>
        <item x="67"/>
        <item x="180"/>
        <item x="231"/>
        <item x="303"/>
        <item x="281"/>
        <item x="210"/>
        <item x="170"/>
        <item x="24"/>
        <item x="531"/>
        <item x="403"/>
        <item x="108"/>
        <item x="173"/>
        <item x="548"/>
        <item x="425"/>
        <item x="522"/>
        <item x="473"/>
        <item x="335"/>
        <item x="333"/>
        <item x="446"/>
        <item x="532"/>
        <item x="251"/>
        <item x="285"/>
        <item x="435"/>
        <item x="496"/>
        <item x="60"/>
        <item x="321"/>
        <item x="334"/>
        <item x="452"/>
        <item x="506"/>
        <item x="409"/>
        <item x="274"/>
        <item x="26"/>
        <item x="134"/>
        <item x="82"/>
        <item x="37"/>
        <item x="261"/>
        <item x="14"/>
        <item x="517"/>
        <item x="353"/>
        <item x="421"/>
        <item x="266"/>
        <item x="316"/>
        <item x="194"/>
        <item x="314"/>
        <item x="486"/>
        <item x="541"/>
        <item x="157"/>
        <item x="29"/>
        <item x="318"/>
        <item x="375"/>
        <item x="459"/>
        <item x="543"/>
        <item x="66"/>
        <item x="465"/>
        <item x="552"/>
        <item x="487"/>
        <item x="195"/>
        <item x="138"/>
        <item x="313"/>
        <item x="362"/>
        <item x="447"/>
        <item x="174"/>
        <item x="460"/>
        <item x="179"/>
        <item x="391"/>
        <item x="80"/>
        <item x="239"/>
        <item x="505"/>
        <item x="555"/>
        <item x="75"/>
        <item x="254"/>
        <item x="45"/>
        <item x="365"/>
        <item x="390"/>
        <item x="374"/>
        <item x="348"/>
        <item x="221"/>
        <item x="115"/>
        <item x="56"/>
        <item x="183"/>
        <item x="407"/>
        <item x="402"/>
        <item x="253"/>
        <item x="244"/>
        <item x="520"/>
        <item x="309"/>
        <item x="228"/>
        <item x="512"/>
        <item x="366"/>
        <item x="342"/>
        <item x="434"/>
        <item x="229"/>
        <item x="319"/>
        <item x="538"/>
        <item x="123"/>
        <item x="105"/>
        <item x="500"/>
        <item x="410"/>
        <item x="363"/>
        <item x="236"/>
        <item x="557"/>
        <item x="397"/>
        <item x="293"/>
        <item x="396"/>
        <item x="158"/>
        <item x="439"/>
        <item x="463"/>
        <item x="404"/>
        <item x="222"/>
        <item x="384"/>
        <item x="143"/>
        <item x="558"/>
        <item x="146"/>
        <item x="193"/>
        <item x="559"/>
        <item x="330"/>
        <item x="262"/>
        <item x="423"/>
        <item x="245"/>
        <item x="411"/>
        <item x="192"/>
        <item x="340"/>
        <item x="356"/>
        <item x="323"/>
        <item x="203"/>
        <item x="441"/>
        <item x="172"/>
        <item x="419"/>
        <item x="508"/>
        <item x="556"/>
        <item x="530"/>
        <item x="175"/>
        <item x="269"/>
        <item x="477"/>
        <item x="540"/>
        <item x="44"/>
        <item x="511"/>
        <item x="151"/>
        <item x="492"/>
        <item x="326"/>
        <item x="428"/>
        <item x="308"/>
        <item x="450"/>
        <item x="471"/>
        <item x="132"/>
        <item x="198"/>
        <item x="206"/>
        <item x="213"/>
        <item x="145"/>
        <item x="257"/>
        <item x="533"/>
        <item x="412"/>
        <item x="545"/>
        <item x="501"/>
        <item x="112"/>
        <item x="136"/>
        <item x="527"/>
        <item x="241"/>
        <item x="311"/>
        <item x="499"/>
        <item x="250"/>
        <item x="523"/>
        <item x="490"/>
        <item x="242"/>
        <item x="276"/>
        <item x="237"/>
        <item x="347"/>
        <item x="408"/>
        <item x="346"/>
        <item x="455"/>
        <item x="489"/>
        <item x="509"/>
        <item x="364"/>
        <item x="155"/>
        <item x="103"/>
        <item x="553"/>
        <item x="212"/>
        <item x="279"/>
        <item x="457"/>
        <item x="535"/>
        <item x="369"/>
        <item x="177"/>
        <item x="427"/>
        <item x="264"/>
        <item x="484"/>
        <item x="160"/>
        <item x="121"/>
        <item x="176"/>
        <item x="493"/>
        <item x="202"/>
        <item x="186"/>
        <item x="265"/>
        <item x="287"/>
        <item x="218"/>
        <item x="327"/>
        <item x="142"/>
        <item x="124"/>
        <item x="127"/>
        <item x="300"/>
        <item x="166"/>
        <item x="178"/>
        <item x="332"/>
        <item x="528"/>
        <item x="401"/>
        <item x="329"/>
        <item x="357"/>
        <item x="225"/>
        <item x="377"/>
        <item x="306"/>
        <item x="355"/>
        <item x="360"/>
        <item x="467"/>
        <item x="246"/>
        <item x="444"/>
        <item x="392"/>
        <item x="325"/>
        <item x="131"/>
        <item x="135"/>
        <item x="352"/>
        <item x="117"/>
        <item x="302"/>
        <item x="149"/>
        <item x="376"/>
        <item x="288"/>
        <item x="292"/>
        <item x="315"/>
        <item x="440"/>
        <item x="109"/>
        <item x="383"/>
        <item x="282"/>
        <item x="100"/>
        <item x="182"/>
        <item x="525"/>
        <item x="453"/>
        <item x="129"/>
        <item x="125"/>
        <item x="171"/>
        <item x="211"/>
        <item x="102"/>
        <item x="448"/>
        <item x="217"/>
        <item x="554"/>
        <item x="370"/>
        <item x="191"/>
        <item x="443"/>
        <item x="118"/>
        <item x="294"/>
        <item x="414"/>
        <item x="350"/>
        <item x="529"/>
        <item x="331"/>
        <item x="153"/>
        <item x="111"/>
        <item x="99"/>
        <item x="185"/>
        <item x="526"/>
        <item x="133"/>
        <item x="415"/>
        <item x="214"/>
        <item x="106"/>
        <item x="388"/>
        <item x="468"/>
        <item x="429"/>
        <item x="101"/>
        <item x="243"/>
        <item x="291"/>
        <item x="273"/>
        <item x="343"/>
        <item x="297"/>
        <item x="387"/>
        <item x="272"/>
        <item x="456"/>
        <item x="504"/>
        <item x="422"/>
        <item x="208"/>
        <item x="144"/>
        <item x="399"/>
        <item x="147"/>
        <item x="137"/>
        <item x="482"/>
        <item x="424"/>
        <item x="141"/>
        <item x="386"/>
        <item x="120"/>
        <item x="278"/>
        <item x="510"/>
        <item x="317"/>
        <item x="562"/>
        <item x="299"/>
        <item x="268"/>
        <item x="371"/>
        <item x="289"/>
        <item x="338"/>
        <item x="255"/>
        <item x="542"/>
        <item x="122"/>
        <item x="324"/>
        <item x="307"/>
        <item x="426"/>
        <item x="150"/>
        <item x="197"/>
        <item x="547"/>
        <item x="275"/>
        <item x="436"/>
        <item x="188"/>
        <item x="219"/>
        <item x="380"/>
        <item x="563"/>
        <item x="312"/>
        <item x="491"/>
        <item x="437"/>
        <item x="359"/>
        <item x="405"/>
        <item x="514"/>
        <item x="378"/>
        <item x="126"/>
        <item x="296"/>
        <item x="521"/>
        <item x="420"/>
        <item x="207"/>
        <item x="156"/>
        <item x="161"/>
        <item x="209"/>
        <item x="480"/>
        <item x="216"/>
        <item x="349"/>
        <item x="169"/>
        <item x="247"/>
        <item x="284"/>
        <item x="337"/>
        <item x="451"/>
        <item x="267"/>
        <item x="164"/>
        <item x="454"/>
        <item x="479"/>
        <item x="431"/>
        <item x="498"/>
        <item x="400"/>
        <item x="152"/>
        <item x="260"/>
        <item x="238"/>
        <item x="361"/>
        <item x="524"/>
        <item x="418"/>
        <item x="204"/>
        <item x="283"/>
        <item x="469"/>
        <item x="240"/>
        <item x="516"/>
        <item x="495"/>
        <item x="252"/>
        <item x="549"/>
        <item x="351"/>
        <item x="546"/>
        <item x="277"/>
        <item x="165"/>
        <item x="249"/>
        <item x="181"/>
        <item x="232"/>
        <item x="305"/>
        <item x="367"/>
        <item x="162"/>
        <item x="502"/>
        <item x="368"/>
        <item x="320"/>
        <item x="464"/>
        <item x="230"/>
        <item x="536"/>
        <item x="233"/>
        <item x="167"/>
        <item x="220"/>
        <item x="382"/>
        <item x="474"/>
        <item x="226"/>
        <item x="518"/>
        <item x="534"/>
        <item x="438"/>
        <item x="433"/>
        <item x="290"/>
        <item x="215"/>
        <item x="248"/>
        <item x="139"/>
        <item x="462"/>
        <item x="485"/>
        <item x="449"/>
        <item x="280"/>
        <item x="561"/>
        <item x="271"/>
        <item x="224"/>
        <item x="301"/>
        <item x="341"/>
        <item x="107"/>
        <item x="270"/>
        <item x="430"/>
        <item x="148"/>
        <item x="304"/>
        <item x="196"/>
        <item x="223"/>
        <item x="200"/>
        <item x="515"/>
        <item x="466"/>
        <item x="519"/>
        <item x="381"/>
        <item x="385"/>
        <item x="476"/>
        <item x="497"/>
        <item x="551"/>
        <item x="398"/>
        <item x="130"/>
        <item x="201"/>
        <item x="336"/>
        <item x="507"/>
        <item x="537"/>
        <item x="472"/>
        <item x="373"/>
        <item x="258"/>
        <item x="154"/>
        <item x="344"/>
        <item x="163"/>
        <item x="184"/>
        <item x="140"/>
        <item x="234"/>
        <item x="110"/>
        <item x="354"/>
        <item x="416"/>
        <item x="259"/>
        <item x="128"/>
        <item x="478"/>
        <item x="358"/>
        <item x="488"/>
        <item x="417"/>
        <item x="550"/>
        <item x="395"/>
        <item x="539"/>
        <item x="119"/>
        <item x="379"/>
        <item x="286"/>
        <item x="445"/>
        <item x="458"/>
        <item x="389"/>
        <item x="114"/>
        <item x="560"/>
        <item x="189"/>
        <item x="159"/>
        <item x="345"/>
        <item x="470"/>
        <item x="263"/>
        <item x="393"/>
        <item x="295"/>
        <item x="481"/>
        <item x="513"/>
        <item x="310"/>
        <item x="494"/>
        <item x="190"/>
        <item x="328"/>
        <item x="432"/>
        <item x="475"/>
        <item x="227"/>
        <item x="503"/>
        <item x="394"/>
        <item x="544"/>
        <item x="187"/>
        <item x="116"/>
        <item x="298"/>
        <item x="104"/>
        <item x="461"/>
        <item x="199"/>
        <item x="168"/>
        <item x="483"/>
        <item x="205"/>
        <item x="3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14"/>
  </rowFields>
  <rowItems count="3">
    <i>
      <x/>
    </i>
    <i>
      <x v="1"/>
    </i>
    <i t="grand">
      <x/>
    </i>
  </rowItems>
  <colItems count="1">
    <i/>
  </colItems>
  <dataFields count="1">
    <dataField name="Count of EmpID" fld="0" subtotal="count" baseField="5" baseItem="0"/>
  </dataFields>
  <formats count="7">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14" type="button" dataOnly="0" labelOnly="1" outline="0" axis="axisRow" fieldPosition="0"/>
    </format>
    <format dxfId="114">
      <pivotArea dataOnly="0" labelOnly="1" fieldPosition="0">
        <references count="1">
          <reference field="14" count="0"/>
        </references>
      </pivotArea>
    </format>
    <format dxfId="113">
      <pivotArea dataOnly="0" labelOnly="1" grandRow="1" outline="0" fieldPosition="0"/>
    </format>
    <format dxfId="11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4" count="1" selected="0">
            <x v="0"/>
          </reference>
        </references>
      </pivotArea>
    </chartFormat>
    <chartFormat chart="7" format="9">
      <pivotArea type="data" outline="0" fieldPosition="0">
        <references count="2">
          <reference field="4294967294" count="1" selected="0">
            <x v="0"/>
          </reference>
          <reference field="14" count="1" selected="0">
            <x v="1"/>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B75CBF-DEE2-41DC-8517-45C6AC591804}" autoFormatId="16" applyNumberFormats="0" applyBorderFormats="0" applyFontFormats="0" applyPatternFormats="0" applyAlignmentFormats="0" applyWidthHeightFormats="0">
  <queryTableRefresh nextId="73">
    <queryTableFields count="33">
      <queryTableField id="3" name="EmpID" tableColumnId="3"/>
      <queryTableField id="39" name="EmployeeName" tableColumnId="39"/>
      <queryTableField id="4" name="MarriedID" tableColumnId="4"/>
      <queryTableField id="40" name="MaritialStatus" tableColumnId="40"/>
      <queryTableField id="6" name="GenderID" tableColumnId="6"/>
      <queryTableField id="27" name="Department" tableColumnId="27"/>
      <queryTableField id="14" name="Position" tableColumnId="14"/>
      <queryTableField id="28" name="ManagerName" tableColumnId="28"/>
      <queryTableField id="11" name="Salary" tableColumnId="11"/>
      <queryTableField id="38" name="AnnualSalary" tableColumnId="38"/>
      <queryTableField id="17" name="DOB" tableColumnId="17"/>
      <queryTableField id="18" name="Sex" tableColumnId="18"/>
      <queryTableField id="15" name="State" tableColumnId="15"/>
      <queryTableField id="16" name="Zip" tableColumnId="16"/>
      <queryTableField id="21" name="HispanicLatino" tableColumnId="21"/>
      <queryTableField id="20" name="CitizenDesc" tableColumnId="20"/>
      <queryTableField id="22" name="RaceDescription" tableColumnId="22"/>
      <queryTableField id="23" name="DateofHire" tableColumnId="23"/>
      <queryTableField id="24" name="DateofTermination" tableColumnId="24"/>
      <queryTableField id="12" name="Termd" tableColumnId="12"/>
      <queryTableField id="71" name="TerminationReason" tableColumnId="44"/>
      <queryTableField id="7" name="EmpStatusID" tableColumnId="7"/>
      <queryTableField id="26" name="EmploymentStatus" tableColumnId="26"/>
      <queryTableField id="10" name="FromDiversityJobFairID" tableColumnId="10"/>
      <queryTableField id="30" name="RecruitmentSource" tableColumnId="30"/>
      <queryTableField id="9" name="PerfScoreID" tableColumnId="9"/>
      <queryTableField id="31" name="PerformanceScore" tableColumnId="31"/>
      <queryTableField id="32" name="EngagementSurvey" tableColumnId="32"/>
      <queryTableField id="41" name="EmployeSatisfaction" tableColumnId="41"/>
      <queryTableField id="34" name="SpecialProjects" tableColumnId="34"/>
      <queryTableField id="42" name="LastPerformanceReview" tableColumnId="42"/>
      <queryTableField id="36" name="LateDaysLast30" tableColumnId="36"/>
      <queryTableField id="37" name="Leaves"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6F75FBF-6577-4FBC-87A4-0127793CCBFD}" sourceName="Department">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s>
  <data>
    <tabular pivotCacheId="1718533025">
      <items count="11">
        <i x="3" s="1"/>
        <i x="5" s="1"/>
        <i x="9" s="1"/>
        <i x="7" s="1"/>
        <i x="6" s="1"/>
        <i x="1" s="1"/>
        <i x="10" s="1"/>
        <i x="0" s="1"/>
        <i x="8"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ID" xr10:uid="{D4DF96DD-9700-4DD4-844C-EB3B9326FB13}" sourceName="GenderID">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s>
  <data>
    <tabular pivotCacheId="171853302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A5355D61-9EA3-4BC6-B777-CA1BAB11A31E}" sourceName="Posit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s>
  <data>
    <tabular pivotCacheId="1718533025">
      <items count="35">
        <i x="10" s="1"/>
        <i x="22" s="1"/>
        <i x="11" s="1"/>
        <i x="17" s="1"/>
        <i x="13" s="1"/>
        <i x="31" s="1"/>
        <i x="5" s="1"/>
        <i x="30" s="1"/>
        <i x="28" s="1"/>
        <i x="6" s="1"/>
        <i x="14" s="1"/>
        <i x="21" s="1"/>
        <i x="7" s="1"/>
        <i x="34" s="1"/>
        <i x="20" s="1"/>
        <i x="29" s="1"/>
        <i x="26" s="1"/>
        <i x="18" s="1"/>
        <i x="4" s="1"/>
        <i x="33" s="1"/>
        <i x="19" s="1"/>
        <i x="23" s="1"/>
        <i x="27" s="1"/>
        <i x="9" s="1"/>
        <i x="0" s="1"/>
        <i x="2" s="1"/>
        <i x="32" s="1"/>
        <i x="16" s="1"/>
        <i x="24" s="1"/>
        <i x="25" s="1"/>
        <i x="3" s="1"/>
        <i x="12" s="1"/>
        <i x="8" s="1"/>
        <i x="1"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Name" xr10:uid="{38871B8E-F623-4F1D-8E0A-69F38D20CCB7}" sourceName="ManagerNam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s>
  <data>
    <tabular pivotCacheId="1718533025">
      <items count="520">
        <i x="326" s="1"/>
        <i x="310" s="1"/>
        <i x="442" s="1"/>
        <i x="177" s="1"/>
        <i x="452" s="1"/>
        <i x="60" s="1"/>
        <i x="189" s="1"/>
        <i x="343" s="1"/>
        <i x="6" s="1"/>
        <i x="399" s="1"/>
        <i x="32" s="1"/>
        <i x="218" s="1"/>
        <i x="463" s="1"/>
        <i x="366" s="1"/>
        <i x="313" s="1"/>
        <i x="369" s="1"/>
        <i x="24" s="1"/>
        <i x="5" s="1"/>
        <i x="480" s="1"/>
        <i x="145" s="1"/>
        <i x="373" s="1"/>
        <i x="454" s="1"/>
        <i x="329" s="1"/>
        <i x="330" s="1"/>
        <i x="107" s="1"/>
        <i x="134" s="1"/>
        <i x="188" s="1"/>
        <i x="459" s="1"/>
        <i x="446" s="1"/>
        <i x="139" s="1"/>
        <i x="143" s="1"/>
        <i x="166" s="1"/>
        <i x="421" s="1"/>
        <i x="497" s="1"/>
        <i x="414" s="1"/>
        <i x="101" s="1"/>
        <i x="283" s="1"/>
        <i x="469" s="1"/>
        <i x="439" s="1"/>
        <i x="40" s="1"/>
        <i x="294" s="1"/>
        <i x="492" s="1"/>
        <i x="488" s="1"/>
        <i x="293" s="1"/>
        <i x="20" s="1"/>
        <i x="276" s="1"/>
        <i x="12" s="1"/>
        <i x="494" s="1"/>
        <i x="8" s="1"/>
        <i x="248" s="1"/>
        <i x="298" s="1"/>
        <i x="19" s="1"/>
        <i x="212" s="1"/>
        <i x="88" s="1"/>
        <i x="141" s="1"/>
        <i x="148" s="1"/>
        <i x="112" s="1"/>
        <i x="420" s="1"/>
        <i x="106" s="1"/>
        <i x="86" s="1"/>
        <i x="407" s="1"/>
        <i x="274" s="1"/>
        <i x="142" s="1"/>
        <i x="389" s="1"/>
        <i x="216" s="1"/>
        <i x="291" s="1"/>
        <i x="146" s="1"/>
        <i x="227" s="1"/>
        <i x="257" s="1"/>
        <i x="233" s="1"/>
        <i x="219" s="1"/>
        <i x="499" s="1"/>
        <i x="175" s="1"/>
        <i x="180" s="1"/>
        <i x="264" s="1"/>
        <i x="47" s="1"/>
        <i x="431" s="1"/>
        <i x="355" s="1"/>
        <i x="35" s="1"/>
        <i x="28" s="1"/>
        <i x="124" s="1"/>
        <i x="484" s="1"/>
        <i x="100" s="1"/>
        <i x="507" s="1"/>
        <i x="358" s="1"/>
        <i x="97" s="1"/>
        <i x="94" s="1"/>
        <i x="182" s="1"/>
        <i x="265" s="1"/>
        <i x="323" s="1"/>
        <i x="185" s="1"/>
        <i x="404" s="1"/>
        <i x="64" s="1"/>
        <i x="289" s="1"/>
        <i x="424" s="1"/>
        <i x="66" s="1"/>
        <i x="58" s="1"/>
        <i x="56" s="1"/>
        <i x="443" s="1"/>
        <i x="384" s="1"/>
        <i x="428" s="1"/>
        <i x="113" s="1"/>
        <i x="363" s="1"/>
        <i x="444" s="1"/>
        <i x="52" s="1"/>
        <i x="73" s="1"/>
        <i x="282" s="1"/>
        <i x="280" s="1"/>
        <i x="95" s="1"/>
        <i x="21" s="1"/>
        <i x="42" s="1"/>
        <i x="324" s="1"/>
        <i x="220" s="1"/>
        <i x="409" s="1"/>
        <i x="495" s="1"/>
        <i x="441" s="1"/>
        <i x="195" s="1"/>
        <i x="187" s="1"/>
        <i x="315" s="1"/>
        <i x="33" s="1"/>
        <i x="314" s="1"/>
        <i x="481" s="1"/>
        <i x="361" s="1"/>
        <i x="168" s="1"/>
        <i x="68" s="1"/>
        <i x="226" s="1"/>
        <i x="149" s="1"/>
        <i x="37" s="1"/>
        <i x="147" s="1"/>
        <i x="325" s="1"/>
        <i x="215" s="1"/>
        <i x="10" s="1"/>
        <i x="181" s="1"/>
        <i x="411" s="1"/>
        <i x="204" s="1"/>
        <i x="199" s="1"/>
        <i x="125" s="1"/>
        <i x="18" s="1"/>
        <i x="243" s="1"/>
        <i x="202" s="1"/>
        <i x="114" s="1"/>
        <i x="511" s="1"/>
        <i x="296" s="1"/>
        <i x="397" s="1"/>
        <i x="381" s="1"/>
        <i x="473" s="1"/>
        <i x="229" s="1"/>
        <i x="154" s="1"/>
        <i x="77" s="1"/>
        <i x="402" s="1"/>
        <i x="284" s="1"/>
        <i x="3" s="1"/>
        <i x="44" s="1"/>
        <i x="71" s="1"/>
        <i x="49" s="1"/>
        <i x="140" s="1"/>
        <i x="322" s="1"/>
        <i x="81" s="1"/>
        <i x="340" s="1"/>
        <i x="109" s="1"/>
        <i x="17" s="1"/>
        <i x="128" s="1"/>
        <i x="244" s="1"/>
        <i x="377" s="1"/>
        <i x="491" s="1"/>
        <i x="378" s="1"/>
        <i x="150" s="1"/>
        <i x="445" s="1"/>
        <i x="211" s="1"/>
        <i x="415" s="1"/>
        <i x="190" s="1"/>
        <i x="105" s="1"/>
        <i x="238" s="1"/>
        <i x="129" s="1"/>
        <i x="380" s="1"/>
        <i x="103" s="1"/>
        <i x="67" s="1"/>
        <i x="418" s="1"/>
        <i x="29" s="1"/>
        <i x="23" s="1"/>
        <i x="198" s="1"/>
        <i x="228" s="1"/>
        <i x="82" s="1"/>
        <i x="203" s="1"/>
        <i x="193" s="1"/>
        <i x="501" s="1"/>
        <i x="300" s="1"/>
        <i x="278" s="1"/>
        <i x="342" s="1"/>
        <i x="328" s="1"/>
        <i x="345" s="1"/>
        <i x="434" s="1"/>
        <i x="335" s="1"/>
        <i x="400" s="1"/>
        <i x="514" s="1"/>
        <i x="255" s="1"/>
        <i x="239" s="1"/>
        <i x="279" s="1"/>
        <i x="121" s="1"/>
        <i x="429" s="1"/>
        <i x="256" s="1"/>
        <i x="13" s="1"/>
        <i x="272" s="1"/>
        <i x="364" s="1"/>
        <i x="408" s="1"/>
        <i x="223" s="1"/>
        <i x="305" s="1"/>
        <i x="386" s="1"/>
        <i x="130" s="1"/>
        <i x="119" s="1"/>
        <i x="38" s="1"/>
        <i x="83" s="1"/>
        <i x="135" s="1"/>
        <i x="435" s="1"/>
        <i x="410" s="1"/>
        <i x="367" s="1"/>
        <i x="201" s="1"/>
        <i x="36" s="1"/>
        <i x="356" s="1"/>
        <i x="436" s="1"/>
        <i x="451" s="1"/>
        <i x="308" s="1"/>
        <i x="470" s="1"/>
        <i x="15" s="1"/>
        <i x="440" s="1"/>
        <i x="513" s="1"/>
        <i x="22" s="1"/>
        <i x="519" s="1"/>
        <i x="205" s="1"/>
        <i x="365" s="1"/>
        <i x="518" s="1"/>
        <i x="192" s="1"/>
        <i x="347" s="1"/>
        <i x="236" s="1"/>
        <i x="30" s="1"/>
        <i x="254" s="1"/>
        <i x="151" s="1"/>
        <i x="234" s="1"/>
        <i x="472" s="1"/>
        <i x="221" s="1"/>
        <i x="348" s="1"/>
        <i x="517" s="1"/>
        <i x="476" s="1"/>
        <i x="169" s="1"/>
        <i x="115" s="1"/>
        <i x="48" s="1"/>
        <i x="433" s="1"/>
        <i x="388" s="1"/>
        <i x="14" s="1"/>
        <i x="222" s="1"/>
        <i x="259" s="1"/>
        <i x="164" s="1"/>
        <i x="362" s="1"/>
        <i x="417" s="1"/>
        <i x="237" s="1"/>
        <i x="252" s="1"/>
        <i x="457" s="1"/>
        <i x="508" s="1"/>
        <i x="99" s="1"/>
        <i x="401" s="1"/>
        <i x="316" s="1"/>
        <i x="41" s="1"/>
        <i x="288" s="1"/>
        <i x="479" s="1"/>
        <i x="98" s="1"/>
        <i x="262" s="1"/>
        <i x="250" s="1"/>
        <i x="123" s="1"/>
        <i x="498" s="1"/>
        <i x="136" s="1"/>
        <i x="39" s="1"/>
        <i x="85" s="1"/>
        <i x="208" s="1"/>
        <i x="266" s="1"/>
        <i x="413" s="1"/>
        <i x="230" s="1"/>
        <i x="510" s="1"/>
        <i x="376" s="1"/>
        <i x="301" s="1"/>
        <i x="50" s="1"/>
        <i x="406" s="1"/>
        <i x="155" s="1"/>
        <i x="11" s="1"/>
        <i x="290" s="1"/>
        <i x="311" s="1"/>
        <i x="427" s="1"/>
        <i x="176" s="1"/>
        <i x="7" s="1"/>
        <i x="465" s="1"/>
        <i x="390" s="1"/>
        <i x="89" s="1"/>
        <i x="460" s="1"/>
        <i x="327" s="1"/>
        <i x="461" s="1"/>
        <i x="398" s="1"/>
        <i x="483" s="1"/>
        <i x="292" s="1"/>
        <i x="2" s="1"/>
        <i x="93" s="1"/>
        <i x="375" s="1"/>
        <i x="350" s="1"/>
        <i x="271" s="1"/>
        <i x="462" s="1"/>
        <i x="55" s="1"/>
        <i x="416" s="1"/>
        <i x="251" s="1"/>
        <i x="183" s="1"/>
        <i x="303" s="1"/>
        <i x="449" s="1"/>
        <i x="253" s="1"/>
        <i x="505" s="1"/>
        <i x="245" s="1"/>
        <i x="170" s="1"/>
        <i x="285" s="1"/>
        <i x="133" s="1"/>
        <i x="163" s="1"/>
        <i x="346" s="1"/>
        <i x="493" s="1"/>
        <i x="172" s="1"/>
        <i x="371" s="1"/>
        <i x="392" s="1"/>
        <i x="489" s="1"/>
        <i x="160" s="1"/>
        <i x="59" s="1"/>
        <i x="419" s="1"/>
        <i x="468" s="1"/>
        <i x="214" s="1"/>
        <i x="16" s="1"/>
        <i x="74" s="1"/>
        <i x="171" s="1"/>
        <i x="359" s="1"/>
        <i x="118" s="1"/>
        <i x="487" s="1"/>
        <i x="232" s="1"/>
        <i x="240" s="1"/>
        <i x="515" s="1"/>
        <i x="167" s="1"/>
        <i x="332" s="1"/>
        <i x="334" s="1"/>
        <i x="490" s="1"/>
        <i x="79" s="1"/>
        <i x="235" s="1"/>
        <i x="349" s="1"/>
        <i x="370" s="1"/>
        <i x="104" s="1"/>
        <i x="477" s="1"/>
        <i x="466" s="1"/>
        <i x="403" s="1"/>
        <i x="351" s="1"/>
        <i x="261" s="1"/>
        <i x="430" s="1"/>
        <i x="437" s="1"/>
        <i x="391" s="1"/>
        <i x="412" s="1"/>
        <i x="179" s="1"/>
        <i x="447" s="1"/>
        <i x="242" s="1"/>
        <i x="90" s="1"/>
        <i x="200" s="1"/>
        <i x="360" s="1"/>
        <i x="394" s="1"/>
        <i x="504" s="1"/>
        <i x="516" s="1"/>
        <i x="0" s="1"/>
        <i x="509" s="1"/>
        <i x="341" s="1"/>
        <i x="379" s="1"/>
        <i x="69" s="1"/>
        <i x="72" s="1"/>
        <i x="84" s="1"/>
        <i x="260" s="1"/>
        <i x="474" s="1"/>
        <i x="425" s="1"/>
        <i x="241" s="1"/>
        <i x="70" s="1"/>
        <i x="76" s="1"/>
        <i x="196" s="1"/>
        <i x="131" s="1"/>
        <i x="458" s="1"/>
        <i x="353" s="1"/>
        <i x="309" s="1"/>
        <i x="287" s="1"/>
        <i x="455" s="1"/>
        <i x="302" s="1"/>
        <i x="75" s="1"/>
        <i x="496" s="1"/>
        <i x="31" s="1"/>
        <i x="339" s="1"/>
        <i x="26" s="1"/>
        <i x="178" s="1"/>
        <i x="57" s="1"/>
        <i x="102" s="1"/>
        <i x="357" s="1"/>
        <i x="306" s="1"/>
        <i x="108" s="1"/>
        <i x="51" s="1"/>
        <i x="224" s="1"/>
        <i x="503" s="1"/>
        <i x="165" s="1"/>
        <i x="92" s="1"/>
        <i x="475" s="1"/>
        <i x="482" s="1"/>
        <i x="158" s="1"/>
        <i x="512" s="1"/>
        <i x="299" s="1"/>
        <i x="34" s="1"/>
        <i x="157" s="1"/>
        <i x="312" s="1"/>
        <i x="426" s="1"/>
        <i x="173" s="1"/>
        <i x="485" s="1"/>
        <i x="9" s="1"/>
        <i x="405" s="1"/>
        <i x="213" s="1"/>
        <i x="46" s="1"/>
        <i x="27" s="1"/>
        <i x="354" s="1"/>
        <i x="116" s="1"/>
        <i x="320" s="1"/>
        <i x="194" s="1"/>
        <i x="210" s="1"/>
        <i x="295" s="1"/>
        <i x="385" s="1"/>
        <i x="319" s="1"/>
        <i x="464" s="1"/>
        <i x="438" s="1"/>
        <i x="258" s="1"/>
        <i x="336" s="1"/>
        <i x="43" s="1"/>
        <i x="277" s="1"/>
        <i x="111" s="1"/>
        <i x="450" s="1"/>
        <i x="197" s="1"/>
        <i x="162" s="1"/>
        <i x="246" s="1"/>
        <i x="62" s="1"/>
        <i x="161" s="1"/>
        <i x="268" s="1"/>
        <i x="80" s="1"/>
        <i x="78" s="1"/>
        <i x="269" s="1"/>
        <i x="126" s="1"/>
        <i x="317" s="1"/>
        <i x="209" s="1"/>
        <i x="247" s="1"/>
        <i x="387" s="1"/>
        <i x="110" s="1"/>
        <i x="395" s="1"/>
        <i x="231" s="1"/>
        <i x="422" s="1"/>
        <i x="456" s="1"/>
        <i x="372" s="1"/>
        <i x="467" s="1"/>
        <i x="45" s="1"/>
        <i x="186" s="1"/>
        <i x="132" s="1"/>
        <i x="137" s="1"/>
        <i x="65" s="1"/>
        <i x="502" s="1"/>
        <i x="382" s="1"/>
        <i x="267" s="1"/>
        <i x="286" s="1"/>
        <i x="333" s="1"/>
        <i x="453" s="1"/>
        <i x="270" s="1"/>
        <i x="217" s="1"/>
        <i x="53" s="1"/>
        <i x="1" s="1"/>
        <i x="225" s="1"/>
        <i x="91" s="1"/>
        <i x="61" s="1"/>
        <i x="206" s="1"/>
        <i x="249" s="1"/>
        <i x="96" s="1"/>
        <i x="337" s="1"/>
        <i x="321" s="1"/>
        <i x="432" s="1"/>
        <i x="152" s="1"/>
        <i x="54" s="1"/>
        <i x="117" s="1"/>
        <i x="368" s="1"/>
        <i x="281" s="1"/>
        <i x="207" s="1"/>
        <i x="275" s="1"/>
        <i x="156" s="1"/>
        <i x="471" s="1"/>
        <i x="263" s="1"/>
        <i x="307" s="1"/>
        <i x="344" s="1"/>
        <i x="500" s="1"/>
        <i x="138" s="1"/>
        <i x="63" s="1"/>
        <i x="273" s="1"/>
        <i x="304" s="1"/>
        <i x="184" s="1"/>
        <i x="120" s="1"/>
        <i x="331" s="1"/>
        <i x="374" s="1"/>
        <i x="423" s="1"/>
        <i x="153" s="1"/>
        <i x="159" s="1"/>
        <i x="383" s="1"/>
        <i x="448" s="1"/>
        <i x="122" s="1"/>
        <i x="486" s="1"/>
        <i x="191" s="1"/>
        <i x="318" s="1"/>
        <i x="352" s="1"/>
        <i x="174" s="1"/>
        <i x="25" s="1"/>
        <i x="4" s="1"/>
        <i x="338" s="1"/>
        <i x="506" s="1"/>
        <i x="396" s="1"/>
        <i x="393" s="1"/>
        <i x="478" s="1"/>
        <i x="87" s="1"/>
        <i x="297" s="1"/>
        <i x="127" s="1"/>
        <i x="14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3BE11D2B-6A79-4682-B988-6844C82DEC16}" sourceName="Sex">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s>
  <data>
    <tabular pivotCacheId="1718533025">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864B0DA-513B-4E44-80F3-29B8D0FA6179}" sourceName="St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 tabId="3" name="PivotTable13"/>
  </pivotTables>
  <data>
    <tabular pivotCacheId="1718533025">
      <items count="28">
        <i x="5" s="1"/>
        <i x="26" s="1"/>
        <i x="7" s="1"/>
        <i x="14" s="1"/>
        <i x="2" s="1"/>
        <i x="18" s="1"/>
        <i x="17" s="1"/>
        <i x="21" s="1"/>
        <i x="9" s="1"/>
        <i x="20" s="1"/>
        <i x="0" s="1"/>
        <i x="27" s="1"/>
        <i x="23" s="1"/>
        <i x="19" s="1"/>
        <i x="25" s="1"/>
        <i x="11" s="1"/>
        <i x="22" s="1"/>
        <i x="15" s="1"/>
        <i x="8" s="1"/>
        <i x="24" s="1"/>
        <i x="13" s="1"/>
        <i x="12" s="1"/>
        <i x="10" s="1"/>
        <i x="1" s="1"/>
        <i x="16" s="1"/>
        <i x="3"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694CA75-1B26-47E3-979C-DB8FA11B88CF}" cache="Slicer_Department" caption="Department" rowHeight="234950"/>
  <slicer name="GenderID" xr10:uid="{2B534F68-03AA-4782-8B6B-E04D920C1AA1}" cache="Slicer_GenderID" caption="GenderID" rowHeight="234950"/>
  <slicer name="Position" xr10:uid="{7ECB3601-31F3-49D8-B30D-C85733848570}" cache="Slicer_Position" caption="Position" rowHeight="234950"/>
  <slicer name="ManagerName" xr10:uid="{14967F3B-1C38-43B1-B42D-53EFAD28C3B4}" cache="Slicer_ManagerName" caption="ManagerName" rowHeight="234950"/>
  <slicer name="Sex" xr10:uid="{67B13F5A-40E8-4DF7-B3A6-CA2DC3EA5434}" cache="Slicer_Sex" caption="Sex" rowHeight="234950"/>
  <slicer name="State" xr10:uid="{92D06BD9-1EC5-4EC1-AACB-35A849DF1125}"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3BA9FA8-E390-4D85-85A1-E11AEDAFDFF8}" cache="Slicer_Department" caption="Department" style="SlicerStyleDark1 2" rowHeight="234950"/>
  <slicer name="GenderID 1" xr10:uid="{53C618EB-8A61-47BD-B0FA-CACEDC9CE6DC}" cache="Slicer_GenderID" caption="GenderID" style="SlicerStyleDark1 2" rowHeight="234950"/>
  <slicer name="Position 1" xr10:uid="{AEC8DCBF-C268-48B9-877D-8844EF2B5D9D}" cache="Slicer_Position" caption="Position" style="SlicerStyleDark1 2" rowHeight="234950"/>
  <slicer name="ManagerName 1" xr10:uid="{18C1BA3A-5844-4FD9-81B0-17FCCBFE2C59}" cache="Slicer_ManagerName" caption="ManagerName" style="SlicerStyleDark1 2" rowHeight="234950"/>
  <slicer name="Sex 1" xr10:uid="{0AAD9458-0A0D-4141-98D9-628E8E8F953B}" cache="Slicer_Sex" caption="Sex" style="SlicerStyleDark1 2" rowHeight="234950"/>
  <slicer name="State 1" xr10:uid="{3FCD7425-D3F0-44C6-A677-4E9B14CA6583}" cache="Slicer_State" caption="State" style="SlicerStyleDark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340A82-E830-4957-A401-1A2CEE6C2692}" name="humanresource" displayName="humanresource" ref="A1:AG804" tableType="queryTable" totalsRowShown="0">
  <autoFilter ref="A1:AG804" xr:uid="{07340A82-E830-4957-A401-1A2CEE6C2692}"/>
  <sortState xmlns:xlrd2="http://schemas.microsoft.com/office/spreadsheetml/2017/richdata2" ref="A3:AG804">
    <sortCondition ref="A1:A804"/>
  </sortState>
  <tableColumns count="33">
    <tableColumn id="3" xr3:uid="{0904E1D7-94A1-4A07-A3F6-DC423308E2DB}" uniqueName="3" name="EmpID" queryTableFieldId="3"/>
    <tableColumn id="39" xr3:uid="{52BD06D4-BE74-4293-8BAE-D3F27B2E55D0}" uniqueName="39" name="EmployeeName" queryTableFieldId="39" dataDxfId="18"/>
    <tableColumn id="4" xr3:uid="{B3D5447E-7201-43AD-B088-BCB2A157F368}" uniqueName="4" name="MarriedID" queryTableFieldId="4" dataDxfId="17"/>
    <tableColumn id="40" xr3:uid="{3FE74140-DE96-4A9C-8399-6EF245FD1FF6}" uniqueName="40" name="MaritialStatus" queryTableFieldId="40"/>
    <tableColumn id="6" xr3:uid="{A5977D6A-C9A7-457B-AABF-0CA181FB5F32}" uniqueName="6" name="GenderID" queryTableFieldId="6" dataDxfId="16"/>
    <tableColumn id="27" xr3:uid="{E830D358-62E0-4DA7-891E-C055D132577A}" uniqueName="27" name="Department" queryTableFieldId="27" dataDxfId="15"/>
    <tableColumn id="14" xr3:uid="{79F12C97-7E45-47CC-BF00-163FC5B7C6BD}" uniqueName="14" name="Position" queryTableFieldId="14" dataDxfId="14"/>
    <tableColumn id="28" xr3:uid="{0B914EEC-77BB-4D53-B668-399CEF178BB0}" uniqueName="28" name="ManagerName" queryTableFieldId="28" dataDxfId="13"/>
    <tableColumn id="11" xr3:uid="{4E81757A-9909-4EE9-811F-25C5FB982F02}" uniqueName="11" name="Salary" queryTableFieldId="11"/>
    <tableColumn id="38" xr3:uid="{EB7425BD-DA63-4D6D-80BF-8189ECD344DD}" uniqueName="38" name="AnnualSalary" queryTableFieldId="38" dataDxfId="12"/>
    <tableColumn id="17" xr3:uid="{87FF5F84-8DC9-4386-BABE-52591CDBA6EF}" uniqueName="17" name="DOB" queryTableFieldId="17" dataDxfId="11"/>
    <tableColumn id="18" xr3:uid="{EA384935-A554-4366-8C34-BBEF48D140AF}" uniqueName="18" name="Sex" queryTableFieldId="18" dataDxfId="10"/>
    <tableColumn id="15" xr3:uid="{E2193191-DB60-47D2-A4BC-0DE9FA8C4FB9}" uniqueName="15" name="State" queryTableFieldId="15" dataDxfId="9"/>
    <tableColumn id="16" xr3:uid="{95B3AF0C-4B80-4956-9A9B-36FAE2630DA9}" uniqueName="16" name="Zip" queryTableFieldId="16"/>
    <tableColumn id="21" xr3:uid="{922DDF9A-4A77-44BD-A32C-EAE6A8D12E14}" uniqueName="21" name="HispanicLatino" queryTableFieldId="21" dataDxfId="8"/>
    <tableColumn id="20" xr3:uid="{1917A83A-92CF-4080-BBF9-5D69869116FA}" uniqueName="20" name="CitizenDesc" queryTableFieldId="20" dataDxfId="7"/>
    <tableColumn id="22" xr3:uid="{84DF27CC-078B-4527-9D69-E4C5905B775A}" uniqueName="22" name="RaceDescription" queryTableFieldId="22" dataDxfId="6"/>
    <tableColumn id="23" xr3:uid="{BF89BCDB-5BA1-4096-AA63-4B219B97E7E6}" uniqueName="23" name="DateofHire" queryTableFieldId="23" dataDxfId="5"/>
    <tableColumn id="24" xr3:uid="{7B193D00-B018-45AD-8E4C-FDC8215E1E9F}" uniqueName="24" name="DateofTermination" queryTableFieldId="24" dataDxfId="4"/>
    <tableColumn id="12" xr3:uid="{DB8ACED2-2313-4EE0-9E3F-0B7FB51B5C29}" uniqueName="12" name="Termd" queryTableFieldId="12"/>
    <tableColumn id="44" xr3:uid="{B9609236-29EF-41F5-9E4A-C2A2DC649733}" uniqueName="44" name="TerminationReason" queryTableFieldId="71"/>
    <tableColumn id="7" xr3:uid="{3E8164E5-A627-42DA-A67B-DA2F4364B3E0}" uniqueName="7" name="EmpStatusID" queryTableFieldId="7"/>
    <tableColumn id="26" xr3:uid="{8E127951-0D68-43CC-A27B-B6F9D72C4660}" uniqueName="26" name="EmploymentStatus" queryTableFieldId="26" dataDxfId="3"/>
    <tableColumn id="10" xr3:uid="{274C81E8-07F6-45A1-9AC5-4629AAC7EC02}" uniqueName="10" name="FromDiversityJobFairID" queryTableFieldId="10"/>
    <tableColumn id="30" xr3:uid="{7840CF92-7443-4B0D-BBA5-BEF961A2ECAA}" uniqueName="30" name="RecruitmentSource" queryTableFieldId="30" dataDxfId="2"/>
    <tableColumn id="9" xr3:uid="{9F84CECA-1700-4BE5-900C-9A796B98031C}" uniqueName="9" name="PerfScoreID" queryTableFieldId="9"/>
    <tableColumn id="31" xr3:uid="{DAF27E2E-2B80-4D65-A834-709E3B6D1EA4}" uniqueName="31" name="PerformanceScore" queryTableFieldId="31" dataDxfId="1"/>
    <tableColumn id="32" xr3:uid="{E49C4DE5-2ADC-4040-8B23-432FA03BA266}" uniqueName="32" name="EngagementSurvey" queryTableFieldId="32"/>
    <tableColumn id="41" xr3:uid="{A8428FEA-0D72-4D90-8F1B-01799E7B5592}" uniqueName="41" name="EmployeSatisfaction" queryTableFieldId="41"/>
    <tableColumn id="34" xr3:uid="{CE03B259-AE88-401F-ACB5-08D032B5B6B1}" uniqueName="34" name="SpecialProjects" queryTableFieldId="34"/>
    <tableColumn id="42" xr3:uid="{6D11BFE0-334C-4D98-A0AF-79657B7C0D5D}" uniqueName="42" name="LastPerformanceReview" queryTableFieldId="42" dataDxfId="0"/>
    <tableColumn id="36" xr3:uid="{1BA2EFE6-C40F-4F33-BA1B-8ED034AADAC2}" uniqueName="36" name="LateDaysLast30" queryTableFieldId="36"/>
    <tableColumn id="37" xr3:uid="{E4BBB0C9-08E8-4DD3-8197-61FB79E5D9B6}" uniqueName="37" name="Leaves" queryTableFieldId="3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ofHire" xr10:uid="{AD5D43E0-2126-43D6-AEC7-C2FC9481D694}" sourceName="DateofHire">
  <pivotTables>
    <pivotTable tabId="3" name="PivotTable13"/>
  </pivotTables>
  <state minimalRefreshVersion="6" lastRefreshVersion="6" pivotCacheId="1718533025" filterType="unknown">
    <bounds startDate="2006-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ofHire" xr10:uid="{264B6BB4-5A63-4DB6-976F-DA868A244D47}" cache="NativeTimeline_DateofHire" caption="DateofHire" level="2" selectionLevel="2" scrollPosition="2024-09-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245BA-03DF-48DA-A32C-98C419162495}">
  <dimension ref="A1:ADU598"/>
  <sheetViews>
    <sheetView zoomScale="33" workbookViewId="0">
      <selection activeCell="W21" sqref="W21"/>
    </sheetView>
  </sheetViews>
  <sheetFormatPr defaultRowHeight="14.4"/>
  <cols>
    <col min="1" max="1" width="29.88671875" bestFit="1" customWidth="1"/>
    <col min="2" max="2" width="14.44140625" bestFit="1" customWidth="1"/>
    <col min="3" max="9" width="8" bestFit="1" customWidth="1"/>
    <col min="10" max="10" width="13.88671875" bestFit="1" customWidth="1"/>
    <col min="11" max="11" width="8.33203125" bestFit="1" customWidth="1"/>
    <col min="12" max="18" width="8" bestFit="1" customWidth="1"/>
    <col min="19" max="19" width="13.88671875" bestFit="1" customWidth="1"/>
    <col min="20" max="20" width="8.33203125" bestFit="1" customWidth="1"/>
    <col min="21" max="543" width="8" bestFit="1" customWidth="1"/>
    <col min="544" max="800" width="9" bestFit="1" customWidth="1"/>
    <col min="801" max="801" width="12" bestFit="1" customWidth="1"/>
  </cols>
  <sheetData>
    <row r="1" spans="1:19" ht="15" thickBot="1">
      <c r="A1" s="11"/>
      <c r="B1" s="12"/>
      <c r="C1" s="12"/>
      <c r="D1" s="12"/>
      <c r="E1" s="12"/>
      <c r="F1" s="12"/>
      <c r="G1" s="12"/>
      <c r="H1" s="13"/>
    </row>
    <row r="2" spans="1:19" ht="15" thickBot="1">
      <c r="A2" s="48" t="s">
        <v>1728</v>
      </c>
      <c r="B2" s="49"/>
      <c r="C2" s="49"/>
      <c r="D2" s="49"/>
      <c r="E2" s="49"/>
      <c r="F2" s="49"/>
      <c r="G2" s="49"/>
      <c r="H2" s="50"/>
      <c r="J2" s="11"/>
      <c r="K2" s="12"/>
      <c r="L2" s="12"/>
      <c r="M2" s="12"/>
      <c r="N2" s="12"/>
      <c r="O2" s="12"/>
      <c r="P2" s="12"/>
      <c r="Q2" s="12"/>
      <c r="R2" s="12"/>
      <c r="S2" s="13"/>
    </row>
    <row r="3" spans="1:19" ht="15" thickBot="1">
      <c r="A3" s="22" t="s">
        <v>1722</v>
      </c>
      <c r="B3" s="27" t="s">
        <v>1724</v>
      </c>
      <c r="H3" s="5"/>
      <c r="J3" s="14"/>
      <c r="S3" s="5"/>
    </row>
    <row r="4" spans="1:19">
      <c r="A4" s="23" t="s">
        <v>102</v>
      </c>
      <c r="B4" s="19">
        <v>9</v>
      </c>
      <c r="H4" s="5"/>
      <c r="J4" s="14"/>
      <c r="S4" s="5"/>
    </row>
    <row r="5" spans="1:19">
      <c r="A5" s="25" t="s">
        <v>188</v>
      </c>
      <c r="B5" s="20">
        <v>1</v>
      </c>
      <c r="H5" s="5"/>
      <c r="J5" s="14"/>
      <c r="S5" s="5"/>
    </row>
    <row r="6" spans="1:19">
      <c r="A6" s="25" t="s">
        <v>283</v>
      </c>
      <c r="B6" s="20">
        <v>69</v>
      </c>
      <c r="H6" s="5"/>
      <c r="J6" s="14"/>
      <c r="S6" s="5"/>
    </row>
    <row r="7" spans="1:19">
      <c r="A7" s="25" t="s">
        <v>274</v>
      </c>
      <c r="B7" s="20">
        <v>90</v>
      </c>
      <c r="H7" s="5"/>
      <c r="J7" s="14"/>
      <c r="S7" s="5"/>
    </row>
    <row r="8" spans="1:19">
      <c r="A8" s="25" t="s">
        <v>271</v>
      </c>
      <c r="B8" s="20">
        <v>90</v>
      </c>
      <c r="H8" s="5"/>
      <c r="J8" s="14"/>
      <c r="S8" s="5"/>
    </row>
    <row r="9" spans="1:19">
      <c r="A9" s="25" t="s">
        <v>46</v>
      </c>
      <c r="B9" s="20">
        <v>50</v>
      </c>
      <c r="H9" s="5"/>
      <c r="J9" s="14"/>
      <c r="S9" s="5"/>
    </row>
    <row r="10" spans="1:19">
      <c r="A10" s="25" t="s">
        <v>288</v>
      </c>
      <c r="B10" s="20">
        <v>80</v>
      </c>
      <c r="H10" s="5"/>
      <c r="J10" s="14"/>
      <c r="S10" s="5"/>
    </row>
    <row r="11" spans="1:19">
      <c r="A11" s="25" t="s">
        <v>37</v>
      </c>
      <c r="B11" s="20">
        <v>201</v>
      </c>
      <c r="H11" s="5"/>
      <c r="J11" s="14"/>
      <c r="S11" s="5"/>
    </row>
    <row r="12" spans="1:19">
      <c r="A12" s="25" t="s">
        <v>278</v>
      </c>
      <c r="B12" s="20">
        <v>89</v>
      </c>
      <c r="H12" s="5"/>
      <c r="J12" s="14"/>
      <c r="S12" s="5"/>
    </row>
    <row r="13" spans="1:19">
      <c r="A13" s="25" t="s">
        <v>113</v>
      </c>
      <c r="B13" s="20">
        <v>113</v>
      </c>
      <c r="H13" s="5"/>
      <c r="J13" s="14"/>
      <c r="S13" s="5"/>
    </row>
    <row r="14" spans="1:19" ht="15" thickBot="1">
      <c r="A14" s="24" t="s">
        <v>63</v>
      </c>
      <c r="B14" s="20">
        <v>11</v>
      </c>
      <c r="H14" s="5"/>
      <c r="J14" s="14"/>
      <c r="S14" s="5"/>
    </row>
    <row r="15" spans="1:19" ht="15" thickBot="1">
      <c r="A15" s="21" t="s">
        <v>1723</v>
      </c>
      <c r="B15" s="16">
        <v>803</v>
      </c>
      <c r="C15" s="8"/>
      <c r="D15" s="8"/>
      <c r="E15" s="8"/>
      <c r="F15" s="8"/>
      <c r="G15" s="8"/>
      <c r="H15" s="9"/>
      <c r="J15" s="14"/>
      <c r="S15" s="5"/>
    </row>
    <row r="16" spans="1:19" ht="15" thickBot="1">
      <c r="A16" s="14"/>
      <c r="H16" s="5"/>
      <c r="J16" s="14"/>
      <c r="S16" s="5"/>
    </row>
    <row r="17" spans="1:801" ht="15" thickBot="1">
      <c r="A17" s="51" t="s">
        <v>1729</v>
      </c>
      <c r="B17" s="52"/>
      <c r="C17" s="52"/>
      <c r="D17" s="52"/>
      <c r="E17" s="52"/>
      <c r="F17" s="52"/>
      <c r="G17" s="52"/>
      <c r="H17" s="53"/>
      <c r="J17" s="14"/>
      <c r="S17" s="5"/>
    </row>
    <row r="18" spans="1:801" s="4" customFormat="1" ht="15" thickBot="1">
      <c r="A18" s="28" t="s">
        <v>1722</v>
      </c>
      <c r="B18" s="27" t="s">
        <v>1725</v>
      </c>
      <c r="C18"/>
      <c r="D18"/>
      <c r="E18"/>
      <c r="F18"/>
      <c r="G18"/>
      <c r="H18" s="5"/>
      <c r="I18"/>
      <c r="J18" s="14"/>
      <c r="K18"/>
      <c r="L18"/>
      <c r="M18"/>
      <c r="N18"/>
      <c r="O18"/>
      <c r="P18"/>
      <c r="Q18"/>
      <c r="R18"/>
      <c r="S18" s="5"/>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row>
    <row r="19" spans="1:801">
      <c r="A19" s="23" t="s">
        <v>102</v>
      </c>
      <c r="B19" s="19">
        <v>71791.888888888891</v>
      </c>
      <c r="H19" s="5"/>
      <c r="J19" s="14"/>
      <c r="S19" s="5"/>
    </row>
    <row r="20" spans="1:801">
      <c r="A20" s="25" t="s">
        <v>188</v>
      </c>
      <c r="B20" s="20">
        <v>250000</v>
      </c>
      <c r="H20" s="5"/>
      <c r="J20" s="14"/>
      <c r="S20" s="5"/>
    </row>
    <row r="21" spans="1:801">
      <c r="A21" s="25" t="s">
        <v>283</v>
      </c>
      <c r="B21" s="20">
        <v>74777.188405797104</v>
      </c>
      <c r="H21" s="5"/>
      <c r="J21" s="14"/>
      <c r="S21" s="5"/>
    </row>
    <row r="22" spans="1:801">
      <c r="A22" s="25" t="s">
        <v>274</v>
      </c>
      <c r="B22" s="20">
        <v>74270.444444444438</v>
      </c>
      <c r="H22" s="5"/>
      <c r="J22" s="14"/>
      <c r="S22" s="5"/>
    </row>
    <row r="23" spans="1:801">
      <c r="A23" s="25" t="s">
        <v>271</v>
      </c>
      <c r="B23" s="20">
        <v>76122.077777777784</v>
      </c>
      <c r="H23" s="5"/>
      <c r="J23" s="14"/>
      <c r="S23" s="5"/>
    </row>
    <row r="24" spans="1:801">
      <c r="A24" s="25" t="s">
        <v>46</v>
      </c>
      <c r="B24" s="20">
        <v>97064.639999999999</v>
      </c>
      <c r="H24" s="5"/>
      <c r="J24" s="14"/>
      <c r="S24" s="5"/>
    </row>
    <row r="25" spans="1:801">
      <c r="A25" s="25" t="s">
        <v>288</v>
      </c>
      <c r="B25" s="20">
        <v>75146</v>
      </c>
      <c r="H25" s="5"/>
      <c r="J25" s="14"/>
      <c r="S25" s="5"/>
    </row>
    <row r="26" spans="1:801">
      <c r="A26" s="25" t="s">
        <v>37</v>
      </c>
      <c r="B26" s="20">
        <v>60002.139303482589</v>
      </c>
      <c r="H26" s="5"/>
      <c r="J26" s="14"/>
      <c r="S26" s="5"/>
    </row>
    <row r="27" spans="1:801">
      <c r="A27" s="25" t="s">
        <v>278</v>
      </c>
      <c r="B27" s="20">
        <v>73267.606741573036</v>
      </c>
      <c r="H27" s="5"/>
      <c r="J27" s="14"/>
      <c r="S27" s="5"/>
    </row>
    <row r="28" spans="1:801">
      <c r="A28" s="25" t="s">
        <v>113</v>
      </c>
      <c r="B28" s="20">
        <v>72090.663716814161</v>
      </c>
      <c r="H28" s="5"/>
      <c r="J28" s="14"/>
      <c r="S28" s="5"/>
    </row>
    <row r="29" spans="1:801" ht="15" thickBot="1">
      <c r="A29" s="24" t="s">
        <v>63</v>
      </c>
      <c r="B29" s="20">
        <v>94989.454545454544</v>
      </c>
      <c r="H29" s="5"/>
      <c r="J29" s="15"/>
      <c r="K29" s="8"/>
      <c r="L29" s="8"/>
      <c r="M29" s="8"/>
      <c r="N29" s="8"/>
      <c r="O29" s="8"/>
      <c r="P29" s="8"/>
      <c r="Q29" s="8"/>
      <c r="R29" s="8"/>
      <c r="S29" s="9"/>
    </row>
    <row r="30" spans="1:801" ht="15" thickBot="1">
      <c r="A30" s="21" t="s">
        <v>1723</v>
      </c>
      <c r="B30" s="16">
        <v>72513.534246575349</v>
      </c>
      <c r="C30" s="8"/>
      <c r="D30" s="8"/>
      <c r="E30" s="8"/>
      <c r="F30" s="8"/>
      <c r="G30" s="8"/>
      <c r="H30" s="9"/>
    </row>
    <row r="31" spans="1:801" ht="15" thickBot="1">
      <c r="A31" s="14"/>
      <c r="H31" s="5"/>
    </row>
    <row r="32" spans="1:801" ht="15" thickBot="1">
      <c r="A32" s="48" t="s">
        <v>1771</v>
      </c>
      <c r="B32" s="49"/>
      <c r="C32" s="49"/>
      <c r="D32" s="49"/>
      <c r="E32" s="49"/>
      <c r="F32" s="49"/>
      <c r="G32" s="49"/>
      <c r="H32" s="50"/>
      <c r="J32" s="48" t="s">
        <v>1735</v>
      </c>
      <c r="K32" s="49"/>
      <c r="L32" s="49"/>
      <c r="M32" s="49"/>
      <c r="N32" s="49"/>
      <c r="O32" s="49"/>
      <c r="P32" s="49"/>
      <c r="Q32" s="50"/>
      <c r="S32" s="46" t="s">
        <v>1759</v>
      </c>
      <c r="T32" s="47"/>
      <c r="U32" s="47"/>
      <c r="V32" s="47"/>
      <c r="W32" s="47"/>
      <c r="X32" s="47"/>
      <c r="Y32" s="47"/>
      <c r="Z32" s="47"/>
      <c r="AA32" s="47"/>
      <c r="AB32" s="47"/>
      <c r="AC32" s="47"/>
    </row>
    <row r="33" spans="1:29" s="4" customFormat="1" ht="29.4" thickBot="1">
      <c r="A33" s="28" t="s">
        <v>1722</v>
      </c>
      <c r="B33" s="17" t="s">
        <v>1727</v>
      </c>
      <c r="H33" s="10"/>
      <c r="J33" s="22" t="s">
        <v>1722</v>
      </c>
      <c r="K33" s="17" t="s">
        <v>1724</v>
      </c>
      <c r="L33"/>
      <c r="M33"/>
      <c r="N33"/>
      <c r="O33"/>
      <c r="P33"/>
      <c r="Q33" s="5"/>
      <c r="S33" s="44" t="s">
        <v>1722</v>
      </c>
      <c r="T33" s="26" t="s">
        <v>1724</v>
      </c>
      <c r="U33" s="29"/>
      <c r="V33" s="29"/>
      <c r="W33" s="29"/>
      <c r="X33" s="29"/>
      <c r="Y33" s="29"/>
      <c r="Z33" s="29"/>
      <c r="AA33" s="29"/>
      <c r="AB33" s="29"/>
      <c r="AC33" s="18"/>
    </row>
    <row r="34" spans="1:29">
      <c r="A34" s="23" t="s">
        <v>102</v>
      </c>
      <c r="B34" s="19">
        <v>9</v>
      </c>
      <c r="H34" s="5"/>
      <c r="J34" s="23" t="s">
        <v>33</v>
      </c>
      <c r="K34" s="19">
        <v>520</v>
      </c>
      <c r="Q34" s="5"/>
      <c r="S34" s="23" t="s">
        <v>1739</v>
      </c>
      <c r="T34" s="19">
        <v>1</v>
      </c>
      <c r="AC34" s="5"/>
    </row>
    <row r="35" spans="1:29" ht="15" thickBot="1">
      <c r="A35" s="25" t="s">
        <v>188</v>
      </c>
      <c r="B35" s="20">
        <v>1</v>
      </c>
      <c r="H35" s="5"/>
      <c r="J35" s="24" t="s">
        <v>73</v>
      </c>
      <c r="K35" s="20">
        <v>283</v>
      </c>
      <c r="Q35" s="5"/>
      <c r="S35" s="25" t="s">
        <v>1740</v>
      </c>
      <c r="T35" s="20">
        <v>2</v>
      </c>
      <c r="AC35" s="5"/>
    </row>
    <row r="36" spans="1:29" ht="15" thickBot="1">
      <c r="A36" s="25" t="s">
        <v>283</v>
      </c>
      <c r="B36" s="20">
        <v>69</v>
      </c>
      <c r="H36" s="5"/>
      <c r="J36" s="21" t="s">
        <v>1723</v>
      </c>
      <c r="K36" s="16">
        <v>803</v>
      </c>
      <c r="Q36" s="5"/>
      <c r="S36" s="25" t="s">
        <v>1741</v>
      </c>
      <c r="T36" s="20">
        <v>3</v>
      </c>
      <c r="AC36" s="5"/>
    </row>
    <row r="37" spans="1:29">
      <c r="A37" s="25" t="s">
        <v>274</v>
      </c>
      <c r="B37" s="20">
        <v>90</v>
      </c>
      <c r="H37" s="5"/>
      <c r="J37" s="14"/>
      <c r="Q37" s="5"/>
      <c r="S37" s="25" t="s">
        <v>1742</v>
      </c>
      <c r="T37" s="20">
        <v>7</v>
      </c>
      <c r="AC37" s="5"/>
    </row>
    <row r="38" spans="1:29">
      <c r="A38" s="25" t="s">
        <v>271</v>
      </c>
      <c r="B38" s="20">
        <v>90</v>
      </c>
      <c r="H38" s="5"/>
      <c r="J38" s="14"/>
      <c r="Q38" s="5"/>
      <c r="S38" s="25" t="s">
        <v>1743</v>
      </c>
      <c r="T38" s="20">
        <v>9</v>
      </c>
      <c r="AC38" s="5"/>
    </row>
    <row r="39" spans="1:29">
      <c r="A39" s="25" t="s">
        <v>46</v>
      </c>
      <c r="B39" s="20">
        <v>50</v>
      </c>
      <c r="H39" s="5"/>
      <c r="J39" s="14"/>
      <c r="Q39" s="5"/>
      <c r="S39" s="25" t="s">
        <v>1744</v>
      </c>
      <c r="T39" s="20">
        <v>82</v>
      </c>
      <c r="AC39" s="5"/>
    </row>
    <row r="40" spans="1:29">
      <c r="A40" s="25" t="s">
        <v>288</v>
      </c>
      <c r="B40" s="20">
        <v>80</v>
      </c>
      <c r="H40" s="5"/>
      <c r="J40" s="14"/>
      <c r="Q40" s="5"/>
      <c r="S40" s="25" t="s">
        <v>1745</v>
      </c>
      <c r="T40" s="20">
        <v>45</v>
      </c>
      <c r="AC40" s="5"/>
    </row>
    <row r="41" spans="1:29" ht="15" thickBot="1">
      <c r="A41" s="25" t="s">
        <v>37</v>
      </c>
      <c r="B41" s="20">
        <v>201</v>
      </c>
      <c r="H41" s="5"/>
      <c r="J41" s="15"/>
      <c r="K41" s="8"/>
      <c r="L41" s="8"/>
      <c r="M41" s="8"/>
      <c r="N41" s="8"/>
      <c r="O41" s="8"/>
      <c r="P41" s="8"/>
      <c r="Q41" s="9"/>
      <c r="S41" s="25" t="s">
        <v>1746</v>
      </c>
      <c r="T41" s="20">
        <v>41</v>
      </c>
      <c r="AC41" s="5"/>
    </row>
    <row r="42" spans="1:29" ht="15" thickBot="1">
      <c r="A42" s="25" t="s">
        <v>278</v>
      </c>
      <c r="B42" s="20">
        <v>89</v>
      </c>
      <c r="H42" s="5"/>
      <c r="S42" s="25" t="s">
        <v>1747</v>
      </c>
      <c r="T42" s="20">
        <v>58</v>
      </c>
      <c r="AC42" s="5"/>
    </row>
    <row r="43" spans="1:29" ht="15" thickBot="1">
      <c r="A43" s="25" t="s">
        <v>113</v>
      </c>
      <c r="B43" s="20">
        <v>113</v>
      </c>
      <c r="H43" s="5"/>
      <c r="J43" s="48" t="s">
        <v>1734</v>
      </c>
      <c r="K43" s="49"/>
      <c r="L43" s="49"/>
      <c r="M43" s="49"/>
      <c r="N43" s="49"/>
      <c r="O43" s="49"/>
      <c r="P43" s="49"/>
      <c r="Q43" s="50"/>
      <c r="S43" s="25" t="s">
        <v>1748</v>
      </c>
      <c r="T43" s="20">
        <v>43</v>
      </c>
      <c r="AC43" s="5"/>
    </row>
    <row r="44" spans="1:29" ht="29.4" thickBot="1">
      <c r="A44" s="24" t="s">
        <v>63</v>
      </c>
      <c r="B44" s="20">
        <v>11</v>
      </c>
      <c r="H44" s="5"/>
      <c r="J44" s="22" t="s">
        <v>1722</v>
      </c>
      <c r="K44" s="26" t="s">
        <v>1724</v>
      </c>
      <c r="Q44" s="5"/>
      <c r="S44" s="45" t="s">
        <v>1749</v>
      </c>
      <c r="T44" s="30">
        <v>71</v>
      </c>
      <c r="AC44" s="5"/>
    </row>
    <row r="45" spans="1:29" ht="15" thickBot="1">
      <c r="A45" s="21" t="s">
        <v>1723</v>
      </c>
      <c r="B45" s="16">
        <v>803</v>
      </c>
      <c r="C45" s="8"/>
      <c r="D45" s="8"/>
      <c r="E45" s="8"/>
      <c r="F45" s="8"/>
      <c r="G45" s="8"/>
      <c r="H45" s="9"/>
      <c r="J45" s="23">
        <v>0</v>
      </c>
      <c r="K45" s="19">
        <v>463</v>
      </c>
      <c r="Q45" s="5"/>
      <c r="S45" s="25" t="s">
        <v>1750</v>
      </c>
      <c r="T45" s="20">
        <v>43</v>
      </c>
      <c r="AC45" s="5"/>
    </row>
    <row r="46" spans="1:29" ht="15" thickBot="1">
      <c r="J46" s="24">
        <v>1</v>
      </c>
      <c r="K46" s="20">
        <v>340</v>
      </c>
      <c r="Q46" s="5"/>
      <c r="S46" s="25" t="s">
        <v>1751</v>
      </c>
      <c r="T46" s="20">
        <v>60</v>
      </c>
      <c r="AC46" s="5"/>
    </row>
    <row r="47" spans="1:29" ht="15" thickBot="1">
      <c r="A47" s="48" t="s">
        <v>1730</v>
      </c>
      <c r="B47" s="49"/>
      <c r="C47" s="49"/>
      <c r="D47" s="49"/>
      <c r="E47" s="49"/>
      <c r="F47" s="49"/>
      <c r="G47" s="49"/>
      <c r="H47" s="50"/>
      <c r="J47" s="21" t="s">
        <v>1723</v>
      </c>
      <c r="K47" s="16">
        <v>803</v>
      </c>
      <c r="Q47" s="5"/>
      <c r="S47" s="25" t="s">
        <v>1752</v>
      </c>
      <c r="T47" s="20">
        <v>54</v>
      </c>
      <c r="AC47" s="5"/>
    </row>
    <row r="48" spans="1:29" ht="15" thickBot="1">
      <c r="A48" s="22" t="s">
        <v>1722</v>
      </c>
      <c r="B48" s="27" t="s">
        <v>1724</v>
      </c>
      <c r="H48" s="5"/>
      <c r="J48" s="14"/>
      <c r="Q48" s="5"/>
      <c r="S48" s="25" t="s">
        <v>1753</v>
      </c>
      <c r="T48" s="20">
        <v>43</v>
      </c>
      <c r="AC48" s="5"/>
    </row>
    <row r="49" spans="1:29">
      <c r="A49" s="23" t="s">
        <v>934</v>
      </c>
      <c r="B49" s="19">
        <v>406</v>
      </c>
      <c r="H49" s="5"/>
      <c r="J49" s="14"/>
      <c r="Q49" s="5"/>
      <c r="S49" s="25" t="s">
        <v>1754</v>
      </c>
      <c r="T49" s="20">
        <v>47</v>
      </c>
      <c r="AC49" s="5"/>
    </row>
    <row r="50" spans="1:29" ht="15" thickBot="1">
      <c r="A50" s="24" t="s">
        <v>929</v>
      </c>
      <c r="B50" s="20">
        <v>397</v>
      </c>
      <c r="H50" s="5"/>
      <c r="J50" s="14"/>
      <c r="Q50" s="5"/>
      <c r="S50" s="25" t="s">
        <v>1755</v>
      </c>
      <c r="T50" s="20">
        <v>57</v>
      </c>
      <c r="AC50" s="5"/>
    </row>
    <row r="51" spans="1:29" ht="15" thickBot="1">
      <c r="A51" s="21" t="s">
        <v>1723</v>
      </c>
      <c r="B51" s="16">
        <v>803</v>
      </c>
      <c r="H51" s="5"/>
      <c r="J51" s="14"/>
      <c r="Q51" s="5"/>
      <c r="S51" s="25" t="s">
        <v>1756</v>
      </c>
      <c r="T51" s="20">
        <v>45</v>
      </c>
      <c r="AC51" s="5"/>
    </row>
    <row r="52" spans="1:29">
      <c r="A52" s="6"/>
      <c r="H52" s="5"/>
      <c r="J52" s="14"/>
      <c r="Q52" s="5"/>
      <c r="S52" s="25" t="s">
        <v>1757</v>
      </c>
      <c r="T52" s="20">
        <v>50</v>
      </c>
      <c r="AC52" s="5"/>
    </row>
    <row r="53" spans="1:29" ht="15" thickBot="1">
      <c r="A53" s="6"/>
      <c r="H53" s="5"/>
      <c r="J53" s="14"/>
      <c r="Q53" s="5"/>
      <c r="S53" s="24" t="s">
        <v>1758</v>
      </c>
      <c r="T53" s="20">
        <v>42</v>
      </c>
      <c r="AC53" s="5"/>
    </row>
    <row r="54" spans="1:29" ht="15" thickBot="1">
      <c r="A54" s="6"/>
      <c r="H54" s="5"/>
      <c r="J54" s="15"/>
      <c r="K54" s="8"/>
      <c r="L54" s="8"/>
      <c r="M54" s="8"/>
      <c r="N54" s="8"/>
      <c r="O54" s="8"/>
      <c r="P54" s="8"/>
      <c r="Q54" s="9"/>
      <c r="S54" s="21" t="s">
        <v>1723</v>
      </c>
      <c r="T54" s="16">
        <v>803</v>
      </c>
      <c r="U54" s="8"/>
      <c r="V54" s="8"/>
      <c r="W54" s="8"/>
      <c r="X54" s="8"/>
      <c r="Y54" s="8"/>
      <c r="Z54" s="8"/>
      <c r="AA54" s="8"/>
      <c r="AB54" s="8"/>
      <c r="AC54" s="9"/>
    </row>
    <row r="55" spans="1:29">
      <c r="A55" s="6"/>
      <c r="H55" s="5"/>
    </row>
    <row r="56" spans="1:29">
      <c r="A56" s="6"/>
      <c r="H56" s="5"/>
    </row>
    <row r="57" spans="1:29" ht="15" thickBot="1">
      <c r="A57" s="7"/>
      <c r="B57" s="8"/>
      <c r="C57" s="8"/>
      <c r="D57" s="8"/>
      <c r="E57" s="8"/>
      <c r="F57" s="8"/>
      <c r="G57" s="8"/>
      <c r="H57" s="9"/>
    </row>
    <row r="58" spans="1:29" ht="15" thickBot="1"/>
    <row r="59" spans="1:29" ht="15" thickBot="1">
      <c r="A59" s="51" t="s">
        <v>1731</v>
      </c>
      <c r="B59" s="52"/>
      <c r="C59" s="52"/>
      <c r="D59" s="52"/>
      <c r="E59" s="52"/>
      <c r="F59" s="52"/>
      <c r="G59" s="52"/>
      <c r="H59" s="53"/>
      <c r="J59" s="48" t="s">
        <v>1737</v>
      </c>
      <c r="K59" s="49"/>
      <c r="L59" s="49"/>
      <c r="M59" s="49"/>
      <c r="N59" s="49"/>
      <c r="O59" s="49"/>
      <c r="P59" s="49"/>
      <c r="Q59" s="50"/>
    </row>
    <row r="60" spans="1:29" ht="43.8" thickBot="1">
      <c r="A60" s="22" t="s">
        <v>1722</v>
      </c>
      <c r="B60" s="27" t="s">
        <v>1724</v>
      </c>
      <c r="H60" s="5"/>
      <c r="J60" s="22" t="s">
        <v>1722</v>
      </c>
      <c r="K60" s="26" t="s">
        <v>1727</v>
      </c>
      <c r="Q60" s="5"/>
    </row>
    <row r="61" spans="1:29">
      <c r="A61" s="23" t="s">
        <v>36</v>
      </c>
      <c r="B61" s="19">
        <v>362</v>
      </c>
      <c r="H61" s="5"/>
      <c r="J61" s="23" t="s">
        <v>102</v>
      </c>
      <c r="K61" s="19">
        <v>9</v>
      </c>
      <c r="Q61" s="5"/>
    </row>
    <row r="62" spans="1:29">
      <c r="A62" s="25" t="s">
        <v>87</v>
      </c>
      <c r="B62" s="20">
        <v>169</v>
      </c>
      <c r="H62" s="5"/>
      <c r="J62" s="25" t="s">
        <v>188</v>
      </c>
      <c r="K62" s="20">
        <v>1</v>
      </c>
      <c r="Q62" s="5"/>
    </row>
    <row r="63" spans="1:29" ht="15" thickBot="1">
      <c r="A63" s="24" t="s">
        <v>45</v>
      </c>
      <c r="B63" s="20">
        <v>272</v>
      </c>
      <c r="H63" s="5"/>
      <c r="J63" s="25" t="s">
        <v>283</v>
      </c>
      <c r="K63" s="20">
        <v>69</v>
      </c>
      <c r="Q63" s="5"/>
    </row>
    <row r="64" spans="1:29" ht="15" thickBot="1">
      <c r="A64" s="21" t="s">
        <v>1723</v>
      </c>
      <c r="B64" s="16">
        <v>803</v>
      </c>
      <c r="H64" s="5"/>
      <c r="J64" s="25" t="s">
        <v>274</v>
      </c>
      <c r="K64" s="20">
        <v>90</v>
      </c>
      <c r="Q64" s="5"/>
    </row>
    <row r="65" spans="1:17">
      <c r="A65" s="6"/>
      <c r="H65" s="5"/>
      <c r="J65" s="25" t="s">
        <v>271</v>
      </c>
      <c r="K65" s="20">
        <v>90</v>
      </c>
      <c r="Q65" s="5"/>
    </row>
    <row r="66" spans="1:17">
      <c r="A66" s="6"/>
      <c r="H66" s="5"/>
      <c r="J66" s="25" t="s">
        <v>46</v>
      </c>
      <c r="K66" s="20">
        <v>50</v>
      </c>
      <c r="Q66" s="5"/>
    </row>
    <row r="67" spans="1:17">
      <c r="A67" s="6"/>
      <c r="H67" s="5"/>
      <c r="J67" s="25" t="s">
        <v>288</v>
      </c>
      <c r="K67" s="20">
        <v>80</v>
      </c>
      <c r="Q67" s="5"/>
    </row>
    <row r="68" spans="1:17">
      <c r="A68" s="6"/>
      <c r="H68" s="5"/>
      <c r="J68" s="25" t="s">
        <v>37</v>
      </c>
      <c r="K68" s="20">
        <v>201</v>
      </c>
      <c r="Q68" s="5"/>
    </row>
    <row r="69" spans="1:17">
      <c r="A69" s="6"/>
      <c r="H69" s="5"/>
      <c r="J69" s="25" t="s">
        <v>278</v>
      </c>
      <c r="K69" s="20">
        <v>89</v>
      </c>
      <c r="Q69" s="5"/>
    </row>
    <row r="70" spans="1:17">
      <c r="A70" s="6"/>
      <c r="H70" s="5"/>
      <c r="J70" s="25" t="s">
        <v>113</v>
      </c>
      <c r="K70" s="20">
        <v>113</v>
      </c>
      <c r="Q70" s="5"/>
    </row>
    <row r="71" spans="1:17" ht="15" thickBot="1">
      <c r="A71" s="6"/>
      <c r="H71" s="5"/>
      <c r="J71" s="24" t="s">
        <v>63</v>
      </c>
      <c r="K71" s="20">
        <v>11</v>
      </c>
      <c r="Q71" s="5"/>
    </row>
    <row r="72" spans="1:17" ht="15" thickBot="1">
      <c r="A72" s="7"/>
      <c r="B72" s="8"/>
      <c r="C72" s="8"/>
      <c r="D72" s="8"/>
      <c r="E72" s="8"/>
      <c r="F72" s="8"/>
      <c r="G72" s="8"/>
      <c r="H72" s="9"/>
      <c r="J72" s="21" t="s">
        <v>1723</v>
      </c>
      <c r="K72" s="16">
        <v>803</v>
      </c>
      <c r="Q72" s="5"/>
    </row>
    <row r="73" spans="1:17" ht="15" thickBot="1">
      <c r="J73" s="48" t="s">
        <v>1736</v>
      </c>
      <c r="K73" s="49"/>
      <c r="L73" s="49"/>
      <c r="M73" s="49"/>
      <c r="N73" s="49"/>
      <c r="O73" s="49"/>
      <c r="P73" s="49"/>
      <c r="Q73" s="50"/>
    </row>
    <row r="74" spans="1:17" ht="29.4" thickBot="1">
      <c r="A74" s="51" t="s">
        <v>1732</v>
      </c>
      <c r="B74" s="52"/>
      <c r="C74" s="52"/>
      <c r="D74" s="52"/>
      <c r="E74" s="52"/>
      <c r="F74" s="52"/>
      <c r="G74" s="52"/>
      <c r="H74" s="53"/>
      <c r="J74" s="22" t="s">
        <v>1722</v>
      </c>
      <c r="K74" s="17" t="s">
        <v>1724</v>
      </c>
      <c r="Q74" s="5"/>
    </row>
    <row r="75" spans="1:17" ht="43.8" thickBot="1">
      <c r="A75" s="22" t="s">
        <v>1722</v>
      </c>
      <c r="B75" s="17" t="s">
        <v>1726</v>
      </c>
      <c r="H75" s="5"/>
      <c r="J75" s="23" t="s">
        <v>268</v>
      </c>
      <c r="K75" s="19">
        <v>106</v>
      </c>
      <c r="Q75" s="5"/>
    </row>
    <row r="76" spans="1:17">
      <c r="A76" s="23" t="s">
        <v>102</v>
      </c>
      <c r="B76" s="19">
        <v>4.3933333333333335</v>
      </c>
      <c r="H76" s="5"/>
      <c r="J76" s="25" t="s">
        <v>94</v>
      </c>
      <c r="K76" s="20">
        <v>23</v>
      </c>
      <c r="Q76" s="5"/>
    </row>
    <row r="77" spans="1:17">
      <c r="A77" s="25" t="s">
        <v>188</v>
      </c>
      <c r="B77" s="20">
        <v>4.83</v>
      </c>
      <c r="H77" s="5"/>
      <c r="J77" s="25" t="s">
        <v>70</v>
      </c>
      <c r="K77" s="20">
        <v>29</v>
      </c>
      <c r="Q77" s="5"/>
    </row>
    <row r="78" spans="1:17">
      <c r="A78" s="25" t="s">
        <v>283</v>
      </c>
      <c r="B78" s="20">
        <v>3.7115942028985511</v>
      </c>
      <c r="H78" s="5"/>
      <c r="J78" s="25" t="s">
        <v>67</v>
      </c>
      <c r="K78" s="20">
        <v>31</v>
      </c>
      <c r="Q78" s="5"/>
    </row>
    <row r="79" spans="1:17">
      <c r="A79" s="25" t="s">
        <v>274</v>
      </c>
      <c r="B79" s="20">
        <v>3.5511111111111124</v>
      </c>
      <c r="H79" s="5"/>
      <c r="J79" s="25" t="s">
        <v>60</v>
      </c>
      <c r="K79" s="20">
        <v>46</v>
      </c>
      <c r="Q79" s="5"/>
    </row>
    <row r="80" spans="1:17">
      <c r="A80" s="25" t="s">
        <v>271</v>
      </c>
      <c r="B80" s="20">
        <v>3.8533333333333335</v>
      </c>
      <c r="H80" s="5"/>
      <c r="J80" s="25" t="s">
        <v>48</v>
      </c>
      <c r="K80" s="20">
        <v>182</v>
      </c>
      <c r="Q80" s="5"/>
    </row>
    <row r="81" spans="1:17">
      <c r="A81" s="25" t="s">
        <v>46</v>
      </c>
      <c r="B81" s="20">
        <v>4.1539999999999999</v>
      </c>
      <c r="H81" s="5"/>
      <c r="J81" s="25" t="s">
        <v>39</v>
      </c>
      <c r="K81" s="20">
        <v>176</v>
      </c>
      <c r="Q81" s="5"/>
    </row>
    <row r="82" spans="1:17">
      <c r="A82" s="25" t="s">
        <v>288</v>
      </c>
      <c r="B82" s="20">
        <v>3.713750000000001</v>
      </c>
      <c r="H82" s="5"/>
      <c r="J82" s="25" t="s">
        <v>84</v>
      </c>
      <c r="K82" s="20">
        <v>1</v>
      </c>
      <c r="Q82" s="5"/>
    </row>
    <row r="83" spans="1:17">
      <c r="A83" s="25" t="s">
        <v>37</v>
      </c>
      <c r="B83" s="20">
        <v>4.1245273631840806</v>
      </c>
      <c r="H83" s="5"/>
      <c r="J83" s="25" t="s">
        <v>160</v>
      </c>
      <c r="K83" s="20">
        <v>2</v>
      </c>
      <c r="Q83" s="5"/>
    </row>
    <row r="84" spans="1:17">
      <c r="A84" s="25" t="s">
        <v>278</v>
      </c>
      <c r="B84" s="20">
        <v>3.8471910112359553</v>
      </c>
      <c r="H84" s="5"/>
      <c r="J84" s="25" t="s">
        <v>280</v>
      </c>
      <c r="K84" s="20">
        <v>98</v>
      </c>
      <c r="Q84" s="5"/>
    </row>
    <row r="85" spans="1:17" ht="15" thickBot="1">
      <c r="A85" s="25" t="s">
        <v>113</v>
      </c>
      <c r="B85" s="20">
        <v>3.8069026548672582</v>
      </c>
      <c r="H85" s="5"/>
      <c r="J85" s="24" t="s">
        <v>142</v>
      </c>
      <c r="K85" s="20">
        <v>109</v>
      </c>
      <c r="Q85" s="5"/>
    </row>
    <row r="86" spans="1:17" ht="15" thickBot="1">
      <c r="A86" s="24" t="s">
        <v>63</v>
      </c>
      <c r="B86" s="20">
        <v>4.0618181818181824</v>
      </c>
      <c r="H86" s="5"/>
      <c r="J86" s="21" t="s">
        <v>1723</v>
      </c>
      <c r="K86" s="16">
        <v>803</v>
      </c>
      <c r="L86" s="8"/>
      <c r="M86" s="8"/>
      <c r="N86" s="8"/>
      <c r="O86" s="8"/>
      <c r="P86" s="8"/>
      <c r="Q86" s="9"/>
    </row>
    <row r="87" spans="1:17" ht="15" thickBot="1">
      <c r="A87" s="21" t="s">
        <v>1723</v>
      </c>
      <c r="B87" s="16">
        <v>3.8828891656288893</v>
      </c>
      <c r="C87" s="8"/>
      <c r="D87" s="8"/>
      <c r="E87" s="8"/>
      <c r="F87" s="8"/>
      <c r="G87" s="8"/>
      <c r="H87" s="9"/>
    </row>
    <row r="88" spans="1:17" ht="15" thickBot="1"/>
    <row r="89" spans="1:17" ht="15" thickBot="1">
      <c r="A89" s="48" t="s">
        <v>1733</v>
      </c>
      <c r="B89" s="49"/>
      <c r="C89" s="49"/>
      <c r="D89" s="49"/>
      <c r="E89" s="49"/>
      <c r="F89" s="49"/>
      <c r="G89" s="49"/>
      <c r="H89" s="50"/>
    </row>
    <row r="90" spans="1:17" ht="15" thickBot="1">
      <c r="A90" s="22" t="s">
        <v>1722</v>
      </c>
      <c r="B90" s="27" t="s">
        <v>1724</v>
      </c>
      <c r="H90" s="5"/>
    </row>
    <row r="91" spans="1:17">
      <c r="A91" s="23" t="s">
        <v>56</v>
      </c>
      <c r="B91" s="19">
        <v>196</v>
      </c>
      <c r="H91" s="5"/>
    </row>
    <row r="92" spans="1:17">
      <c r="A92" s="25" t="s">
        <v>42</v>
      </c>
      <c r="B92" s="20">
        <v>286</v>
      </c>
      <c r="H92" s="5"/>
    </row>
    <row r="93" spans="1:17">
      <c r="A93" s="25" t="s">
        <v>964</v>
      </c>
      <c r="B93" s="20">
        <v>11</v>
      </c>
      <c r="H93" s="5"/>
    </row>
    <row r="94" spans="1:17">
      <c r="A94" s="25" t="s">
        <v>31</v>
      </c>
      <c r="B94" s="20">
        <v>302</v>
      </c>
      <c r="H94" s="5"/>
    </row>
    <row r="95" spans="1:17" ht="15" thickBot="1">
      <c r="A95" s="24" t="s">
        <v>65</v>
      </c>
      <c r="B95" s="20">
        <v>8</v>
      </c>
      <c r="H95" s="5"/>
    </row>
    <row r="96" spans="1:17" ht="15" thickBot="1">
      <c r="A96" s="21" t="s">
        <v>1723</v>
      </c>
      <c r="B96" s="16">
        <v>803</v>
      </c>
      <c r="H96" s="5"/>
    </row>
    <row r="97" spans="1:8">
      <c r="A97" s="6"/>
      <c r="H97" s="5"/>
    </row>
    <row r="98" spans="1:8">
      <c r="A98" s="6"/>
      <c r="H98" s="5"/>
    </row>
    <row r="99" spans="1:8">
      <c r="A99" s="6"/>
      <c r="H99" s="5"/>
    </row>
    <row r="100" spans="1:8" ht="15" thickBot="1">
      <c r="A100" s="7"/>
      <c r="B100" s="8"/>
      <c r="C100" s="8"/>
      <c r="D100" s="8"/>
      <c r="E100" s="8"/>
      <c r="F100" s="8"/>
      <c r="G100" s="8"/>
      <c r="H100" s="9"/>
    </row>
    <row r="101" spans="1:8" ht="15" thickBot="1"/>
    <row r="102" spans="1:8" ht="15" thickBot="1">
      <c r="A102" s="51" t="s">
        <v>1738</v>
      </c>
      <c r="B102" s="52"/>
      <c r="C102" s="52"/>
      <c r="D102" s="52"/>
      <c r="E102" s="52"/>
      <c r="F102" s="52"/>
      <c r="G102" s="52"/>
      <c r="H102" s="53"/>
    </row>
    <row r="103" spans="1:8" ht="15" thickBot="1">
      <c r="A103" s="22" t="s">
        <v>1722</v>
      </c>
      <c r="B103" s="27" t="s">
        <v>1724</v>
      </c>
      <c r="H103" s="5"/>
    </row>
    <row r="104" spans="1:8">
      <c r="A104" s="23" t="s">
        <v>109</v>
      </c>
      <c r="B104" s="19">
        <v>3</v>
      </c>
      <c r="H104" s="5"/>
    </row>
    <row r="105" spans="1:8">
      <c r="A105" s="25" t="s">
        <v>178</v>
      </c>
      <c r="B105" s="20">
        <v>3</v>
      </c>
      <c r="H105" s="5"/>
    </row>
    <row r="106" spans="1:8">
      <c r="A106" s="25" t="s">
        <v>110</v>
      </c>
      <c r="B106" s="20">
        <v>27</v>
      </c>
      <c r="H106" s="5"/>
    </row>
    <row r="107" spans="1:8">
      <c r="A107" s="25" t="s">
        <v>139</v>
      </c>
      <c r="B107" s="20">
        <v>4</v>
      </c>
      <c r="H107" s="5"/>
    </row>
    <row r="108" spans="1:8">
      <c r="A108" s="25" t="s">
        <v>119</v>
      </c>
      <c r="B108" s="20">
        <v>1</v>
      </c>
      <c r="H108" s="5"/>
    </row>
    <row r="109" spans="1:8">
      <c r="A109" s="25" t="s">
        <v>263</v>
      </c>
      <c r="B109" s="20">
        <v>1</v>
      </c>
      <c r="H109" s="5"/>
    </row>
    <row r="110" spans="1:8">
      <c r="A110" s="25" t="s">
        <v>79</v>
      </c>
      <c r="B110" s="20">
        <v>7</v>
      </c>
      <c r="H110" s="5"/>
    </row>
    <row r="111" spans="1:8">
      <c r="A111" s="25" t="s">
        <v>237</v>
      </c>
      <c r="B111" s="20">
        <v>1</v>
      </c>
      <c r="H111" s="5"/>
    </row>
    <row r="112" spans="1:8">
      <c r="A112" s="25" t="s">
        <v>233</v>
      </c>
      <c r="B112" s="20">
        <v>1</v>
      </c>
      <c r="H112" s="5"/>
    </row>
    <row r="113" spans="1:8">
      <c r="A113" s="25" t="s">
        <v>89</v>
      </c>
      <c r="B113" s="20">
        <v>5</v>
      </c>
      <c r="H113" s="5"/>
    </row>
    <row r="114" spans="1:8">
      <c r="A114" s="25" t="s">
        <v>130</v>
      </c>
      <c r="B114" s="20">
        <v>1</v>
      </c>
      <c r="H114" s="5"/>
    </row>
    <row r="115" spans="1:8">
      <c r="A115" s="25" t="s">
        <v>176</v>
      </c>
      <c r="B115" s="20">
        <v>1</v>
      </c>
      <c r="H115" s="5"/>
    </row>
    <row r="116" spans="1:8">
      <c r="A116" s="25" t="s">
        <v>97</v>
      </c>
      <c r="B116" s="20">
        <v>1</v>
      </c>
      <c r="H116" s="5"/>
    </row>
    <row r="117" spans="1:8">
      <c r="A117" s="25" t="s">
        <v>294</v>
      </c>
      <c r="B117" s="20">
        <v>94</v>
      </c>
      <c r="H117" s="5"/>
    </row>
    <row r="118" spans="1:8">
      <c r="A118" s="25" t="s">
        <v>157</v>
      </c>
      <c r="B118" s="20">
        <v>1</v>
      </c>
      <c r="H118" s="5"/>
    </row>
    <row r="119" spans="1:8">
      <c r="A119" s="25" t="s">
        <v>235</v>
      </c>
      <c r="B119" s="20">
        <v>2</v>
      </c>
      <c r="H119" s="5"/>
    </row>
    <row r="120" spans="1:8">
      <c r="A120" s="25" t="s">
        <v>206</v>
      </c>
      <c r="B120" s="20">
        <v>1</v>
      </c>
      <c r="H120" s="5"/>
    </row>
    <row r="121" spans="1:8">
      <c r="A121" s="25" t="s">
        <v>143</v>
      </c>
      <c r="B121" s="20">
        <v>1</v>
      </c>
      <c r="H121" s="5"/>
    </row>
    <row r="122" spans="1:8">
      <c r="A122" s="25" t="s">
        <v>71</v>
      </c>
      <c r="B122" s="20">
        <v>8</v>
      </c>
      <c r="H122" s="5"/>
    </row>
    <row r="123" spans="1:8">
      <c r="A123" s="25" t="s">
        <v>277</v>
      </c>
      <c r="B123" s="20">
        <v>98</v>
      </c>
      <c r="H123" s="5"/>
    </row>
    <row r="124" spans="1:8">
      <c r="A124" s="25" t="s">
        <v>152</v>
      </c>
      <c r="B124" s="20">
        <v>5</v>
      </c>
      <c r="H124" s="5"/>
    </row>
    <row r="125" spans="1:8">
      <c r="A125" s="25" t="s">
        <v>187</v>
      </c>
      <c r="B125" s="20">
        <v>1</v>
      </c>
      <c r="H125" s="5"/>
    </row>
    <row r="126" spans="1:8">
      <c r="A126" s="25" t="s">
        <v>231</v>
      </c>
      <c r="B126" s="20">
        <v>1</v>
      </c>
      <c r="H126" s="5"/>
    </row>
    <row r="127" spans="1:8">
      <c r="A127" s="25" t="s">
        <v>104</v>
      </c>
      <c r="B127" s="20">
        <v>14</v>
      </c>
      <c r="H127" s="5"/>
    </row>
    <row r="128" spans="1:8">
      <c r="A128" s="25" t="s">
        <v>28</v>
      </c>
      <c r="B128" s="20">
        <v>231</v>
      </c>
      <c r="H128" s="5"/>
    </row>
    <row r="129" spans="1:8">
      <c r="A129" s="25" t="s">
        <v>50</v>
      </c>
      <c r="B129" s="20">
        <v>53</v>
      </c>
      <c r="H129" s="5"/>
    </row>
    <row r="130" spans="1:8">
      <c r="A130" s="25" t="s">
        <v>269</v>
      </c>
      <c r="B130" s="20">
        <v>101</v>
      </c>
      <c r="H130" s="5"/>
    </row>
    <row r="131" spans="1:8">
      <c r="A131" s="25" t="s">
        <v>132</v>
      </c>
      <c r="B131" s="20">
        <v>3</v>
      </c>
      <c r="H131" s="5"/>
    </row>
    <row r="132" spans="1:8">
      <c r="A132" s="25" t="s">
        <v>194</v>
      </c>
      <c r="B132" s="20">
        <v>3</v>
      </c>
      <c r="H132" s="5"/>
    </row>
    <row r="133" spans="1:8">
      <c r="A133" s="25" t="s">
        <v>195</v>
      </c>
      <c r="B133" s="20">
        <v>1</v>
      </c>
      <c r="H133" s="5"/>
    </row>
    <row r="134" spans="1:8">
      <c r="A134" s="25" t="s">
        <v>62</v>
      </c>
      <c r="B134" s="20">
        <v>119</v>
      </c>
      <c r="H134" s="5"/>
    </row>
    <row r="135" spans="1:8">
      <c r="A135" s="25" t="s">
        <v>115</v>
      </c>
      <c r="B135" s="20">
        <v>1</v>
      </c>
      <c r="H135" s="5"/>
    </row>
    <row r="136" spans="1:8">
      <c r="A136" s="25" t="s">
        <v>101</v>
      </c>
      <c r="B136" s="20">
        <v>2</v>
      </c>
      <c r="H136" s="5"/>
    </row>
    <row r="137" spans="1:8">
      <c r="A137" s="25" t="s">
        <v>41</v>
      </c>
      <c r="B137" s="20">
        <v>2</v>
      </c>
      <c r="H137" s="5"/>
    </row>
    <row r="138" spans="1:8" ht="15" thickBot="1">
      <c r="A138" s="24" t="s">
        <v>131</v>
      </c>
      <c r="B138" s="20">
        <v>5</v>
      </c>
      <c r="H138" s="5"/>
    </row>
    <row r="139" spans="1:8" ht="15" thickBot="1">
      <c r="A139" s="21" t="s">
        <v>1723</v>
      </c>
      <c r="B139" s="16">
        <v>803</v>
      </c>
      <c r="C139" s="8"/>
      <c r="D139" s="8"/>
      <c r="E139" s="8"/>
      <c r="F139" s="8"/>
      <c r="G139" s="8"/>
      <c r="H139" s="9"/>
    </row>
    <row r="597" ht="15" thickBot="1"/>
    <row r="598" ht="15" thickBot="1"/>
  </sheetData>
  <mergeCells count="13">
    <mergeCell ref="A2:H2"/>
    <mergeCell ref="A17:H17"/>
    <mergeCell ref="A32:H32"/>
    <mergeCell ref="A47:H47"/>
    <mergeCell ref="A59:H59"/>
    <mergeCell ref="S32:AC32"/>
    <mergeCell ref="A89:H89"/>
    <mergeCell ref="A102:H102"/>
    <mergeCell ref="J59:Q59"/>
    <mergeCell ref="J73:Q73"/>
    <mergeCell ref="J32:Q32"/>
    <mergeCell ref="J43:Q43"/>
    <mergeCell ref="A74:H74"/>
  </mergeCells>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7A4D0-0264-40CA-8E59-269429E777CC}">
  <dimension ref="A1:AG804"/>
  <sheetViews>
    <sheetView tabSelected="1" topLeftCell="D1" workbookViewId="0">
      <selection activeCell="H9" sqref="H9"/>
    </sheetView>
  </sheetViews>
  <sheetFormatPr defaultRowHeight="14.4"/>
  <cols>
    <col min="1" max="1" width="8.77734375" bestFit="1" customWidth="1"/>
    <col min="2" max="2" width="23.44140625" bestFit="1" customWidth="1"/>
    <col min="3" max="3" width="11.6640625" bestFit="1" customWidth="1"/>
    <col min="4" max="4" width="14.88671875" bestFit="1" customWidth="1"/>
    <col min="5" max="5" width="11.109375" bestFit="1" customWidth="1"/>
    <col min="6" max="6" width="18.44140625" bestFit="1" customWidth="1"/>
    <col min="7" max="7" width="26.33203125" bestFit="1" customWidth="1"/>
    <col min="8" max="8" width="20.21875" bestFit="1" customWidth="1"/>
    <col min="9" max="9" width="8.33203125" bestFit="1" customWidth="1"/>
    <col min="10" max="10" width="14.33203125" bestFit="1" customWidth="1"/>
    <col min="11" max="11" width="10.33203125" bestFit="1" customWidth="1"/>
    <col min="12" max="12" width="6.109375" bestFit="1" customWidth="1"/>
    <col min="13" max="13" width="7.5546875" bestFit="1" customWidth="1"/>
    <col min="14" max="14" width="6" bestFit="1" customWidth="1"/>
    <col min="15" max="15" width="15.5546875" bestFit="1" customWidth="1"/>
    <col min="16" max="16" width="16.109375" bestFit="1" customWidth="1"/>
    <col min="17" max="17" width="28.21875" bestFit="1" customWidth="1"/>
    <col min="18" max="18" width="12.21875" bestFit="1" customWidth="1"/>
    <col min="19" max="19" width="19.21875" bestFit="1" customWidth="1"/>
    <col min="20" max="20" width="8.6640625" bestFit="1" customWidth="1"/>
    <col min="21" max="21" width="28.33203125" bestFit="1" customWidth="1"/>
    <col min="22" max="22" width="14" bestFit="1" customWidth="1"/>
    <col min="23" max="23" width="19.77734375" bestFit="1" customWidth="1"/>
    <col min="24" max="24" width="22.6640625" style="1" bestFit="1" customWidth="1"/>
    <col min="25" max="25" width="20.77734375" bestFit="1" customWidth="1"/>
    <col min="26" max="26" width="13.109375" bestFit="1" customWidth="1"/>
    <col min="27" max="27" width="18.88671875" bestFit="1" customWidth="1"/>
    <col min="28" max="28" width="19.77734375" bestFit="1" customWidth="1"/>
    <col min="29" max="29" width="20.5546875" bestFit="1" customWidth="1"/>
    <col min="30" max="30" width="16" bestFit="1" customWidth="1"/>
    <col min="31" max="31" width="23.77734375" bestFit="1" customWidth="1"/>
    <col min="32" max="32" width="16.21875" bestFit="1" customWidth="1"/>
    <col min="33" max="34" width="8.88671875" bestFit="1" customWidth="1"/>
    <col min="35" max="35" width="20.77734375" bestFit="1" customWidth="1"/>
    <col min="36" max="36" width="18.88671875" bestFit="1" customWidth="1"/>
    <col min="37" max="37" width="19.77734375" bestFit="1" customWidth="1"/>
    <col min="38" max="38" width="16.88671875" bestFit="1" customWidth="1"/>
    <col min="39" max="39" width="16" bestFit="1" customWidth="1"/>
    <col min="40" max="40" width="28.77734375" bestFit="1" customWidth="1"/>
    <col min="41" max="41" width="16.21875" bestFit="1" customWidth="1"/>
    <col min="43" max="43" width="14.33203125" bestFit="1" customWidth="1"/>
  </cols>
  <sheetData>
    <row r="1" spans="1:33">
      <c r="A1" t="s">
        <v>0</v>
      </c>
      <c r="B1" t="s">
        <v>924</v>
      </c>
      <c r="C1" t="s">
        <v>1</v>
      </c>
      <c r="D1" t="s">
        <v>925</v>
      </c>
      <c r="E1" t="s">
        <v>2</v>
      </c>
      <c r="F1" t="s">
        <v>19</v>
      </c>
      <c r="G1" t="s">
        <v>8</v>
      </c>
      <c r="H1" t="s">
        <v>20</v>
      </c>
      <c r="I1" t="s">
        <v>6</v>
      </c>
      <c r="J1" t="s">
        <v>27</v>
      </c>
      <c r="K1" t="s">
        <v>11</v>
      </c>
      <c r="L1" t="s">
        <v>12</v>
      </c>
      <c r="M1" t="s">
        <v>9</v>
      </c>
      <c r="N1" t="s">
        <v>10</v>
      </c>
      <c r="O1" t="s">
        <v>14</v>
      </c>
      <c r="P1" t="s">
        <v>13</v>
      </c>
      <c r="Q1" t="s">
        <v>15</v>
      </c>
      <c r="R1" s="1" t="s">
        <v>16</v>
      </c>
      <c r="S1" s="1" t="s">
        <v>17</v>
      </c>
      <c r="T1" t="s">
        <v>7</v>
      </c>
      <c r="U1" t="s">
        <v>1762</v>
      </c>
      <c r="V1" t="s">
        <v>3</v>
      </c>
      <c r="W1" t="s">
        <v>18</v>
      </c>
      <c r="X1" t="s">
        <v>5</v>
      </c>
      <c r="Y1" t="s">
        <v>21</v>
      </c>
      <c r="Z1" t="s">
        <v>4</v>
      </c>
      <c r="AA1" t="s">
        <v>22</v>
      </c>
      <c r="AB1" t="s">
        <v>23</v>
      </c>
      <c r="AC1" t="s">
        <v>926</v>
      </c>
      <c r="AD1" t="s">
        <v>24</v>
      </c>
      <c r="AE1" t="s">
        <v>927</v>
      </c>
      <c r="AF1" t="s">
        <v>25</v>
      </c>
      <c r="AG1" t="s">
        <v>26</v>
      </c>
    </row>
    <row r="2" spans="1:33">
      <c r="A2">
        <v>10001</v>
      </c>
      <c r="B2" t="s">
        <v>969</v>
      </c>
      <c r="C2" t="s">
        <v>31</v>
      </c>
      <c r="D2" t="s">
        <v>31</v>
      </c>
      <c r="E2" t="s">
        <v>929</v>
      </c>
      <c r="F2" t="s">
        <v>37</v>
      </c>
      <c r="G2" t="s">
        <v>104</v>
      </c>
      <c r="H2" t="s">
        <v>107</v>
      </c>
      <c r="I2">
        <v>72640</v>
      </c>
      <c r="J2" s="3">
        <v>871680</v>
      </c>
      <c r="K2" s="2">
        <v>30537</v>
      </c>
      <c r="L2" t="s">
        <v>30</v>
      </c>
      <c r="M2" t="s">
        <v>29</v>
      </c>
      <c r="N2">
        <v>2169</v>
      </c>
      <c r="O2" t="s">
        <v>33</v>
      </c>
      <c r="P2" t="s">
        <v>32</v>
      </c>
      <c r="Q2" t="s">
        <v>34</v>
      </c>
      <c r="R2" s="2">
        <v>42397</v>
      </c>
      <c r="S2" s="1" t="s">
        <v>35</v>
      </c>
      <c r="T2">
        <v>0</v>
      </c>
      <c r="U2" t="s">
        <v>36</v>
      </c>
      <c r="V2">
        <v>1</v>
      </c>
      <c r="W2" t="s">
        <v>36</v>
      </c>
      <c r="X2">
        <v>0</v>
      </c>
      <c r="Y2" t="s">
        <v>48</v>
      </c>
      <c r="Z2">
        <v>4</v>
      </c>
      <c r="AA2" t="s">
        <v>40</v>
      </c>
      <c r="AB2">
        <v>5</v>
      </c>
      <c r="AC2" t="s">
        <v>932</v>
      </c>
      <c r="AD2">
        <v>0</v>
      </c>
      <c r="AE2" s="2">
        <v>43518</v>
      </c>
      <c r="AF2">
        <v>0</v>
      </c>
      <c r="AG2">
        <v>14</v>
      </c>
    </row>
    <row r="3" spans="1:33">
      <c r="A3">
        <v>10002</v>
      </c>
      <c r="B3" t="s">
        <v>938</v>
      </c>
      <c r="C3" t="s">
        <v>31</v>
      </c>
      <c r="D3" t="s">
        <v>31</v>
      </c>
      <c r="E3" t="s">
        <v>934</v>
      </c>
      <c r="F3" t="s">
        <v>37</v>
      </c>
      <c r="G3" t="s">
        <v>28</v>
      </c>
      <c r="H3" t="s">
        <v>61</v>
      </c>
      <c r="I3">
        <v>57568</v>
      </c>
      <c r="J3" s="3">
        <v>690816</v>
      </c>
      <c r="K3" s="2">
        <v>28267</v>
      </c>
      <c r="L3" t="s">
        <v>51</v>
      </c>
      <c r="M3" t="s">
        <v>29</v>
      </c>
      <c r="N3">
        <v>1844</v>
      </c>
      <c r="O3" t="s">
        <v>33</v>
      </c>
      <c r="P3" t="s">
        <v>32</v>
      </c>
      <c r="Q3" t="s">
        <v>34</v>
      </c>
      <c r="R3" s="2">
        <v>40917</v>
      </c>
      <c r="S3" s="1" t="s">
        <v>35</v>
      </c>
      <c r="T3">
        <v>0</v>
      </c>
      <c r="U3" t="s">
        <v>36</v>
      </c>
      <c r="V3">
        <v>1</v>
      </c>
      <c r="W3" t="s">
        <v>36</v>
      </c>
      <c r="X3">
        <v>0</v>
      </c>
      <c r="Y3" t="s">
        <v>39</v>
      </c>
      <c r="Z3">
        <v>4</v>
      </c>
      <c r="AA3" t="s">
        <v>40</v>
      </c>
      <c r="AB3">
        <v>5</v>
      </c>
      <c r="AC3" t="s">
        <v>930</v>
      </c>
      <c r="AD3">
        <v>0</v>
      </c>
      <c r="AE3" s="2">
        <v>43472</v>
      </c>
      <c r="AF3">
        <v>0</v>
      </c>
      <c r="AG3">
        <v>15</v>
      </c>
    </row>
    <row r="4" spans="1:33">
      <c r="A4">
        <v>10003</v>
      </c>
      <c r="B4" t="s">
        <v>954</v>
      </c>
      <c r="C4" t="s">
        <v>42</v>
      </c>
      <c r="D4" t="s">
        <v>42</v>
      </c>
      <c r="E4" t="s">
        <v>934</v>
      </c>
      <c r="F4" t="s">
        <v>37</v>
      </c>
      <c r="G4" t="s">
        <v>28</v>
      </c>
      <c r="H4" t="s">
        <v>69</v>
      </c>
      <c r="I4">
        <v>62910</v>
      </c>
      <c r="J4" s="3">
        <v>754920</v>
      </c>
      <c r="K4" s="2">
        <v>32752</v>
      </c>
      <c r="L4" t="s">
        <v>51</v>
      </c>
      <c r="M4" t="s">
        <v>29</v>
      </c>
      <c r="N4">
        <v>2031</v>
      </c>
      <c r="O4" t="s">
        <v>33</v>
      </c>
      <c r="P4" t="s">
        <v>32</v>
      </c>
      <c r="Q4" t="s">
        <v>34</v>
      </c>
      <c r="R4" s="2">
        <v>41827</v>
      </c>
      <c r="S4" s="1" t="s">
        <v>35</v>
      </c>
      <c r="T4">
        <v>0</v>
      </c>
      <c r="U4" t="s">
        <v>36</v>
      </c>
      <c r="V4">
        <v>1</v>
      </c>
      <c r="W4" t="s">
        <v>36</v>
      </c>
      <c r="X4">
        <v>0</v>
      </c>
      <c r="Y4" t="s">
        <v>48</v>
      </c>
      <c r="Z4">
        <v>4</v>
      </c>
      <c r="AA4" t="s">
        <v>40</v>
      </c>
      <c r="AB4">
        <v>5</v>
      </c>
      <c r="AC4" t="s">
        <v>932</v>
      </c>
      <c r="AD4">
        <v>0</v>
      </c>
      <c r="AE4" s="2">
        <v>43523</v>
      </c>
      <c r="AF4">
        <v>0</v>
      </c>
      <c r="AG4">
        <v>19</v>
      </c>
    </row>
    <row r="5" spans="1:33">
      <c r="A5">
        <v>10004</v>
      </c>
      <c r="B5" t="s">
        <v>1097</v>
      </c>
      <c r="C5" t="s">
        <v>31</v>
      </c>
      <c r="D5" t="s">
        <v>31</v>
      </c>
      <c r="E5" t="s">
        <v>934</v>
      </c>
      <c r="F5" t="s">
        <v>37</v>
      </c>
      <c r="G5" t="s">
        <v>28</v>
      </c>
      <c r="H5" t="s">
        <v>59</v>
      </c>
      <c r="I5">
        <v>47434</v>
      </c>
      <c r="J5" s="3">
        <v>569208</v>
      </c>
      <c r="K5" s="2">
        <v>26709</v>
      </c>
      <c r="L5" t="s">
        <v>51</v>
      </c>
      <c r="M5" t="s">
        <v>29</v>
      </c>
      <c r="N5">
        <v>1844</v>
      </c>
      <c r="O5" t="s">
        <v>73</v>
      </c>
      <c r="P5" t="s">
        <v>32</v>
      </c>
      <c r="Q5" t="s">
        <v>68</v>
      </c>
      <c r="R5" s="2">
        <v>40854</v>
      </c>
      <c r="S5" s="1" t="s">
        <v>199</v>
      </c>
      <c r="T5">
        <v>1</v>
      </c>
      <c r="U5" t="s">
        <v>75</v>
      </c>
      <c r="V5">
        <v>5</v>
      </c>
      <c r="W5" t="s">
        <v>45</v>
      </c>
      <c r="X5">
        <v>1</v>
      </c>
      <c r="Y5" t="s">
        <v>70</v>
      </c>
      <c r="Z5">
        <v>4</v>
      </c>
      <c r="AA5" t="s">
        <v>40</v>
      </c>
      <c r="AB5">
        <v>5</v>
      </c>
      <c r="AC5" t="s">
        <v>937</v>
      </c>
      <c r="AD5">
        <v>0</v>
      </c>
      <c r="AE5" s="2">
        <v>42037</v>
      </c>
      <c r="AF5">
        <v>0</v>
      </c>
      <c r="AG5">
        <v>17</v>
      </c>
    </row>
    <row r="6" spans="1:33">
      <c r="A6">
        <v>10004</v>
      </c>
      <c r="B6" t="s">
        <v>1226</v>
      </c>
      <c r="C6" t="s">
        <v>31</v>
      </c>
      <c r="D6" t="s">
        <v>31</v>
      </c>
      <c r="E6" t="s">
        <v>929</v>
      </c>
      <c r="F6" t="s">
        <v>278</v>
      </c>
      <c r="G6" t="s">
        <v>277</v>
      </c>
      <c r="H6" t="s">
        <v>279</v>
      </c>
      <c r="I6">
        <v>57460</v>
      </c>
      <c r="J6" s="3">
        <v>689520</v>
      </c>
      <c r="K6" s="2">
        <v>24041</v>
      </c>
      <c r="L6" t="s">
        <v>51</v>
      </c>
      <c r="M6" t="s">
        <v>144</v>
      </c>
      <c r="N6">
        <v>99044</v>
      </c>
      <c r="O6" t="s">
        <v>33</v>
      </c>
      <c r="P6" t="s">
        <v>124</v>
      </c>
      <c r="Q6" t="s">
        <v>34</v>
      </c>
      <c r="R6" s="2">
        <v>44149</v>
      </c>
      <c r="S6" s="1" t="s">
        <v>35</v>
      </c>
      <c r="T6">
        <v>0</v>
      </c>
      <c r="U6" t="s">
        <v>36</v>
      </c>
      <c r="V6">
        <v>1</v>
      </c>
      <c r="W6" t="s">
        <v>87</v>
      </c>
      <c r="X6">
        <v>1</v>
      </c>
      <c r="Y6" t="s">
        <v>280</v>
      </c>
      <c r="Z6">
        <v>4</v>
      </c>
      <c r="AA6" t="s">
        <v>49</v>
      </c>
      <c r="AB6">
        <v>3.7</v>
      </c>
      <c r="AC6" t="s">
        <v>962</v>
      </c>
      <c r="AD6">
        <v>1</v>
      </c>
      <c r="AE6" s="2">
        <v>45769</v>
      </c>
      <c r="AF6">
        <v>4</v>
      </c>
      <c r="AG6">
        <v>9</v>
      </c>
    </row>
    <row r="7" spans="1:33">
      <c r="A7">
        <v>10005</v>
      </c>
      <c r="B7" t="s">
        <v>1131</v>
      </c>
      <c r="C7" t="s">
        <v>31</v>
      </c>
      <c r="D7" t="s">
        <v>31</v>
      </c>
      <c r="E7" t="s">
        <v>929</v>
      </c>
      <c r="F7" t="s">
        <v>63</v>
      </c>
      <c r="G7" t="s">
        <v>62</v>
      </c>
      <c r="H7" t="s">
        <v>64</v>
      </c>
      <c r="I7">
        <v>108987</v>
      </c>
      <c r="J7" s="3">
        <v>1307844</v>
      </c>
      <c r="K7" s="2">
        <v>28906</v>
      </c>
      <c r="L7" t="s">
        <v>30</v>
      </c>
      <c r="M7" t="s">
        <v>29</v>
      </c>
      <c r="N7">
        <v>1844</v>
      </c>
      <c r="O7" t="s">
        <v>33</v>
      </c>
      <c r="P7" t="s">
        <v>32</v>
      </c>
      <c r="Q7" t="s">
        <v>68</v>
      </c>
      <c r="R7" s="2">
        <v>40854</v>
      </c>
      <c r="S7" s="1" t="s">
        <v>213</v>
      </c>
      <c r="T7">
        <v>1</v>
      </c>
      <c r="U7" t="s">
        <v>75</v>
      </c>
      <c r="V7">
        <v>5</v>
      </c>
      <c r="W7" t="s">
        <v>45</v>
      </c>
      <c r="X7">
        <v>1</v>
      </c>
      <c r="Y7" t="s">
        <v>70</v>
      </c>
      <c r="Z7">
        <v>4</v>
      </c>
      <c r="AA7" t="s">
        <v>40</v>
      </c>
      <c r="AB7">
        <v>5</v>
      </c>
      <c r="AC7" t="s">
        <v>930</v>
      </c>
      <c r="AD7">
        <v>3</v>
      </c>
      <c r="AE7" s="2">
        <v>42232</v>
      </c>
      <c r="AF7">
        <v>0</v>
      </c>
      <c r="AG7">
        <v>13</v>
      </c>
    </row>
    <row r="8" spans="1:33">
      <c r="A8">
        <v>10005</v>
      </c>
      <c r="B8" t="s">
        <v>1227</v>
      </c>
      <c r="C8" t="s">
        <v>42</v>
      </c>
      <c r="D8" t="s">
        <v>42</v>
      </c>
      <c r="E8" t="s">
        <v>929</v>
      </c>
      <c r="F8" t="s">
        <v>274</v>
      </c>
      <c r="G8" t="s">
        <v>269</v>
      </c>
      <c r="H8" t="s">
        <v>282</v>
      </c>
      <c r="I8">
        <v>70586</v>
      </c>
      <c r="J8" s="3">
        <v>847032</v>
      </c>
      <c r="K8" s="2">
        <v>37085</v>
      </c>
      <c r="L8" t="s">
        <v>51</v>
      </c>
      <c r="M8" t="s">
        <v>191</v>
      </c>
      <c r="N8">
        <v>72697</v>
      </c>
      <c r="O8" t="s">
        <v>33</v>
      </c>
      <c r="P8" t="s">
        <v>124</v>
      </c>
      <c r="Q8" t="s">
        <v>204</v>
      </c>
      <c r="R8" s="2">
        <v>43563</v>
      </c>
      <c r="S8" s="1" t="s">
        <v>281</v>
      </c>
      <c r="T8">
        <v>0</v>
      </c>
      <c r="U8" t="s">
        <v>36</v>
      </c>
      <c r="V8">
        <v>2</v>
      </c>
      <c r="W8" t="s">
        <v>45</v>
      </c>
      <c r="X8">
        <v>1</v>
      </c>
      <c r="Y8" t="s">
        <v>48</v>
      </c>
      <c r="Z8">
        <v>1</v>
      </c>
      <c r="AA8" t="s">
        <v>49</v>
      </c>
      <c r="AB8">
        <v>3.7</v>
      </c>
      <c r="AC8" t="s">
        <v>1003</v>
      </c>
      <c r="AD8">
        <v>5</v>
      </c>
      <c r="AE8" s="2">
        <v>45752</v>
      </c>
      <c r="AF8">
        <v>5</v>
      </c>
      <c r="AG8">
        <v>0</v>
      </c>
    </row>
    <row r="9" spans="1:33">
      <c r="A9">
        <v>10006</v>
      </c>
      <c r="B9" t="s">
        <v>1007</v>
      </c>
      <c r="C9" t="s">
        <v>31</v>
      </c>
      <c r="D9" t="s">
        <v>31</v>
      </c>
      <c r="E9" t="s">
        <v>934</v>
      </c>
      <c r="F9" t="s">
        <v>113</v>
      </c>
      <c r="G9" t="s">
        <v>110</v>
      </c>
      <c r="H9" t="s">
        <v>121</v>
      </c>
      <c r="I9">
        <v>74241</v>
      </c>
      <c r="J9" s="3">
        <v>890892</v>
      </c>
      <c r="K9" s="2">
        <v>32455</v>
      </c>
      <c r="L9" t="s">
        <v>51</v>
      </c>
      <c r="M9" t="s">
        <v>144</v>
      </c>
      <c r="N9">
        <v>90007</v>
      </c>
      <c r="O9" t="s">
        <v>33</v>
      </c>
      <c r="P9" t="s">
        <v>32</v>
      </c>
      <c r="Q9" t="s">
        <v>34</v>
      </c>
      <c r="R9" s="2">
        <v>40553</v>
      </c>
      <c r="S9" s="1" t="s">
        <v>35</v>
      </c>
      <c r="T9">
        <v>0</v>
      </c>
      <c r="U9" t="s">
        <v>36</v>
      </c>
      <c r="V9">
        <v>1</v>
      </c>
      <c r="W9" t="s">
        <v>36</v>
      </c>
      <c r="X9">
        <v>0</v>
      </c>
      <c r="Y9" t="s">
        <v>48</v>
      </c>
      <c r="Z9">
        <v>4</v>
      </c>
      <c r="AA9" t="s">
        <v>40</v>
      </c>
      <c r="AB9">
        <v>4.7699999999999996</v>
      </c>
      <c r="AC9" t="s">
        <v>930</v>
      </c>
      <c r="AD9">
        <v>0</v>
      </c>
      <c r="AE9" s="2">
        <v>43492</v>
      </c>
      <c r="AF9">
        <v>0</v>
      </c>
      <c r="AG9">
        <v>14</v>
      </c>
    </row>
    <row r="10" spans="1:33">
      <c r="A10">
        <v>10006</v>
      </c>
      <c r="B10" t="s">
        <v>1228</v>
      </c>
      <c r="C10" t="s">
        <v>42</v>
      </c>
      <c r="D10" t="s">
        <v>56</v>
      </c>
      <c r="E10" t="s">
        <v>934</v>
      </c>
      <c r="F10" t="s">
        <v>283</v>
      </c>
      <c r="G10" t="s">
        <v>28</v>
      </c>
      <c r="H10" t="s">
        <v>284</v>
      </c>
      <c r="I10">
        <v>65545</v>
      </c>
      <c r="J10" s="3">
        <v>786540</v>
      </c>
      <c r="K10" s="2">
        <v>28803</v>
      </c>
      <c r="L10" t="s">
        <v>264</v>
      </c>
      <c r="M10" t="s">
        <v>210</v>
      </c>
      <c r="N10">
        <v>3644</v>
      </c>
      <c r="O10" t="s">
        <v>33</v>
      </c>
      <c r="P10" t="s">
        <v>32</v>
      </c>
      <c r="Q10" t="s">
        <v>34</v>
      </c>
      <c r="R10" s="2">
        <v>45944</v>
      </c>
      <c r="S10" s="1" t="s">
        <v>35</v>
      </c>
      <c r="T10">
        <v>1</v>
      </c>
      <c r="U10" t="s">
        <v>273</v>
      </c>
      <c r="V10">
        <v>2</v>
      </c>
      <c r="W10" t="s">
        <v>45</v>
      </c>
      <c r="X10">
        <v>0</v>
      </c>
      <c r="Y10" t="s">
        <v>39</v>
      </c>
      <c r="Z10">
        <v>1</v>
      </c>
      <c r="AA10" t="s">
        <v>136</v>
      </c>
      <c r="AB10">
        <v>3.2</v>
      </c>
      <c r="AC10" t="s">
        <v>962</v>
      </c>
      <c r="AD10">
        <v>5</v>
      </c>
      <c r="AE10" s="2">
        <v>45765</v>
      </c>
      <c r="AF10">
        <v>1</v>
      </c>
      <c r="AG10">
        <v>5</v>
      </c>
    </row>
    <row r="11" spans="1:33">
      <c r="A11">
        <v>10007</v>
      </c>
      <c r="B11" t="s">
        <v>1052</v>
      </c>
      <c r="C11" t="s">
        <v>42</v>
      </c>
      <c r="D11" t="s">
        <v>42</v>
      </c>
      <c r="E11" t="s">
        <v>934</v>
      </c>
      <c r="F11" t="s">
        <v>37</v>
      </c>
      <c r="G11" t="s">
        <v>28</v>
      </c>
      <c r="H11" t="s">
        <v>61</v>
      </c>
      <c r="I11">
        <v>62065</v>
      </c>
      <c r="J11" s="3">
        <v>744780</v>
      </c>
      <c r="K11" s="2">
        <v>27151</v>
      </c>
      <c r="L11" t="s">
        <v>51</v>
      </c>
      <c r="M11" t="s">
        <v>29</v>
      </c>
      <c r="N11">
        <v>1886</v>
      </c>
      <c r="O11" t="s">
        <v>33</v>
      </c>
      <c r="P11" t="s">
        <v>32</v>
      </c>
      <c r="Q11" t="s">
        <v>34</v>
      </c>
      <c r="R11" s="2">
        <v>41771</v>
      </c>
      <c r="S11" s="1" t="s">
        <v>35</v>
      </c>
      <c r="T11">
        <v>0</v>
      </c>
      <c r="U11" t="s">
        <v>36</v>
      </c>
      <c r="V11">
        <v>1</v>
      </c>
      <c r="W11" t="s">
        <v>36</v>
      </c>
      <c r="X11">
        <v>0</v>
      </c>
      <c r="Y11" t="s">
        <v>94</v>
      </c>
      <c r="Z11">
        <v>4</v>
      </c>
      <c r="AA11" t="s">
        <v>40</v>
      </c>
      <c r="AB11">
        <v>4.76</v>
      </c>
      <c r="AC11" t="s">
        <v>937</v>
      </c>
      <c r="AD11">
        <v>0</v>
      </c>
      <c r="AE11" s="2">
        <v>43511</v>
      </c>
      <c r="AF11">
        <v>0</v>
      </c>
      <c r="AG11">
        <v>5</v>
      </c>
    </row>
    <row r="12" spans="1:33">
      <c r="A12">
        <v>10007</v>
      </c>
      <c r="B12" t="s">
        <v>1229</v>
      </c>
      <c r="C12" t="s">
        <v>42</v>
      </c>
      <c r="D12" t="s">
        <v>31</v>
      </c>
      <c r="E12" t="s">
        <v>929</v>
      </c>
      <c r="F12" t="s">
        <v>113</v>
      </c>
      <c r="G12" t="s">
        <v>28</v>
      </c>
      <c r="H12" t="s">
        <v>285</v>
      </c>
      <c r="I12">
        <v>99873</v>
      </c>
      <c r="J12" s="3">
        <v>1198476</v>
      </c>
      <c r="K12" s="2">
        <v>27330</v>
      </c>
      <c r="L12" t="s">
        <v>51</v>
      </c>
      <c r="M12" t="s">
        <v>210</v>
      </c>
      <c r="N12">
        <v>18402</v>
      </c>
      <c r="O12" t="s">
        <v>33</v>
      </c>
      <c r="P12" t="s">
        <v>32</v>
      </c>
      <c r="Q12" t="s">
        <v>160</v>
      </c>
      <c r="R12" s="2">
        <v>43036</v>
      </c>
      <c r="S12" s="1" t="s">
        <v>35</v>
      </c>
      <c r="T12">
        <v>1</v>
      </c>
      <c r="U12" t="s">
        <v>273</v>
      </c>
      <c r="V12">
        <v>2</v>
      </c>
      <c r="W12" t="s">
        <v>36</v>
      </c>
      <c r="X12">
        <v>0</v>
      </c>
      <c r="Y12" t="s">
        <v>280</v>
      </c>
      <c r="Z12">
        <v>4</v>
      </c>
      <c r="AA12" t="s">
        <v>49</v>
      </c>
      <c r="AB12">
        <v>4.7</v>
      </c>
      <c r="AC12" t="s">
        <v>932</v>
      </c>
      <c r="AD12">
        <v>3</v>
      </c>
      <c r="AE12" s="2">
        <v>45909</v>
      </c>
      <c r="AF12">
        <v>2</v>
      </c>
      <c r="AG12">
        <v>4</v>
      </c>
    </row>
    <row r="13" spans="1:33">
      <c r="A13">
        <v>10008</v>
      </c>
      <c r="B13" t="s">
        <v>1093</v>
      </c>
      <c r="C13" t="s">
        <v>31</v>
      </c>
      <c r="D13" t="s">
        <v>31</v>
      </c>
      <c r="E13" t="s">
        <v>934</v>
      </c>
      <c r="F13" t="s">
        <v>46</v>
      </c>
      <c r="G13" t="s">
        <v>71</v>
      </c>
      <c r="H13" t="s">
        <v>125</v>
      </c>
      <c r="I13">
        <v>51777</v>
      </c>
      <c r="J13" s="3">
        <v>621324</v>
      </c>
      <c r="K13" s="2">
        <v>32421</v>
      </c>
      <c r="L13" t="s">
        <v>51</v>
      </c>
      <c r="M13" t="s">
        <v>98</v>
      </c>
      <c r="N13">
        <v>6070</v>
      </c>
      <c r="O13" t="s">
        <v>73</v>
      </c>
      <c r="P13" t="s">
        <v>32</v>
      </c>
      <c r="Q13" t="s">
        <v>68</v>
      </c>
      <c r="R13" s="2">
        <v>40564</v>
      </c>
      <c r="S13" s="1" t="s">
        <v>35</v>
      </c>
      <c r="T13">
        <v>0</v>
      </c>
      <c r="U13" t="s">
        <v>36</v>
      </c>
      <c r="V13">
        <v>1</v>
      </c>
      <c r="W13" t="s">
        <v>36</v>
      </c>
      <c r="X13">
        <v>1</v>
      </c>
      <c r="Y13" t="s">
        <v>70</v>
      </c>
      <c r="Z13">
        <v>4</v>
      </c>
      <c r="AA13" t="s">
        <v>40</v>
      </c>
      <c r="AB13">
        <v>4.6399999999999997</v>
      </c>
      <c r="AC13" t="s">
        <v>937</v>
      </c>
      <c r="AD13">
        <v>5</v>
      </c>
      <c r="AE13" s="2">
        <v>43490</v>
      </c>
      <c r="AF13">
        <v>0</v>
      </c>
      <c r="AG13">
        <v>14</v>
      </c>
    </row>
    <row r="14" spans="1:33">
      <c r="A14">
        <v>10008</v>
      </c>
      <c r="B14" t="s">
        <v>1230</v>
      </c>
      <c r="C14" t="s">
        <v>42</v>
      </c>
      <c r="D14" t="s">
        <v>31</v>
      </c>
      <c r="E14" t="s">
        <v>934</v>
      </c>
      <c r="F14" t="s">
        <v>113</v>
      </c>
      <c r="G14" t="s">
        <v>269</v>
      </c>
      <c r="H14" t="s">
        <v>287</v>
      </c>
      <c r="I14">
        <v>87337</v>
      </c>
      <c r="J14" s="3">
        <v>1048044</v>
      </c>
      <c r="K14" s="2">
        <v>28272</v>
      </c>
      <c r="L14" t="s">
        <v>51</v>
      </c>
      <c r="M14" t="s">
        <v>191</v>
      </c>
      <c r="N14">
        <v>13583</v>
      </c>
      <c r="O14" t="s">
        <v>33</v>
      </c>
      <c r="P14" t="s">
        <v>124</v>
      </c>
      <c r="Q14" t="s">
        <v>270</v>
      </c>
      <c r="R14" s="2">
        <v>44294</v>
      </c>
      <c r="S14" s="1" t="s">
        <v>286</v>
      </c>
      <c r="T14">
        <v>0</v>
      </c>
      <c r="U14" t="s">
        <v>36</v>
      </c>
      <c r="V14">
        <v>2</v>
      </c>
      <c r="W14" t="s">
        <v>87</v>
      </c>
      <c r="X14">
        <v>1</v>
      </c>
      <c r="Y14" t="s">
        <v>142</v>
      </c>
      <c r="Z14">
        <v>4</v>
      </c>
      <c r="AA14" t="s">
        <v>95</v>
      </c>
      <c r="AB14">
        <v>4.4000000000000004</v>
      </c>
      <c r="AC14" t="s">
        <v>1003</v>
      </c>
      <c r="AD14">
        <v>0</v>
      </c>
      <c r="AE14" s="2">
        <v>45796</v>
      </c>
      <c r="AF14">
        <v>1</v>
      </c>
      <c r="AG14">
        <v>1</v>
      </c>
    </row>
    <row r="15" spans="1:33">
      <c r="A15">
        <v>10009</v>
      </c>
      <c r="B15" t="s">
        <v>1066</v>
      </c>
      <c r="C15" t="s">
        <v>31</v>
      </c>
      <c r="D15" t="s">
        <v>56</v>
      </c>
      <c r="E15" t="s">
        <v>934</v>
      </c>
      <c r="F15" t="s">
        <v>37</v>
      </c>
      <c r="G15" t="s">
        <v>50</v>
      </c>
      <c r="H15" t="s">
        <v>66</v>
      </c>
      <c r="I15">
        <v>60724</v>
      </c>
      <c r="J15" s="3">
        <v>728688</v>
      </c>
      <c r="K15" s="2">
        <v>31722</v>
      </c>
      <c r="L15" t="s">
        <v>51</v>
      </c>
      <c r="M15" t="s">
        <v>29</v>
      </c>
      <c r="N15">
        <v>1821</v>
      </c>
      <c r="O15" t="s">
        <v>33</v>
      </c>
      <c r="P15" t="s">
        <v>32</v>
      </c>
      <c r="Q15" t="s">
        <v>168</v>
      </c>
      <c r="R15" s="2">
        <v>40729</v>
      </c>
      <c r="S15" s="1" t="s">
        <v>35</v>
      </c>
      <c r="T15">
        <v>0</v>
      </c>
      <c r="U15" t="s">
        <v>36</v>
      </c>
      <c r="V15">
        <v>1</v>
      </c>
      <c r="W15" t="s">
        <v>36</v>
      </c>
      <c r="X15">
        <v>0</v>
      </c>
      <c r="Y15" t="s">
        <v>39</v>
      </c>
      <c r="Z15">
        <v>4</v>
      </c>
      <c r="AA15" t="s">
        <v>40</v>
      </c>
      <c r="AB15">
        <v>4.5999999999999996</v>
      </c>
      <c r="AC15" t="s">
        <v>937</v>
      </c>
      <c r="AD15">
        <v>0</v>
      </c>
      <c r="AE15" s="2">
        <v>43521</v>
      </c>
      <c r="AF15">
        <v>0</v>
      </c>
      <c r="AG15">
        <v>11</v>
      </c>
    </row>
    <row r="16" spans="1:33">
      <c r="A16">
        <v>10009</v>
      </c>
      <c r="B16" t="s">
        <v>1231</v>
      </c>
      <c r="C16" t="s">
        <v>31</v>
      </c>
      <c r="D16" t="s">
        <v>42</v>
      </c>
      <c r="E16" t="s">
        <v>929</v>
      </c>
      <c r="F16" t="s">
        <v>288</v>
      </c>
      <c r="G16" t="s">
        <v>62</v>
      </c>
      <c r="H16" t="s">
        <v>289</v>
      </c>
      <c r="I16">
        <v>40845</v>
      </c>
      <c r="J16" s="3">
        <v>490140</v>
      </c>
      <c r="K16" s="2">
        <v>27422</v>
      </c>
      <c r="L16" t="s">
        <v>264</v>
      </c>
      <c r="M16" t="s">
        <v>29</v>
      </c>
      <c r="N16">
        <v>32846</v>
      </c>
      <c r="O16" t="s">
        <v>73</v>
      </c>
      <c r="P16" t="s">
        <v>32</v>
      </c>
      <c r="Q16" t="s">
        <v>204</v>
      </c>
      <c r="R16" s="2">
        <v>45329</v>
      </c>
      <c r="S16" s="1" t="s">
        <v>35</v>
      </c>
      <c r="T16">
        <v>0</v>
      </c>
      <c r="U16" t="s">
        <v>36</v>
      </c>
      <c r="V16">
        <v>1</v>
      </c>
      <c r="W16" t="s">
        <v>36</v>
      </c>
      <c r="X16">
        <v>0</v>
      </c>
      <c r="Y16" t="s">
        <v>48</v>
      </c>
      <c r="Z16">
        <v>3</v>
      </c>
      <c r="AA16" t="s">
        <v>276</v>
      </c>
      <c r="AB16">
        <v>3.3</v>
      </c>
      <c r="AC16" t="s">
        <v>930</v>
      </c>
      <c r="AD16">
        <v>5</v>
      </c>
      <c r="AE16" s="2">
        <v>45799</v>
      </c>
      <c r="AF16">
        <v>2</v>
      </c>
      <c r="AG16">
        <v>7</v>
      </c>
    </row>
    <row r="17" spans="1:33">
      <c r="A17">
        <v>10010</v>
      </c>
      <c r="B17" t="s">
        <v>116</v>
      </c>
      <c r="C17" t="s">
        <v>31</v>
      </c>
      <c r="D17" t="s">
        <v>31</v>
      </c>
      <c r="E17" t="s">
        <v>934</v>
      </c>
      <c r="F17" t="s">
        <v>46</v>
      </c>
      <c r="G17" t="s">
        <v>263</v>
      </c>
      <c r="H17" t="s">
        <v>107</v>
      </c>
      <c r="I17">
        <v>220450</v>
      </c>
      <c r="J17" s="3">
        <v>2645400</v>
      </c>
      <c r="K17" s="2">
        <v>29097</v>
      </c>
      <c r="L17" t="s">
        <v>51</v>
      </c>
      <c r="M17" t="s">
        <v>29</v>
      </c>
      <c r="N17">
        <v>2067</v>
      </c>
      <c r="O17" t="s">
        <v>33</v>
      </c>
      <c r="P17" t="s">
        <v>32</v>
      </c>
      <c r="Q17" t="s">
        <v>34</v>
      </c>
      <c r="R17" s="2">
        <v>40278</v>
      </c>
      <c r="S17" s="1" t="s">
        <v>35</v>
      </c>
      <c r="T17">
        <v>0</v>
      </c>
      <c r="U17" t="s">
        <v>36</v>
      </c>
      <c r="V17">
        <v>1</v>
      </c>
      <c r="W17" t="s">
        <v>36</v>
      </c>
      <c r="X17">
        <v>0</v>
      </c>
      <c r="Y17" t="s">
        <v>67</v>
      </c>
      <c r="Z17">
        <v>4</v>
      </c>
      <c r="AA17" t="s">
        <v>40</v>
      </c>
      <c r="AB17">
        <v>4.5999999999999996</v>
      </c>
      <c r="AC17" t="s">
        <v>930</v>
      </c>
      <c r="AD17">
        <v>6</v>
      </c>
      <c r="AE17" s="2">
        <v>43517</v>
      </c>
      <c r="AF17">
        <v>0</v>
      </c>
      <c r="AG17">
        <v>16</v>
      </c>
    </row>
    <row r="18" spans="1:33">
      <c r="A18">
        <v>10010</v>
      </c>
      <c r="B18" t="s">
        <v>1232</v>
      </c>
      <c r="C18" t="s">
        <v>42</v>
      </c>
      <c r="D18" t="s">
        <v>42</v>
      </c>
      <c r="E18" t="s">
        <v>934</v>
      </c>
      <c r="F18" t="s">
        <v>271</v>
      </c>
      <c r="G18" t="s">
        <v>269</v>
      </c>
      <c r="H18" t="s">
        <v>291</v>
      </c>
      <c r="I18">
        <v>74799</v>
      </c>
      <c r="J18" s="3">
        <v>897588</v>
      </c>
      <c r="K18" s="2">
        <v>32777</v>
      </c>
      <c r="L18" t="s">
        <v>51</v>
      </c>
      <c r="M18" t="s">
        <v>80</v>
      </c>
      <c r="N18">
        <v>35331</v>
      </c>
      <c r="O18" t="s">
        <v>73</v>
      </c>
      <c r="P18" t="s">
        <v>32</v>
      </c>
      <c r="Q18" t="s">
        <v>160</v>
      </c>
      <c r="R18" s="2">
        <v>42403</v>
      </c>
      <c r="S18" s="1" t="s">
        <v>35</v>
      </c>
      <c r="T18">
        <v>1</v>
      </c>
      <c r="U18" t="s">
        <v>290</v>
      </c>
      <c r="V18">
        <v>2</v>
      </c>
      <c r="W18" t="s">
        <v>45</v>
      </c>
      <c r="X18">
        <v>0</v>
      </c>
      <c r="Y18" t="s">
        <v>48</v>
      </c>
      <c r="Z18">
        <v>4</v>
      </c>
      <c r="AA18" t="s">
        <v>95</v>
      </c>
      <c r="AB18">
        <v>4.8</v>
      </c>
      <c r="AC18" t="s">
        <v>932</v>
      </c>
      <c r="AD18">
        <v>0</v>
      </c>
      <c r="AE18" s="2">
        <v>45848</v>
      </c>
      <c r="AF18">
        <v>1</v>
      </c>
      <c r="AG18">
        <v>7</v>
      </c>
    </row>
    <row r="19" spans="1:33">
      <c r="A19">
        <v>10011</v>
      </c>
      <c r="B19" t="s">
        <v>1233</v>
      </c>
      <c r="C19" t="s">
        <v>42</v>
      </c>
      <c r="D19" t="s">
        <v>42</v>
      </c>
      <c r="E19" t="s">
        <v>934</v>
      </c>
      <c r="F19" t="s">
        <v>283</v>
      </c>
      <c r="G19" t="s">
        <v>62</v>
      </c>
      <c r="H19" t="s">
        <v>292</v>
      </c>
      <c r="I19">
        <v>49658</v>
      </c>
      <c r="J19" s="3">
        <v>595896</v>
      </c>
      <c r="K19" s="2">
        <v>24990</v>
      </c>
      <c r="L19" t="s">
        <v>264</v>
      </c>
      <c r="M19" t="s">
        <v>144</v>
      </c>
      <c r="N19">
        <v>10205</v>
      </c>
      <c r="O19" t="s">
        <v>33</v>
      </c>
      <c r="P19" t="s">
        <v>32</v>
      </c>
      <c r="Q19" t="s">
        <v>204</v>
      </c>
      <c r="R19" s="2">
        <v>44058</v>
      </c>
      <c r="S19" s="1" t="s">
        <v>35</v>
      </c>
      <c r="T19">
        <v>1</v>
      </c>
      <c r="U19" t="s">
        <v>290</v>
      </c>
      <c r="V19">
        <v>1</v>
      </c>
      <c r="W19" t="s">
        <v>87</v>
      </c>
      <c r="X19">
        <v>0</v>
      </c>
      <c r="Y19" t="s">
        <v>142</v>
      </c>
      <c r="Z19">
        <v>3</v>
      </c>
      <c r="AA19" t="s">
        <v>49</v>
      </c>
      <c r="AB19">
        <v>3.1</v>
      </c>
      <c r="AC19" t="s">
        <v>932</v>
      </c>
      <c r="AD19">
        <v>4</v>
      </c>
      <c r="AE19" s="2">
        <v>45637</v>
      </c>
      <c r="AF19">
        <v>4</v>
      </c>
      <c r="AG19">
        <v>2</v>
      </c>
    </row>
    <row r="20" spans="1:33">
      <c r="A20">
        <v>10012</v>
      </c>
      <c r="B20" t="s">
        <v>945</v>
      </c>
      <c r="C20" t="s">
        <v>31</v>
      </c>
      <c r="D20" t="s">
        <v>56</v>
      </c>
      <c r="E20" t="s">
        <v>929</v>
      </c>
      <c r="F20" t="s">
        <v>46</v>
      </c>
      <c r="G20" t="s">
        <v>79</v>
      </c>
      <c r="H20" t="s">
        <v>47</v>
      </c>
      <c r="I20">
        <v>92328</v>
      </c>
      <c r="J20" s="3">
        <v>1107936</v>
      </c>
      <c r="K20" s="2">
        <v>32328</v>
      </c>
      <c r="L20" t="s">
        <v>30</v>
      </c>
      <c r="M20" t="s">
        <v>80</v>
      </c>
      <c r="N20">
        <v>78230</v>
      </c>
      <c r="O20" t="s">
        <v>33</v>
      </c>
      <c r="P20" t="s">
        <v>32</v>
      </c>
      <c r="Q20" t="s">
        <v>68</v>
      </c>
      <c r="R20" s="2">
        <v>41953</v>
      </c>
      <c r="S20" s="1" t="s">
        <v>35</v>
      </c>
      <c r="T20">
        <v>0</v>
      </c>
      <c r="U20" t="s">
        <v>36</v>
      </c>
      <c r="V20">
        <v>1</v>
      </c>
      <c r="W20" t="s">
        <v>36</v>
      </c>
      <c r="X20">
        <v>1</v>
      </c>
      <c r="Y20" t="s">
        <v>70</v>
      </c>
      <c r="Z20">
        <v>4</v>
      </c>
      <c r="AA20" t="s">
        <v>40</v>
      </c>
      <c r="AB20">
        <v>4.28</v>
      </c>
      <c r="AC20" t="s">
        <v>937</v>
      </c>
      <c r="AD20">
        <v>5</v>
      </c>
      <c r="AE20" s="2">
        <v>43521</v>
      </c>
      <c r="AF20">
        <v>0</v>
      </c>
      <c r="AG20">
        <v>9</v>
      </c>
    </row>
    <row r="21" spans="1:33">
      <c r="A21">
        <v>10012</v>
      </c>
      <c r="B21" t="s">
        <v>1234</v>
      </c>
      <c r="C21" t="s">
        <v>31</v>
      </c>
      <c r="D21" t="s">
        <v>31</v>
      </c>
      <c r="E21" t="s">
        <v>929</v>
      </c>
      <c r="F21" t="s">
        <v>288</v>
      </c>
      <c r="G21" t="s">
        <v>269</v>
      </c>
      <c r="H21" t="s">
        <v>293</v>
      </c>
      <c r="I21">
        <v>93103</v>
      </c>
      <c r="J21" s="3">
        <v>1117236</v>
      </c>
      <c r="K21" s="2">
        <v>36591</v>
      </c>
      <c r="L21" t="s">
        <v>51</v>
      </c>
      <c r="M21" t="s">
        <v>191</v>
      </c>
      <c r="N21">
        <v>27893</v>
      </c>
      <c r="O21" t="s">
        <v>33</v>
      </c>
      <c r="P21" t="s">
        <v>32</v>
      </c>
      <c r="Q21" t="s">
        <v>34</v>
      </c>
      <c r="R21" s="2">
        <v>45570</v>
      </c>
      <c r="S21" s="1" t="s">
        <v>35</v>
      </c>
      <c r="T21">
        <v>1</v>
      </c>
      <c r="U21" t="s">
        <v>290</v>
      </c>
      <c r="V21">
        <v>3</v>
      </c>
      <c r="W21" t="s">
        <v>45</v>
      </c>
      <c r="X21">
        <v>0</v>
      </c>
      <c r="Y21" t="s">
        <v>280</v>
      </c>
      <c r="Z21">
        <v>2</v>
      </c>
      <c r="AA21" t="s">
        <v>136</v>
      </c>
      <c r="AB21">
        <v>2.7</v>
      </c>
      <c r="AC21" t="s">
        <v>962</v>
      </c>
      <c r="AD21">
        <v>2</v>
      </c>
      <c r="AE21" s="2">
        <v>45960</v>
      </c>
      <c r="AF21">
        <v>2</v>
      </c>
      <c r="AG21">
        <v>3</v>
      </c>
    </row>
    <row r="22" spans="1:33">
      <c r="A22">
        <v>10013</v>
      </c>
      <c r="B22" t="s">
        <v>1195</v>
      </c>
      <c r="C22" t="s">
        <v>31</v>
      </c>
      <c r="D22" t="s">
        <v>964</v>
      </c>
      <c r="E22" t="s">
        <v>929</v>
      </c>
      <c r="F22" t="s">
        <v>113</v>
      </c>
      <c r="G22" t="s">
        <v>110</v>
      </c>
      <c r="H22" t="s">
        <v>121</v>
      </c>
      <c r="I22">
        <v>64397</v>
      </c>
      <c r="J22" s="3">
        <v>772764</v>
      </c>
      <c r="K22" s="2">
        <v>24852</v>
      </c>
      <c r="L22" t="s">
        <v>30</v>
      </c>
      <c r="M22" t="s">
        <v>247</v>
      </c>
      <c r="N22">
        <v>58782</v>
      </c>
      <c r="O22" t="s">
        <v>33</v>
      </c>
      <c r="P22" t="s">
        <v>32</v>
      </c>
      <c r="Q22" t="s">
        <v>34</v>
      </c>
      <c r="R22" s="2">
        <v>38726</v>
      </c>
      <c r="S22" s="1" t="s">
        <v>35</v>
      </c>
      <c r="T22">
        <v>0</v>
      </c>
      <c r="U22" t="s">
        <v>36</v>
      </c>
      <c r="V22">
        <v>1</v>
      </c>
      <c r="W22" t="s">
        <v>36</v>
      </c>
      <c r="X22">
        <v>0</v>
      </c>
      <c r="Y22" t="s">
        <v>48</v>
      </c>
      <c r="Z22">
        <v>4</v>
      </c>
      <c r="AA22" t="s">
        <v>40</v>
      </c>
      <c r="AB22">
        <v>4.0999999999999996</v>
      </c>
      <c r="AC22" t="s">
        <v>932</v>
      </c>
      <c r="AD22">
        <v>0</v>
      </c>
      <c r="AE22" s="2">
        <v>43469</v>
      </c>
      <c r="AF22">
        <v>0</v>
      </c>
      <c r="AG22">
        <v>6</v>
      </c>
    </row>
    <row r="23" spans="1:33">
      <c r="A23">
        <v>10013</v>
      </c>
      <c r="B23" t="s">
        <v>1235</v>
      </c>
      <c r="C23" t="s">
        <v>42</v>
      </c>
      <c r="D23" t="s">
        <v>31</v>
      </c>
      <c r="E23" t="s">
        <v>929</v>
      </c>
      <c r="F23" t="s">
        <v>274</v>
      </c>
      <c r="G23" t="s">
        <v>294</v>
      </c>
      <c r="H23" t="s">
        <v>296</v>
      </c>
      <c r="I23">
        <v>72400</v>
      </c>
      <c r="J23" s="3">
        <v>868800</v>
      </c>
      <c r="K23" s="2">
        <v>37789</v>
      </c>
      <c r="L23" t="s">
        <v>264</v>
      </c>
      <c r="M23" t="s">
        <v>210</v>
      </c>
      <c r="N23">
        <v>27247</v>
      </c>
      <c r="O23" t="s">
        <v>73</v>
      </c>
      <c r="P23" t="s">
        <v>124</v>
      </c>
      <c r="Q23" t="s">
        <v>160</v>
      </c>
      <c r="R23" s="2">
        <v>44234</v>
      </c>
      <c r="S23" s="1" t="s">
        <v>295</v>
      </c>
      <c r="T23">
        <v>0</v>
      </c>
      <c r="U23" t="s">
        <v>36</v>
      </c>
      <c r="V23">
        <v>1</v>
      </c>
      <c r="W23" t="s">
        <v>45</v>
      </c>
      <c r="X23">
        <v>0</v>
      </c>
      <c r="Y23" t="s">
        <v>142</v>
      </c>
      <c r="Z23">
        <v>4</v>
      </c>
      <c r="AA23" t="s">
        <v>276</v>
      </c>
      <c r="AB23">
        <v>2.6</v>
      </c>
      <c r="AC23" t="s">
        <v>932</v>
      </c>
      <c r="AD23">
        <v>3</v>
      </c>
      <c r="AE23" s="2">
        <v>45779</v>
      </c>
      <c r="AF23">
        <v>0</v>
      </c>
      <c r="AG23">
        <v>4</v>
      </c>
    </row>
    <row r="24" spans="1:33">
      <c r="A24">
        <v>10014</v>
      </c>
      <c r="B24" t="s">
        <v>1202</v>
      </c>
      <c r="C24" t="s">
        <v>31</v>
      </c>
      <c r="D24" t="s">
        <v>56</v>
      </c>
      <c r="E24" t="s">
        <v>929</v>
      </c>
      <c r="F24" t="s">
        <v>37</v>
      </c>
      <c r="G24" t="s">
        <v>28</v>
      </c>
      <c r="H24" t="s">
        <v>54</v>
      </c>
      <c r="I24">
        <v>58523</v>
      </c>
      <c r="J24" s="3">
        <v>702276</v>
      </c>
      <c r="K24" s="2">
        <v>31808</v>
      </c>
      <c r="L24" t="s">
        <v>30</v>
      </c>
      <c r="M24" t="s">
        <v>29</v>
      </c>
      <c r="N24">
        <v>2171</v>
      </c>
      <c r="O24" t="s">
        <v>33</v>
      </c>
      <c r="P24" t="s">
        <v>32</v>
      </c>
      <c r="Q24" t="s">
        <v>34</v>
      </c>
      <c r="R24" s="2">
        <v>41134</v>
      </c>
      <c r="S24" s="1" t="s">
        <v>252</v>
      </c>
      <c r="T24">
        <v>1</v>
      </c>
      <c r="U24" t="s">
        <v>185</v>
      </c>
      <c r="V24">
        <v>5</v>
      </c>
      <c r="W24" t="s">
        <v>45</v>
      </c>
      <c r="X24">
        <v>0</v>
      </c>
      <c r="Y24" t="s">
        <v>39</v>
      </c>
      <c r="Z24">
        <v>4</v>
      </c>
      <c r="AA24" t="s">
        <v>40</v>
      </c>
      <c r="AB24">
        <v>4.5</v>
      </c>
      <c r="AC24" t="s">
        <v>930</v>
      </c>
      <c r="AD24">
        <v>0</v>
      </c>
      <c r="AE24" s="2">
        <v>42401</v>
      </c>
      <c r="AF24">
        <v>0</v>
      </c>
      <c r="AG24">
        <v>15</v>
      </c>
    </row>
    <row r="25" spans="1:33">
      <c r="A25">
        <v>10014</v>
      </c>
      <c r="B25" t="s">
        <v>1236</v>
      </c>
      <c r="C25" t="s">
        <v>31</v>
      </c>
      <c r="D25" t="s">
        <v>31</v>
      </c>
      <c r="E25" t="s">
        <v>929</v>
      </c>
      <c r="F25" t="s">
        <v>283</v>
      </c>
      <c r="G25" t="s">
        <v>28</v>
      </c>
      <c r="H25" t="s">
        <v>297</v>
      </c>
      <c r="I25">
        <v>54680</v>
      </c>
      <c r="J25" s="3">
        <v>656160</v>
      </c>
      <c r="K25" s="2">
        <v>25400</v>
      </c>
      <c r="L25" t="s">
        <v>51</v>
      </c>
      <c r="M25" t="s">
        <v>144</v>
      </c>
      <c r="N25">
        <v>2350</v>
      </c>
      <c r="O25" t="s">
        <v>73</v>
      </c>
      <c r="P25" t="s">
        <v>124</v>
      </c>
      <c r="Q25" t="s">
        <v>204</v>
      </c>
      <c r="R25" s="2">
        <v>43427</v>
      </c>
      <c r="S25" s="1" t="s">
        <v>35</v>
      </c>
      <c r="T25">
        <v>1</v>
      </c>
      <c r="U25" t="s">
        <v>273</v>
      </c>
      <c r="V25">
        <v>1</v>
      </c>
      <c r="W25" t="s">
        <v>87</v>
      </c>
      <c r="X25">
        <v>1</v>
      </c>
      <c r="Y25" t="s">
        <v>48</v>
      </c>
      <c r="Z25">
        <v>2</v>
      </c>
      <c r="AA25" t="s">
        <v>95</v>
      </c>
      <c r="AB25">
        <v>4.3</v>
      </c>
      <c r="AC25" t="s">
        <v>930</v>
      </c>
      <c r="AD25">
        <v>4</v>
      </c>
      <c r="AE25" s="2">
        <v>45725</v>
      </c>
      <c r="AF25">
        <v>2</v>
      </c>
      <c r="AG25">
        <v>10</v>
      </c>
    </row>
    <row r="26" spans="1:33">
      <c r="A26">
        <v>10015</v>
      </c>
      <c r="B26" t="s">
        <v>1024</v>
      </c>
      <c r="C26" t="s">
        <v>31</v>
      </c>
      <c r="D26" t="s">
        <v>31</v>
      </c>
      <c r="E26" t="s">
        <v>929</v>
      </c>
      <c r="F26" t="s">
        <v>46</v>
      </c>
      <c r="G26" t="s">
        <v>157</v>
      </c>
      <c r="H26" t="s">
        <v>116</v>
      </c>
      <c r="I26">
        <v>178000</v>
      </c>
      <c r="J26" s="3">
        <v>2136000</v>
      </c>
      <c r="K26" s="2">
        <v>29407</v>
      </c>
      <c r="L26" t="s">
        <v>30</v>
      </c>
      <c r="M26" t="s">
        <v>29</v>
      </c>
      <c r="N26">
        <v>1460</v>
      </c>
      <c r="O26" t="s">
        <v>33</v>
      </c>
      <c r="P26" t="s">
        <v>32</v>
      </c>
      <c r="Q26" t="s">
        <v>68</v>
      </c>
      <c r="R26" s="2">
        <v>40648</v>
      </c>
      <c r="S26" s="1" t="s">
        <v>35</v>
      </c>
      <c r="T26">
        <v>0</v>
      </c>
      <c r="U26" t="s">
        <v>36</v>
      </c>
      <c r="V26">
        <v>1</v>
      </c>
      <c r="W26" t="s">
        <v>36</v>
      </c>
      <c r="X26">
        <v>0</v>
      </c>
      <c r="Y26" t="s">
        <v>48</v>
      </c>
      <c r="Z26">
        <v>4</v>
      </c>
      <c r="AA26" t="s">
        <v>40</v>
      </c>
      <c r="AB26">
        <v>5</v>
      </c>
      <c r="AC26" t="s">
        <v>930</v>
      </c>
      <c r="AD26">
        <v>5</v>
      </c>
      <c r="AE26" s="2">
        <v>43472</v>
      </c>
      <c r="AF26">
        <v>0</v>
      </c>
      <c r="AG26">
        <v>15</v>
      </c>
    </row>
    <row r="27" spans="1:33">
      <c r="A27">
        <v>10015</v>
      </c>
      <c r="B27" t="s">
        <v>1237</v>
      </c>
      <c r="C27" t="s">
        <v>31</v>
      </c>
      <c r="D27" t="s">
        <v>31</v>
      </c>
      <c r="E27" t="s">
        <v>929</v>
      </c>
      <c r="F27" t="s">
        <v>113</v>
      </c>
      <c r="G27" t="s">
        <v>269</v>
      </c>
      <c r="H27" t="s">
        <v>299</v>
      </c>
      <c r="I27">
        <v>76916</v>
      </c>
      <c r="J27" s="3">
        <v>922992</v>
      </c>
      <c r="K27" s="2">
        <v>34612</v>
      </c>
      <c r="L27" t="s">
        <v>264</v>
      </c>
      <c r="M27" t="s">
        <v>144</v>
      </c>
      <c r="N27">
        <v>47880</v>
      </c>
      <c r="O27" t="s">
        <v>73</v>
      </c>
      <c r="P27" t="s">
        <v>32</v>
      </c>
      <c r="Q27" t="s">
        <v>204</v>
      </c>
      <c r="R27" s="2">
        <v>42355</v>
      </c>
      <c r="S27" s="1" t="s">
        <v>35</v>
      </c>
      <c r="T27">
        <v>0</v>
      </c>
      <c r="U27" t="s">
        <v>36</v>
      </c>
      <c r="V27">
        <v>1</v>
      </c>
      <c r="W27" t="s">
        <v>87</v>
      </c>
      <c r="X27">
        <v>1</v>
      </c>
      <c r="Y27" t="s">
        <v>48</v>
      </c>
      <c r="Z27">
        <v>2</v>
      </c>
      <c r="AA27" t="s">
        <v>276</v>
      </c>
      <c r="AB27">
        <v>5</v>
      </c>
      <c r="AC27" t="s">
        <v>930</v>
      </c>
      <c r="AD27">
        <v>2</v>
      </c>
      <c r="AE27" s="2">
        <v>45746</v>
      </c>
      <c r="AF27">
        <v>4</v>
      </c>
      <c r="AG27">
        <v>3</v>
      </c>
    </row>
    <row r="28" spans="1:33">
      <c r="A28">
        <v>10016</v>
      </c>
      <c r="B28" t="s">
        <v>1139</v>
      </c>
      <c r="C28" t="s">
        <v>42</v>
      </c>
      <c r="D28" t="s">
        <v>42</v>
      </c>
      <c r="E28" t="s">
        <v>934</v>
      </c>
      <c r="F28" t="s">
        <v>46</v>
      </c>
      <c r="G28" t="s">
        <v>79</v>
      </c>
      <c r="H28" t="s">
        <v>47</v>
      </c>
      <c r="I28">
        <v>93554</v>
      </c>
      <c r="J28" s="3">
        <v>1122648</v>
      </c>
      <c r="K28" s="2">
        <v>30941</v>
      </c>
      <c r="L28" t="s">
        <v>51</v>
      </c>
      <c r="M28" t="s">
        <v>29</v>
      </c>
      <c r="N28">
        <v>1886</v>
      </c>
      <c r="O28" t="s">
        <v>33</v>
      </c>
      <c r="P28" t="s">
        <v>32</v>
      </c>
      <c r="Q28" t="s">
        <v>68</v>
      </c>
      <c r="R28" s="2">
        <v>41953</v>
      </c>
      <c r="S28" s="1" t="s">
        <v>35</v>
      </c>
      <c r="T28">
        <v>0</v>
      </c>
      <c r="U28" t="s">
        <v>36</v>
      </c>
      <c r="V28">
        <v>1</v>
      </c>
      <c r="W28" t="s">
        <v>36</v>
      </c>
      <c r="X28">
        <v>0</v>
      </c>
      <c r="Y28" t="s">
        <v>67</v>
      </c>
      <c r="Z28">
        <v>4</v>
      </c>
      <c r="AA28" t="s">
        <v>40</v>
      </c>
      <c r="AB28">
        <v>4.5999999999999996</v>
      </c>
      <c r="AC28" t="s">
        <v>930</v>
      </c>
      <c r="AD28">
        <v>7</v>
      </c>
      <c r="AE28" s="2">
        <v>43469</v>
      </c>
      <c r="AF28">
        <v>0</v>
      </c>
      <c r="AG28">
        <v>16</v>
      </c>
    </row>
    <row r="29" spans="1:33">
      <c r="A29">
        <v>10016</v>
      </c>
      <c r="B29" t="s">
        <v>1238</v>
      </c>
      <c r="C29" t="s">
        <v>42</v>
      </c>
      <c r="D29" t="s">
        <v>42</v>
      </c>
      <c r="E29" t="s">
        <v>934</v>
      </c>
      <c r="F29" t="s">
        <v>278</v>
      </c>
      <c r="G29" t="s">
        <v>269</v>
      </c>
      <c r="H29" t="s">
        <v>300</v>
      </c>
      <c r="I29">
        <v>69480</v>
      </c>
      <c r="J29" s="3">
        <v>833760</v>
      </c>
      <c r="K29" s="2">
        <v>30076</v>
      </c>
      <c r="L29" t="s">
        <v>51</v>
      </c>
      <c r="M29" t="s">
        <v>80</v>
      </c>
      <c r="N29">
        <v>67353</v>
      </c>
      <c r="O29" t="s">
        <v>73</v>
      </c>
      <c r="P29" t="s">
        <v>32</v>
      </c>
      <c r="Q29" t="s">
        <v>34</v>
      </c>
      <c r="R29" s="2">
        <v>45707</v>
      </c>
      <c r="S29" s="1" t="s">
        <v>35</v>
      </c>
      <c r="T29">
        <v>0</v>
      </c>
      <c r="U29" t="s">
        <v>36</v>
      </c>
      <c r="V29">
        <v>3</v>
      </c>
      <c r="W29" t="s">
        <v>87</v>
      </c>
      <c r="X29">
        <v>0</v>
      </c>
      <c r="Y29" t="s">
        <v>39</v>
      </c>
      <c r="Z29">
        <v>4</v>
      </c>
      <c r="AA29" t="s">
        <v>49</v>
      </c>
      <c r="AB29">
        <v>3.7</v>
      </c>
      <c r="AC29" t="s">
        <v>932</v>
      </c>
      <c r="AD29">
        <v>0</v>
      </c>
      <c r="AE29" s="2">
        <v>45674</v>
      </c>
      <c r="AF29">
        <v>2</v>
      </c>
      <c r="AG29">
        <v>1</v>
      </c>
    </row>
    <row r="30" spans="1:33">
      <c r="A30">
        <v>10017</v>
      </c>
      <c r="B30" t="s">
        <v>66</v>
      </c>
      <c r="C30" t="s">
        <v>42</v>
      </c>
      <c r="D30" t="s">
        <v>42</v>
      </c>
      <c r="E30" t="s">
        <v>934</v>
      </c>
      <c r="F30" t="s">
        <v>37</v>
      </c>
      <c r="G30" t="s">
        <v>104</v>
      </c>
      <c r="H30" t="s">
        <v>107</v>
      </c>
      <c r="I30">
        <v>77915</v>
      </c>
      <c r="J30" s="3">
        <v>934980</v>
      </c>
      <c r="K30" s="2">
        <v>29885</v>
      </c>
      <c r="L30" t="s">
        <v>51</v>
      </c>
      <c r="M30" t="s">
        <v>29</v>
      </c>
      <c r="N30">
        <v>2110</v>
      </c>
      <c r="O30" t="s">
        <v>33</v>
      </c>
      <c r="P30" t="s">
        <v>32</v>
      </c>
      <c r="Q30" t="s">
        <v>34</v>
      </c>
      <c r="R30" s="2">
        <v>41547</v>
      </c>
      <c r="S30" s="1" t="s">
        <v>35</v>
      </c>
      <c r="T30">
        <v>0</v>
      </c>
      <c r="U30" t="s">
        <v>36</v>
      </c>
      <c r="V30">
        <v>1</v>
      </c>
      <c r="W30" t="s">
        <v>36</v>
      </c>
      <c r="X30">
        <v>0</v>
      </c>
      <c r="Y30" t="s">
        <v>142</v>
      </c>
      <c r="Z30">
        <v>4</v>
      </c>
      <c r="AA30" t="s">
        <v>40</v>
      </c>
      <c r="AB30">
        <v>4.0999999999999996</v>
      </c>
      <c r="AC30" t="s">
        <v>932</v>
      </c>
      <c r="AD30">
        <v>0</v>
      </c>
      <c r="AE30" s="2">
        <v>43486</v>
      </c>
      <c r="AF30">
        <v>0</v>
      </c>
      <c r="AG30">
        <v>11</v>
      </c>
    </row>
    <row r="31" spans="1:33">
      <c r="A31">
        <v>10017</v>
      </c>
      <c r="B31" t="s">
        <v>1239</v>
      </c>
      <c r="C31" t="s">
        <v>42</v>
      </c>
      <c r="D31" t="s">
        <v>56</v>
      </c>
      <c r="E31" t="s">
        <v>929</v>
      </c>
      <c r="F31" t="s">
        <v>271</v>
      </c>
      <c r="G31" t="s">
        <v>269</v>
      </c>
      <c r="H31" t="s">
        <v>301</v>
      </c>
      <c r="I31">
        <v>74100</v>
      </c>
      <c r="J31" s="3">
        <v>889200</v>
      </c>
      <c r="K31" s="2">
        <v>27723</v>
      </c>
      <c r="L31" t="s">
        <v>51</v>
      </c>
      <c r="M31" t="s">
        <v>29</v>
      </c>
      <c r="N31">
        <v>58601</v>
      </c>
      <c r="O31" t="s">
        <v>33</v>
      </c>
      <c r="P31" t="s">
        <v>32</v>
      </c>
      <c r="Q31" t="s">
        <v>160</v>
      </c>
      <c r="R31" s="2">
        <v>42829</v>
      </c>
      <c r="S31" s="1" t="s">
        <v>35</v>
      </c>
      <c r="T31">
        <v>1</v>
      </c>
      <c r="U31" t="s">
        <v>266</v>
      </c>
      <c r="V31">
        <v>2</v>
      </c>
      <c r="W31" t="s">
        <v>45</v>
      </c>
      <c r="X31">
        <v>1</v>
      </c>
      <c r="Y31" t="s">
        <v>280</v>
      </c>
      <c r="Z31">
        <v>4</v>
      </c>
      <c r="AA31" t="s">
        <v>49</v>
      </c>
      <c r="AB31">
        <v>4.8</v>
      </c>
      <c r="AC31" t="s">
        <v>930</v>
      </c>
      <c r="AD31">
        <v>1</v>
      </c>
      <c r="AE31" s="2">
        <v>45651</v>
      </c>
      <c r="AF31">
        <v>1</v>
      </c>
      <c r="AG31">
        <v>3</v>
      </c>
    </row>
    <row r="32" spans="1:33">
      <c r="A32">
        <v>10018</v>
      </c>
      <c r="B32" t="s">
        <v>1034</v>
      </c>
      <c r="C32" t="s">
        <v>31</v>
      </c>
      <c r="D32" t="s">
        <v>31</v>
      </c>
      <c r="E32" t="s">
        <v>934</v>
      </c>
      <c r="F32" t="s">
        <v>37</v>
      </c>
      <c r="G32" t="s">
        <v>28</v>
      </c>
      <c r="H32" t="s">
        <v>61</v>
      </c>
      <c r="I32">
        <v>57815</v>
      </c>
      <c r="J32" s="3">
        <v>693780</v>
      </c>
      <c r="K32" s="2">
        <v>29349</v>
      </c>
      <c r="L32" t="s">
        <v>51</v>
      </c>
      <c r="M32" t="s">
        <v>29</v>
      </c>
      <c r="N32">
        <v>2451</v>
      </c>
      <c r="O32" t="s">
        <v>73</v>
      </c>
      <c r="P32" t="s">
        <v>32</v>
      </c>
      <c r="Q32" t="s">
        <v>81</v>
      </c>
      <c r="R32" s="2">
        <v>41911</v>
      </c>
      <c r="S32" s="1" t="s">
        <v>35</v>
      </c>
      <c r="T32">
        <v>0</v>
      </c>
      <c r="U32" t="s">
        <v>36</v>
      </c>
      <c r="V32">
        <v>1</v>
      </c>
      <c r="W32" t="s">
        <v>36</v>
      </c>
      <c r="X32">
        <v>0</v>
      </c>
      <c r="Y32" t="s">
        <v>48</v>
      </c>
      <c r="Z32">
        <v>4</v>
      </c>
      <c r="AA32" t="s">
        <v>40</v>
      </c>
      <c r="AB32">
        <v>3.9</v>
      </c>
      <c r="AC32" t="s">
        <v>937</v>
      </c>
      <c r="AD32">
        <v>0</v>
      </c>
      <c r="AE32" s="2">
        <v>43503</v>
      </c>
      <c r="AF32">
        <v>0</v>
      </c>
      <c r="AG32">
        <v>3</v>
      </c>
    </row>
    <row r="33" spans="1:33">
      <c r="A33">
        <v>10018</v>
      </c>
      <c r="B33" t="s">
        <v>1240</v>
      </c>
      <c r="C33" t="s">
        <v>42</v>
      </c>
      <c r="D33" t="s">
        <v>42</v>
      </c>
      <c r="E33" t="s">
        <v>934</v>
      </c>
      <c r="F33" t="s">
        <v>271</v>
      </c>
      <c r="G33" t="s">
        <v>62</v>
      </c>
      <c r="H33" t="s">
        <v>302</v>
      </c>
      <c r="I33">
        <v>93999</v>
      </c>
      <c r="J33" s="3">
        <v>1127988</v>
      </c>
      <c r="K33" s="2">
        <v>26109</v>
      </c>
      <c r="L33" t="s">
        <v>264</v>
      </c>
      <c r="M33" t="s">
        <v>191</v>
      </c>
      <c r="N33">
        <v>61388</v>
      </c>
      <c r="O33" t="s">
        <v>33</v>
      </c>
      <c r="P33" t="s">
        <v>32</v>
      </c>
      <c r="Q33" t="s">
        <v>160</v>
      </c>
      <c r="R33" s="2">
        <v>45935</v>
      </c>
      <c r="S33" s="1" t="s">
        <v>35</v>
      </c>
      <c r="T33">
        <v>1</v>
      </c>
      <c r="U33" t="s">
        <v>266</v>
      </c>
      <c r="V33">
        <v>3</v>
      </c>
      <c r="W33" t="s">
        <v>45</v>
      </c>
      <c r="X33">
        <v>0</v>
      </c>
      <c r="Y33" t="s">
        <v>280</v>
      </c>
      <c r="Z33">
        <v>3</v>
      </c>
      <c r="AA33" t="s">
        <v>95</v>
      </c>
      <c r="AB33">
        <v>4.9000000000000004</v>
      </c>
      <c r="AC33" t="s">
        <v>930</v>
      </c>
      <c r="AD33">
        <v>5</v>
      </c>
      <c r="AE33" s="2">
        <v>45869</v>
      </c>
      <c r="AF33">
        <v>4</v>
      </c>
      <c r="AG33">
        <v>7</v>
      </c>
    </row>
    <row r="34" spans="1:33">
      <c r="A34">
        <v>10019</v>
      </c>
      <c r="B34" t="s">
        <v>986</v>
      </c>
      <c r="C34" t="s">
        <v>31</v>
      </c>
      <c r="D34" t="s">
        <v>31</v>
      </c>
      <c r="E34" t="s">
        <v>929</v>
      </c>
      <c r="F34" t="s">
        <v>37</v>
      </c>
      <c r="G34" t="s">
        <v>130</v>
      </c>
      <c r="H34" t="s">
        <v>107</v>
      </c>
      <c r="I34">
        <v>170500</v>
      </c>
      <c r="J34" s="3">
        <v>2046000</v>
      </c>
      <c r="K34" s="2">
        <v>30394</v>
      </c>
      <c r="L34" t="s">
        <v>30</v>
      </c>
      <c r="M34" t="s">
        <v>29</v>
      </c>
      <c r="N34">
        <v>2030</v>
      </c>
      <c r="O34" t="s">
        <v>33</v>
      </c>
      <c r="P34" t="s">
        <v>32</v>
      </c>
      <c r="Q34" t="s">
        <v>68</v>
      </c>
      <c r="R34" s="2">
        <v>39818</v>
      </c>
      <c r="S34" s="1" t="s">
        <v>35</v>
      </c>
      <c r="T34">
        <v>0</v>
      </c>
      <c r="U34" t="s">
        <v>36</v>
      </c>
      <c r="V34">
        <v>1</v>
      </c>
      <c r="W34" t="s">
        <v>36</v>
      </c>
      <c r="X34">
        <v>0</v>
      </c>
      <c r="Y34" t="s">
        <v>48</v>
      </c>
      <c r="Z34">
        <v>4</v>
      </c>
      <c r="AA34" t="s">
        <v>40</v>
      </c>
      <c r="AB34">
        <v>3.7</v>
      </c>
      <c r="AC34" t="s">
        <v>930</v>
      </c>
      <c r="AD34">
        <v>0</v>
      </c>
      <c r="AE34" s="2">
        <v>43500</v>
      </c>
      <c r="AF34">
        <v>0</v>
      </c>
      <c r="AG34">
        <v>15</v>
      </c>
    </row>
    <row r="35" spans="1:33">
      <c r="A35">
        <v>10019</v>
      </c>
      <c r="B35" t="s">
        <v>1241</v>
      </c>
      <c r="C35" t="s">
        <v>31</v>
      </c>
      <c r="D35" t="s">
        <v>56</v>
      </c>
      <c r="E35" t="s">
        <v>929</v>
      </c>
      <c r="F35" t="s">
        <v>274</v>
      </c>
      <c r="G35" t="s">
        <v>294</v>
      </c>
      <c r="H35" t="s">
        <v>303</v>
      </c>
      <c r="I35">
        <v>34551</v>
      </c>
      <c r="J35" s="3">
        <v>414612</v>
      </c>
      <c r="K35" s="2">
        <v>28760</v>
      </c>
      <c r="L35" t="s">
        <v>51</v>
      </c>
      <c r="M35" t="s">
        <v>29</v>
      </c>
      <c r="N35">
        <v>94035</v>
      </c>
      <c r="O35" t="s">
        <v>33</v>
      </c>
      <c r="P35" t="s">
        <v>32</v>
      </c>
      <c r="Q35" t="s">
        <v>270</v>
      </c>
      <c r="R35" s="2">
        <v>43953</v>
      </c>
      <c r="S35" s="1" t="s">
        <v>35</v>
      </c>
      <c r="T35">
        <v>0</v>
      </c>
      <c r="U35" t="s">
        <v>36</v>
      </c>
      <c r="V35">
        <v>3</v>
      </c>
      <c r="W35" t="s">
        <v>36</v>
      </c>
      <c r="X35">
        <v>1</v>
      </c>
      <c r="Y35" t="s">
        <v>268</v>
      </c>
      <c r="Z35">
        <v>4</v>
      </c>
      <c r="AA35" t="s">
        <v>49</v>
      </c>
      <c r="AB35">
        <v>3.3</v>
      </c>
      <c r="AC35" t="s">
        <v>930</v>
      </c>
      <c r="AD35">
        <v>4</v>
      </c>
      <c r="AE35" s="2">
        <v>45674</v>
      </c>
      <c r="AF35">
        <v>4</v>
      </c>
      <c r="AG35">
        <v>3</v>
      </c>
    </row>
    <row r="36" spans="1:33">
      <c r="A36">
        <v>10020</v>
      </c>
      <c r="B36" t="s">
        <v>1155</v>
      </c>
      <c r="C36" t="s">
        <v>31</v>
      </c>
      <c r="D36" t="s">
        <v>65</v>
      </c>
      <c r="E36" t="s">
        <v>929</v>
      </c>
      <c r="F36" t="s">
        <v>37</v>
      </c>
      <c r="G36" t="s">
        <v>28</v>
      </c>
      <c r="H36" t="s">
        <v>69</v>
      </c>
      <c r="I36">
        <v>63353</v>
      </c>
      <c r="J36" s="3">
        <v>760236</v>
      </c>
      <c r="K36" s="2">
        <v>31075</v>
      </c>
      <c r="L36" t="s">
        <v>30</v>
      </c>
      <c r="M36" t="s">
        <v>29</v>
      </c>
      <c r="N36">
        <v>1730</v>
      </c>
      <c r="O36" t="s">
        <v>33</v>
      </c>
      <c r="P36" t="s">
        <v>32</v>
      </c>
      <c r="Q36" t="s">
        <v>34</v>
      </c>
      <c r="R36" s="2">
        <v>41463</v>
      </c>
      <c r="S36" s="1" t="s">
        <v>35</v>
      </c>
      <c r="T36">
        <v>0</v>
      </c>
      <c r="U36" t="s">
        <v>36</v>
      </c>
      <c r="V36">
        <v>1</v>
      </c>
      <c r="W36" t="s">
        <v>36</v>
      </c>
      <c r="X36">
        <v>0</v>
      </c>
      <c r="Y36" t="s">
        <v>67</v>
      </c>
      <c r="Z36">
        <v>4</v>
      </c>
      <c r="AA36" t="s">
        <v>40</v>
      </c>
      <c r="AB36">
        <v>3.6</v>
      </c>
      <c r="AC36" t="s">
        <v>930</v>
      </c>
      <c r="AD36">
        <v>0</v>
      </c>
      <c r="AE36" s="2">
        <v>43507</v>
      </c>
      <c r="AF36">
        <v>0</v>
      </c>
      <c r="AG36">
        <v>4</v>
      </c>
    </row>
    <row r="37" spans="1:33">
      <c r="A37">
        <v>10020</v>
      </c>
      <c r="B37" t="s">
        <v>1242</v>
      </c>
      <c r="C37" t="s">
        <v>31</v>
      </c>
      <c r="D37" t="s">
        <v>56</v>
      </c>
      <c r="E37" t="s">
        <v>929</v>
      </c>
      <c r="F37" t="s">
        <v>278</v>
      </c>
      <c r="G37" t="s">
        <v>277</v>
      </c>
      <c r="H37" t="s">
        <v>304</v>
      </c>
      <c r="I37">
        <v>63841</v>
      </c>
      <c r="J37" s="3">
        <v>766092</v>
      </c>
      <c r="K37" s="2">
        <v>29678</v>
      </c>
      <c r="L37" t="s">
        <v>264</v>
      </c>
      <c r="M37" t="s">
        <v>80</v>
      </c>
      <c r="N37">
        <v>41938</v>
      </c>
      <c r="O37" t="s">
        <v>33</v>
      </c>
      <c r="P37" t="s">
        <v>32</v>
      </c>
      <c r="Q37" t="s">
        <v>92</v>
      </c>
      <c r="R37" s="2">
        <v>44186</v>
      </c>
      <c r="S37" s="1" t="s">
        <v>35</v>
      </c>
      <c r="T37">
        <v>1</v>
      </c>
      <c r="U37" t="s">
        <v>298</v>
      </c>
      <c r="V37">
        <v>3</v>
      </c>
      <c r="W37" t="s">
        <v>45</v>
      </c>
      <c r="X37">
        <v>0</v>
      </c>
      <c r="Y37" t="s">
        <v>268</v>
      </c>
      <c r="Z37">
        <v>3</v>
      </c>
      <c r="AA37" t="s">
        <v>276</v>
      </c>
      <c r="AB37">
        <v>2.7</v>
      </c>
      <c r="AC37" t="s">
        <v>937</v>
      </c>
      <c r="AD37">
        <v>2</v>
      </c>
      <c r="AE37" s="2">
        <v>45817</v>
      </c>
      <c r="AF37">
        <v>3</v>
      </c>
      <c r="AG37">
        <v>3</v>
      </c>
    </row>
    <row r="38" spans="1:33">
      <c r="A38">
        <v>10021</v>
      </c>
      <c r="B38" t="s">
        <v>1127</v>
      </c>
      <c r="C38" t="s">
        <v>42</v>
      </c>
      <c r="D38" t="s">
        <v>42</v>
      </c>
      <c r="E38" t="s">
        <v>929</v>
      </c>
      <c r="F38" t="s">
        <v>37</v>
      </c>
      <c r="G38" t="s">
        <v>28</v>
      </c>
      <c r="H38" t="s">
        <v>82</v>
      </c>
      <c r="I38">
        <v>47414</v>
      </c>
      <c r="J38" s="3">
        <v>568968</v>
      </c>
      <c r="K38" s="2">
        <v>28105</v>
      </c>
      <c r="L38" t="s">
        <v>30</v>
      </c>
      <c r="M38" t="s">
        <v>29</v>
      </c>
      <c r="N38">
        <v>2478</v>
      </c>
      <c r="O38" t="s">
        <v>33</v>
      </c>
      <c r="P38" t="s">
        <v>32</v>
      </c>
      <c r="Q38" t="s">
        <v>34</v>
      </c>
      <c r="R38" s="2">
        <v>41547</v>
      </c>
      <c r="S38" s="1" t="s">
        <v>35</v>
      </c>
      <c r="T38">
        <v>0</v>
      </c>
      <c r="U38" t="s">
        <v>36</v>
      </c>
      <c r="V38">
        <v>1</v>
      </c>
      <c r="W38" t="s">
        <v>36</v>
      </c>
      <c r="X38">
        <v>0</v>
      </c>
      <c r="Y38" t="s">
        <v>39</v>
      </c>
      <c r="Z38">
        <v>4</v>
      </c>
      <c r="AA38" t="s">
        <v>40</v>
      </c>
      <c r="AB38">
        <v>5</v>
      </c>
      <c r="AC38" t="s">
        <v>932</v>
      </c>
      <c r="AD38">
        <v>0</v>
      </c>
      <c r="AE38" s="2">
        <v>43503</v>
      </c>
      <c r="AF38">
        <v>0</v>
      </c>
      <c r="AG38">
        <v>13</v>
      </c>
    </row>
    <row r="39" spans="1:33">
      <c r="A39">
        <v>10021</v>
      </c>
      <c r="B39" t="s">
        <v>1243</v>
      </c>
      <c r="C39" t="s">
        <v>31</v>
      </c>
      <c r="D39" t="s">
        <v>31</v>
      </c>
      <c r="E39" t="s">
        <v>929</v>
      </c>
      <c r="F39" t="s">
        <v>113</v>
      </c>
      <c r="G39" t="s">
        <v>28</v>
      </c>
      <c r="H39" t="s">
        <v>305</v>
      </c>
      <c r="I39">
        <v>103343</v>
      </c>
      <c r="J39" s="3">
        <v>1240116</v>
      </c>
      <c r="K39" s="2">
        <v>33532</v>
      </c>
      <c r="L39" t="s">
        <v>264</v>
      </c>
      <c r="M39" t="s">
        <v>210</v>
      </c>
      <c r="N39">
        <v>14766</v>
      </c>
      <c r="O39" t="s">
        <v>33</v>
      </c>
      <c r="P39" t="s">
        <v>124</v>
      </c>
      <c r="Q39" t="s">
        <v>92</v>
      </c>
      <c r="R39" s="2">
        <v>45662</v>
      </c>
      <c r="S39" s="1" t="s">
        <v>35</v>
      </c>
      <c r="T39">
        <v>0</v>
      </c>
      <c r="U39" t="s">
        <v>36</v>
      </c>
      <c r="V39">
        <v>1</v>
      </c>
      <c r="W39" t="s">
        <v>36</v>
      </c>
      <c r="X39">
        <v>1</v>
      </c>
      <c r="Y39" t="s">
        <v>48</v>
      </c>
      <c r="Z39">
        <v>3</v>
      </c>
      <c r="AA39" t="s">
        <v>136</v>
      </c>
      <c r="AB39">
        <v>3.9</v>
      </c>
      <c r="AC39" t="s">
        <v>937</v>
      </c>
      <c r="AD39">
        <v>5</v>
      </c>
      <c r="AE39" s="2">
        <v>45484</v>
      </c>
      <c r="AF39">
        <v>3</v>
      </c>
      <c r="AG39">
        <v>1</v>
      </c>
    </row>
    <row r="40" spans="1:33">
      <c r="A40">
        <v>10022</v>
      </c>
      <c r="B40" t="s">
        <v>1206</v>
      </c>
      <c r="C40" t="s">
        <v>42</v>
      </c>
      <c r="D40" t="s">
        <v>42</v>
      </c>
      <c r="E40" t="s">
        <v>934</v>
      </c>
      <c r="F40" t="s">
        <v>37</v>
      </c>
      <c r="G40" t="s">
        <v>28</v>
      </c>
      <c r="H40" t="s">
        <v>82</v>
      </c>
      <c r="I40">
        <v>49773</v>
      </c>
      <c r="J40" s="3">
        <v>597276</v>
      </c>
      <c r="K40" s="2">
        <v>31566</v>
      </c>
      <c r="L40" t="s">
        <v>51</v>
      </c>
      <c r="M40" t="s">
        <v>29</v>
      </c>
      <c r="N40">
        <v>2747</v>
      </c>
      <c r="O40" t="s">
        <v>33</v>
      </c>
      <c r="P40" t="s">
        <v>32</v>
      </c>
      <c r="Q40" t="s">
        <v>34</v>
      </c>
      <c r="R40" s="2">
        <v>40812</v>
      </c>
      <c r="S40" s="1" t="s">
        <v>255</v>
      </c>
      <c r="T40">
        <v>1</v>
      </c>
      <c r="U40" t="s">
        <v>256</v>
      </c>
      <c r="V40">
        <v>4</v>
      </c>
      <c r="W40" t="s">
        <v>87</v>
      </c>
      <c r="X40">
        <v>0</v>
      </c>
      <c r="Y40" t="s">
        <v>60</v>
      </c>
      <c r="Z40">
        <v>4</v>
      </c>
      <c r="AA40" t="s">
        <v>40</v>
      </c>
      <c r="AB40">
        <v>4.3</v>
      </c>
      <c r="AC40" t="s">
        <v>930</v>
      </c>
      <c r="AD40">
        <v>0</v>
      </c>
      <c r="AE40" s="2">
        <v>42036</v>
      </c>
      <c r="AF40">
        <v>0</v>
      </c>
      <c r="AG40">
        <v>18</v>
      </c>
    </row>
    <row r="41" spans="1:33">
      <c r="A41">
        <v>10022</v>
      </c>
      <c r="B41" t="s">
        <v>1244</v>
      </c>
      <c r="C41" t="s">
        <v>31</v>
      </c>
      <c r="D41" t="s">
        <v>56</v>
      </c>
      <c r="E41" t="s">
        <v>929</v>
      </c>
      <c r="F41" t="s">
        <v>271</v>
      </c>
      <c r="G41" t="s">
        <v>277</v>
      </c>
      <c r="H41" t="s">
        <v>306</v>
      </c>
      <c r="I41">
        <v>90755</v>
      </c>
      <c r="J41" s="3">
        <v>1089060</v>
      </c>
      <c r="K41" s="2">
        <v>33249</v>
      </c>
      <c r="L41" t="s">
        <v>51</v>
      </c>
      <c r="M41" t="s">
        <v>144</v>
      </c>
      <c r="N41">
        <v>68533</v>
      </c>
      <c r="O41" t="s">
        <v>73</v>
      </c>
      <c r="P41" t="s">
        <v>32</v>
      </c>
      <c r="Q41" t="s">
        <v>160</v>
      </c>
      <c r="R41" s="2">
        <v>44487</v>
      </c>
      <c r="S41" s="1" t="s">
        <v>35</v>
      </c>
      <c r="T41">
        <v>0</v>
      </c>
      <c r="U41" t="s">
        <v>36</v>
      </c>
      <c r="V41">
        <v>3</v>
      </c>
      <c r="W41" t="s">
        <v>45</v>
      </c>
      <c r="X41">
        <v>1</v>
      </c>
      <c r="Y41" t="s">
        <v>268</v>
      </c>
      <c r="Z41">
        <v>3</v>
      </c>
      <c r="AA41" t="s">
        <v>49</v>
      </c>
      <c r="AB41">
        <v>2.8</v>
      </c>
      <c r="AC41" t="s">
        <v>930</v>
      </c>
      <c r="AD41">
        <v>1</v>
      </c>
      <c r="AE41" s="2">
        <v>45706</v>
      </c>
      <c r="AF41">
        <v>1</v>
      </c>
      <c r="AG41">
        <v>4</v>
      </c>
    </row>
    <row r="42" spans="1:33">
      <c r="A42">
        <v>10023</v>
      </c>
      <c r="B42" t="s">
        <v>949</v>
      </c>
      <c r="C42" t="s">
        <v>42</v>
      </c>
      <c r="D42" t="s">
        <v>42</v>
      </c>
      <c r="E42" t="s">
        <v>934</v>
      </c>
      <c r="F42" t="s">
        <v>37</v>
      </c>
      <c r="G42" t="s">
        <v>50</v>
      </c>
      <c r="H42" t="s">
        <v>82</v>
      </c>
      <c r="I42">
        <v>70131</v>
      </c>
      <c r="J42" s="3">
        <v>841572</v>
      </c>
      <c r="K42" s="2">
        <v>24214</v>
      </c>
      <c r="L42" t="s">
        <v>51</v>
      </c>
      <c r="M42" t="s">
        <v>29</v>
      </c>
      <c r="N42">
        <v>2145</v>
      </c>
      <c r="O42" t="s">
        <v>33</v>
      </c>
      <c r="P42" t="s">
        <v>32</v>
      </c>
      <c r="Q42" t="s">
        <v>34</v>
      </c>
      <c r="R42" s="2">
        <v>42572</v>
      </c>
      <c r="S42" s="1" t="s">
        <v>35</v>
      </c>
      <c r="T42">
        <v>0</v>
      </c>
      <c r="U42" t="s">
        <v>36</v>
      </c>
      <c r="V42">
        <v>2</v>
      </c>
      <c r="W42" t="s">
        <v>36</v>
      </c>
      <c r="X42">
        <v>0</v>
      </c>
      <c r="Y42" t="s">
        <v>67</v>
      </c>
      <c r="Z42">
        <v>4</v>
      </c>
      <c r="AA42" t="s">
        <v>40</v>
      </c>
      <c r="AB42">
        <v>4.4000000000000004</v>
      </c>
      <c r="AC42" t="s">
        <v>932</v>
      </c>
      <c r="AD42">
        <v>0</v>
      </c>
      <c r="AE42" s="2">
        <v>43479</v>
      </c>
      <c r="AF42">
        <v>0</v>
      </c>
      <c r="AG42">
        <v>16</v>
      </c>
    </row>
    <row r="43" spans="1:33">
      <c r="A43">
        <v>10023</v>
      </c>
      <c r="B43" t="s">
        <v>1245</v>
      </c>
      <c r="C43" t="s">
        <v>31</v>
      </c>
      <c r="D43" t="s">
        <v>56</v>
      </c>
      <c r="E43" t="s">
        <v>934</v>
      </c>
      <c r="F43" t="s">
        <v>274</v>
      </c>
      <c r="G43" t="s">
        <v>294</v>
      </c>
      <c r="H43" t="s">
        <v>307</v>
      </c>
      <c r="I43">
        <v>99192</v>
      </c>
      <c r="J43" s="3">
        <v>1190304</v>
      </c>
      <c r="K43" s="2">
        <v>31855</v>
      </c>
      <c r="L43" t="s">
        <v>264</v>
      </c>
      <c r="M43" t="s">
        <v>210</v>
      </c>
      <c r="N43">
        <v>18832</v>
      </c>
      <c r="O43" t="s">
        <v>73</v>
      </c>
      <c r="P43" t="s">
        <v>124</v>
      </c>
      <c r="Q43" t="s">
        <v>34</v>
      </c>
      <c r="R43" s="2">
        <v>43669</v>
      </c>
      <c r="S43" s="1" t="s">
        <v>35</v>
      </c>
      <c r="T43">
        <v>0</v>
      </c>
      <c r="U43" t="s">
        <v>36</v>
      </c>
      <c r="V43">
        <v>2</v>
      </c>
      <c r="W43" t="s">
        <v>45</v>
      </c>
      <c r="X43">
        <v>0</v>
      </c>
      <c r="Y43" t="s">
        <v>280</v>
      </c>
      <c r="Z43">
        <v>4</v>
      </c>
      <c r="AA43" t="s">
        <v>49</v>
      </c>
      <c r="AB43">
        <v>3.2</v>
      </c>
      <c r="AC43" t="s">
        <v>1003</v>
      </c>
      <c r="AD43">
        <v>3</v>
      </c>
      <c r="AE43" s="2">
        <v>45960</v>
      </c>
      <c r="AF43">
        <v>3</v>
      </c>
      <c r="AG43">
        <v>0</v>
      </c>
    </row>
    <row r="44" spans="1:33">
      <c r="A44">
        <v>10024</v>
      </c>
      <c r="B44" t="s">
        <v>1187</v>
      </c>
      <c r="C44" t="s">
        <v>31</v>
      </c>
      <c r="D44" t="s">
        <v>31</v>
      </c>
      <c r="E44" t="s">
        <v>929</v>
      </c>
      <c r="F44" t="s">
        <v>63</v>
      </c>
      <c r="G44" t="s">
        <v>62</v>
      </c>
      <c r="H44" t="s">
        <v>64</v>
      </c>
      <c r="I44">
        <v>92989</v>
      </c>
      <c r="J44" s="3">
        <v>1115868</v>
      </c>
      <c r="K44" s="2">
        <v>30442</v>
      </c>
      <c r="L44" t="s">
        <v>30</v>
      </c>
      <c r="M44" t="s">
        <v>29</v>
      </c>
      <c r="N44">
        <v>2140</v>
      </c>
      <c r="O44" t="s">
        <v>33</v>
      </c>
      <c r="P44" t="s">
        <v>32</v>
      </c>
      <c r="Q44" t="s">
        <v>34</v>
      </c>
      <c r="R44" s="2">
        <v>41827</v>
      </c>
      <c r="S44" s="1" t="s">
        <v>35</v>
      </c>
      <c r="T44">
        <v>0</v>
      </c>
      <c r="U44" t="s">
        <v>36</v>
      </c>
      <c r="V44">
        <v>1</v>
      </c>
      <c r="W44" t="s">
        <v>36</v>
      </c>
      <c r="X44">
        <v>0</v>
      </c>
      <c r="Y44" t="s">
        <v>39</v>
      </c>
      <c r="Z44">
        <v>4</v>
      </c>
      <c r="AA44" t="s">
        <v>40</v>
      </c>
      <c r="AB44">
        <v>4.5</v>
      </c>
      <c r="AC44" t="s">
        <v>930</v>
      </c>
      <c r="AD44">
        <v>5</v>
      </c>
      <c r="AE44" s="2">
        <v>43514</v>
      </c>
      <c r="AF44">
        <v>0</v>
      </c>
      <c r="AG44">
        <v>1</v>
      </c>
    </row>
    <row r="45" spans="1:33">
      <c r="A45">
        <v>10024</v>
      </c>
      <c r="B45" t="s">
        <v>1246</v>
      </c>
      <c r="C45" t="s">
        <v>31</v>
      </c>
      <c r="D45" t="s">
        <v>42</v>
      </c>
      <c r="E45" t="s">
        <v>934</v>
      </c>
      <c r="F45" t="s">
        <v>113</v>
      </c>
      <c r="G45" t="s">
        <v>277</v>
      </c>
      <c r="H45" t="s">
        <v>309</v>
      </c>
      <c r="I45">
        <v>54042</v>
      </c>
      <c r="J45" s="3">
        <v>648504</v>
      </c>
      <c r="K45" s="2">
        <v>37883</v>
      </c>
      <c r="L45" t="s">
        <v>264</v>
      </c>
      <c r="M45" t="s">
        <v>29</v>
      </c>
      <c r="N45">
        <v>35501</v>
      </c>
      <c r="O45" t="s">
        <v>33</v>
      </c>
      <c r="P45" t="s">
        <v>32</v>
      </c>
      <c r="Q45" t="s">
        <v>160</v>
      </c>
      <c r="R45" s="2">
        <v>44595</v>
      </c>
      <c r="S45" s="1" t="s">
        <v>308</v>
      </c>
      <c r="T45">
        <v>0</v>
      </c>
      <c r="U45" t="s">
        <v>36</v>
      </c>
      <c r="V45">
        <v>3</v>
      </c>
      <c r="W45" t="s">
        <v>87</v>
      </c>
      <c r="X45">
        <v>1</v>
      </c>
      <c r="Y45" t="s">
        <v>142</v>
      </c>
      <c r="Z45">
        <v>1</v>
      </c>
      <c r="AA45" t="s">
        <v>49</v>
      </c>
      <c r="AB45">
        <v>4.9000000000000004</v>
      </c>
      <c r="AC45" t="s">
        <v>1003</v>
      </c>
      <c r="AD45">
        <v>4</v>
      </c>
      <c r="AE45" s="2">
        <v>45638</v>
      </c>
      <c r="AF45">
        <v>4</v>
      </c>
      <c r="AG45">
        <v>3</v>
      </c>
    </row>
    <row r="46" spans="1:33">
      <c r="A46">
        <v>10025</v>
      </c>
      <c r="B46" t="s">
        <v>1110</v>
      </c>
      <c r="C46" t="s">
        <v>31</v>
      </c>
      <c r="D46" t="s">
        <v>31</v>
      </c>
      <c r="E46" t="s">
        <v>934</v>
      </c>
      <c r="F46" t="s">
        <v>37</v>
      </c>
      <c r="G46" t="s">
        <v>50</v>
      </c>
      <c r="H46" t="s">
        <v>54</v>
      </c>
      <c r="I46">
        <v>72460</v>
      </c>
      <c r="J46" s="3">
        <v>869520</v>
      </c>
      <c r="K46" s="2">
        <v>25682</v>
      </c>
      <c r="L46" t="s">
        <v>51</v>
      </c>
      <c r="M46" t="s">
        <v>29</v>
      </c>
      <c r="N46">
        <v>2126</v>
      </c>
      <c r="O46" t="s">
        <v>33</v>
      </c>
      <c r="P46" t="s">
        <v>32</v>
      </c>
      <c r="Q46" t="s">
        <v>68</v>
      </c>
      <c r="R46" s="2">
        <v>41407</v>
      </c>
      <c r="S46" s="1" t="s">
        <v>35</v>
      </c>
      <c r="T46">
        <v>0</v>
      </c>
      <c r="U46" t="s">
        <v>36</v>
      </c>
      <c r="V46">
        <v>1</v>
      </c>
      <c r="W46" t="s">
        <v>36</v>
      </c>
      <c r="X46">
        <v>0</v>
      </c>
      <c r="Y46" t="s">
        <v>48</v>
      </c>
      <c r="Z46">
        <v>4</v>
      </c>
      <c r="AA46" t="s">
        <v>40</v>
      </c>
      <c r="AB46">
        <v>4.7</v>
      </c>
      <c r="AC46" t="s">
        <v>932</v>
      </c>
      <c r="AD46">
        <v>0</v>
      </c>
      <c r="AE46" s="2">
        <v>43479</v>
      </c>
      <c r="AF46">
        <v>0</v>
      </c>
      <c r="AG46">
        <v>1</v>
      </c>
    </row>
    <row r="47" spans="1:33">
      <c r="A47">
        <v>10025</v>
      </c>
      <c r="B47" t="s">
        <v>1247</v>
      </c>
      <c r="C47" t="s">
        <v>42</v>
      </c>
      <c r="D47" t="s">
        <v>31</v>
      </c>
      <c r="E47" t="s">
        <v>929</v>
      </c>
      <c r="F47" t="s">
        <v>274</v>
      </c>
      <c r="G47" t="s">
        <v>28</v>
      </c>
      <c r="H47" t="s">
        <v>311</v>
      </c>
      <c r="I47">
        <v>84232</v>
      </c>
      <c r="J47" s="3">
        <v>1010784</v>
      </c>
      <c r="K47" s="2">
        <v>36024</v>
      </c>
      <c r="L47" t="s">
        <v>51</v>
      </c>
      <c r="M47" t="s">
        <v>80</v>
      </c>
      <c r="N47">
        <v>55846</v>
      </c>
      <c r="O47" t="s">
        <v>33</v>
      </c>
      <c r="P47" t="s">
        <v>32</v>
      </c>
      <c r="Q47" t="s">
        <v>34</v>
      </c>
      <c r="R47" s="2">
        <v>43034</v>
      </c>
      <c r="S47" s="1" t="s">
        <v>310</v>
      </c>
      <c r="T47">
        <v>1</v>
      </c>
      <c r="U47" t="s">
        <v>36</v>
      </c>
      <c r="V47">
        <v>2</v>
      </c>
      <c r="W47" t="s">
        <v>36</v>
      </c>
      <c r="X47">
        <v>0</v>
      </c>
      <c r="Y47" t="s">
        <v>48</v>
      </c>
      <c r="Z47">
        <v>2</v>
      </c>
      <c r="AA47" t="s">
        <v>49</v>
      </c>
      <c r="AB47">
        <v>2.7</v>
      </c>
      <c r="AC47" t="s">
        <v>937</v>
      </c>
      <c r="AD47">
        <v>1</v>
      </c>
      <c r="AE47" s="2">
        <v>45949</v>
      </c>
      <c r="AF47">
        <v>5</v>
      </c>
      <c r="AG47">
        <v>6</v>
      </c>
    </row>
    <row r="48" spans="1:33">
      <c r="A48">
        <v>10026</v>
      </c>
      <c r="B48" t="s">
        <v>928</v>
      </c>
      <c r="C48" t="s">
        <v>31</v>
      </c>
      <c r="D48" t="s">
        <v>31</v>
      </c>
      <c r="E48" t="s">
        <v>929</v>
      </c>
      <c r="F48" t="s">
        <v>37</v>
      </c>
      <c r="G48" t="s">
        <v>28</v>
      </c>
      <c r="H48" t="s">
        <v>38</v>
      </c>
      <c r="I48">
        <v>62506</v>
      </c>
      <c r="J48" s="3">
        <v>750072</v>
      </c>
      <c r="K48" s="2">
        <v>30507</v>
      </c>
      <c r="L48" t="s">
        <v>30</v>
      </c>
      <c r="M48" t="s">
        <v>29</v>
      </c>
      <c r="N48">
        <v>1960</v>
      </c>
      <c r="O48" t="s">
        <v>33</v>
      </c>
      <c r="P48" t="s">
        <v>32</v>
      </c>
      <c r="Q48" t="s">
        <v>34</v>
      </c>
      <c r="R48" s="2">
        <v>40729</v>
      </c>
      <c r="S48" s="1" t="s">
        <v>35</v>
      </c>
      <c r="T48">
        <v>0</v>
      </c>
      <c r="U48" t="s">
        <v>36</v>
      </c>
      <c r="V48">
        <v>1</v>
      </c>
      <c r="W48" t="s">
        <v>36</v>
      </c>
      <c r="X48">
        <v>0</v>
      </c>
      <c r="Y48" t="s">
        <v>39</v>
      </c>
      <c r="Z48">
        <v>4</v>
      </c>
      <c r="AA48" t="s">
        <v>40</v>
      </c>
      <c r="AB48">
        <v>4.5999999999999996</v>
      </c>
      <c r="AC48" t="s">
        <v>930</v>
      </c>
      <c r="AD48">
        <v>0</v>
      </c>
      <c r="AE48" s="2">
        <v>43482</v>
      </c>
      <c r="AF48">
        <v>0</v>
      </c>
      <c r="AG48">
        <v>1</v>
      </c>
    </row>
    <row r="49" spans="1:33">
      <c r="A49">
        <v>10026</v>
      </c>
      <c r="B49" t="s">
        <v>1248</v>
      </c>
      <c r="C49" t="s">
        <v>42</v>
      </c>
      <c r="D49" t="s">
        <v>31</v>
      </c>
      <c r="E49" t="s">
        <v>934</v>
      </c>
      <c r="F49" t="s">
        <v>274</v>
      </c>
      <c r="G49" t="s">
        <v>28</v>
      </c>
      <c r="H49" t="s">
        <v>312</v>
      </c>
      <c r="I49">
        <v>61041</v>
      </c>
      <c r="J49" s="3">
        <v>732492</v>
      </c>
      <c r="K49" s="2">
        <v>29643</v>
      </c>
      <c r="L49" t="s">
        <v>51</v>
      </c>
      <c r="M49" t="s">
        <v>80</v>
      </c>
      <c r="N49">
        <v>93091</v>
      </c>
      <c r="O49" t="s">
        <v>33</v>
      </c>
      <c r="P49" t="s">
        <v>32</v>
      </c>
      <c r="Q49" t="s">
        <v>92</v>
      </c>
      <c r="R49" s="2">
        <v>43744</v>
      </c>
      <c r="S49" s="1" t="s">
        <v>35</v>
      </c>
      <c r="T49">
        <v>0</v>
      </c>
      <c r="U49" t="s">
        <v>36</v>
      </c>
      <c r="V49">
        <v>3</v>
      </c>
      <c r="W49" t="s">
        <v>45</v>
      </c>
      <c r="X49">
        <v>0</v>
      </c>
      <c r="Y49" t="s">
        <v>48</v>
      </c>
      <c r="Z49">
        <v>4</v>
      </c>
      <c r="AA49" t="s">
        <v>95</v>
      </c>
      <c r="AB49">
        <v>3.6</v>
      </c>
      <c r="AC49" t="s">
        <v>937</v>
      </c>
      <c r="AD49">
        <v>2</v>
      </c>
      <c r="AE49" s="2">
        <v>45676</v>
      </c>
      <c r="AF49">
        <v>4</v>
      </c>
      <c r="AG49">
        <v>1</v>
      </c>
    </row>
    <row r="50" spans="1:33">
      <c r="A50">
        <v>10027</v>
      </c>
      <c r="B50" t="s">
        <v>1173</v>
      </c>
      <c r="C50" t="s">
        <v>31</v>
      </c>
      <c r="D50" t="s">
        <v>31</v>
      </c>
      <c r="E50" t="s">
        <v>929</v>
      </c>
      <c r="F50" t="s">
        <v>37</v>
      </c>
      <c r="G50" t="s">
        <v>50</v>
      </c>
      <c r="H50" t="s">
        <v>55</v>
      </c>
      <c r="I50">
        <v>60656</v>
      </c>
      <c r="J50" s="3">
        <v>727872</v>
      </c>
      <c r="K50" s="2">
        <v>23314</v>
      </c>
      <c r="L50" t="s">
        <v>30</v>
      </c>
      <c r="M50" t="s">
        <v>29</v>
      </c>
      <c r="N50">
        <v>2045</v>
      </c>
      <c r="O50" t="s">
        <v>33</v>
      </c>
      <c r="P50" t="s">
        <v>32</v>
      </c>
      <c r="Q50" t="s">
        <v>34</v>
      </c>
      <c r="R50" s="2">
        <v>41911</v>
      </c>
      <c r="S50" s="1" t="s">
        <v>35</v>
      </c>
      <c r="T50">
        <v>0</v>
      </c>
      <c r="U50" t="s">
        <v>36</v>
      </c>
      <c r="V50">
        <v>1</v>
      </c>
      <c r="W50" t="s">
        <v>36</v>
      </c>
      <c r="X50">
        <v>0</v>
      </c>
      <c r="Y50" t="s">
        <v>48</v>
      </c>
      <c r="Z50">
        <v>4</v>
      </c>
      <c r="AA50" t="s">
        <v>40</v>
      </c>
      <c r="AB50">
        <v>4.3</v>
      </c>
      <c r="AC50" t="s">
        <v>932</v>
      </c>
      <c r="AD50">
        <v>0</v>
      </c>
      <c r="AE50" s="2">
        <v>43493</v>
      </c>
      <c r="AF50">
        <v>0</v>
      </c>
      <c r="AG50">
        <v>4</v>
      </c>
    </row>
    <row r="51" spans="1:33">
      <c r="A51">
        <v>10027</v>
      </c>
      <c r="B51" t="s">
        <v>1249</v>
      </c>
      <c r="C51" t="s">
        <v>42</v>
      </c>
      <c r="D51" t="s">
        <v>56</v>
      </c>
      <c r="E51" t="s">
        <v>934</v>
      </c>
      <c r="F51" t="s">
        <v>278</v>
      </c>
      <c r="G51" t="s">
        <v>277</v>
      </c>
      <c r="H51" t="s">
        <v>313</v>
      </c>
      <c r="I51">
        <v>33985</v>
      </c>
      <c r="J51" s="3">
        <v>407820</v>
      </c>
      <c r="K51" s="2">
        <v>25638</v>
      </c>
      <c r="L51" t="s">
        <v>264</v>
      </c>
      <c r="M51" t="s">
        <v>191</v>
      </c>
      <c r="N51">
        <v>16825</v>
      </c>
      <c r="O51" t="s">
        <v>73</v>
      </c>
      <c r="P51" t="s">
        <v>32</v>
      </c>
      <c r="Q51" t="s">
        <v>204</v>
      </c>
      <c r="R51" s="2">
        <v>44113</v>
      </c>
      <c r="S51" s="1" t="s">
        <v>35</v>
      </c>
      <c r="T51">
        <v>0</v>
      </c>
      <c r="U51" t="s">
        <v>36</v>
      </c>
      <c r="V51">
        <v>1</v>
      </c>
      <c r="W51" t="s">
        <v>36</v>
      </c>
      <c r="X51">
        <v>1</v>
      </c>
      <c r="Y51" t="s">
        <v>268</v>
      </c>
      <c r="Z51">
        <v>1</v>
      </c>
      <c r="AA51" t="s">
        <v>136</v>
      </c>
      <c r="AB51">
        <v>3.4</v>
      </c>
      <c r="AC51" t="s">
        <v>1003</v>
      </c>
      <c r="AD51">
        <v>0</v>
      </c>
      <c r="AE51" s="2">
        <v>45900</v>
      </c>
      <c r="AF51">
        <v>0</v>
      </c>
      <c r="AG51">
        <v>0</v>
      </c>
    </row>
    <row r="52" spans="1:33">
      <c r="A52">
        <v>10028</v>
      </c>
      <c r="B52" t="s">
        <v>125</v>
      </c>
      <c r="C52" t="s">
        <v>31</v>
      </c>
      <c r="D52" t="s">
        <v>31</v>
      </c>
      <c r="E52" t="s">
        <v>929</v>
      </c>
      <c r="F52" t="s">
        <v>46</v>
      </c>
      <c r="G52" t="s">
        <v>143</v>
      </c>
      <c r="H52" t="s">
        <v>116</v>
      </c>
      <c r="I52">
        <v>138888</v>
      </c>
      <c r="J52" s="3">
        <v>1666656</v>
      </c>
      <c r="K52" s="2">
        <v>25758</v>
      </c>
      <c r="L52" t="s">
        <v>30</v>
      </c>
      <c r="M52" t="s">
        <v>29</v>
      </c>
      <c r="N52">
        <v>1886</v>
      </c>
      <c r="O52" t="s">
        <v>33</v>
      </c>
      <c r="P52" t="s">
        <v>32</v>
      </c>
      <c r="Q52" t="s">
        <v>68</v>
      </c>
      <c r="R52" s="2">
        <v>41644</v>
      </c>
      <c r="S52" s="1" t="s">
        <v>35</v>
      </c>
      <c r="T52">
        <v>0</v>
      </c>
      <c r="U52" t="s">
        <v>36</v>
      </c>
      <c r="V52">
        <v>1</v>
      </c>
      <c r="W52" t="s">
        <v>36</v>
      </c>
      <c r="X52">
        <v>0</v>
      </c>
      <c r="Y52" t="s">
        <v>48</v>
      </c>
      <c r="Z52">
        <v>4</v>
      </c>
      <c r="AA52" t="s">
        <v>40</v>
      </c>
      <c r="AB52">
        <v>4.3</v>
      </c>
      <c r="AC52" t="s">
        <v>930</v>
      </c>
      <c r="AD52">
        <v>5</v>
      </c>
      <c r="AE52" s="2">
        <v>43469</v>
      </c>
      <c r="AF52">
        <v>0</v>
      </c>
      <c r="AG52">
        <v>4</v>
      </c>
    </row>
    <row r="53" spans="1:33">
      <c r="A53">
        <v>10028</v>
      </c>
      <c r="B53" t="s">
        <v>1250</v>
      </c>
      <c r="C53" t="s">
        <v>42</v>
      </c>
      <c r="D53" t="s">
        <v>31</v>
      </c>
      <c r="E53" t="s">
        <v>934</v>
      </c>
      <c r="F53" t="s">
        <v>283</v>
      </c>
      <c r="G53" t="s">
        <v>269</v>
      </c>
      <c r="H53" t="s">
        <v>314</v>
      </c>
      <c r="I53">
        <v>43190</v>
      </c>
      <c r="J53" s="3">
        <v>518280</v>
      </c>
      <c r="K53" s="2">
        <v>31037</v>
      </c>
      <c r="L53" t="s">
        <v>51</v>
      </c>
      <c r="M53" t="s">
        <v>144</v>
      </c>
      <c r="N53">
        <v>77329</v>
      </c>
      <c r="O53" t="s">
        <v>73</v>
      </c>
      <c r="P53" t="s">
        <v>124</v>
      </c>
      <c r="Q53" t="s">
        <v>270</v>
      </c>
      <c r="R53" s="2">
        <v>44726</v>
      </c>
      <c r="S53" s="1" t="s">
        <v>35</v>
      </c>
      <c r="T53">
        <v>1</v>
      </c>
      <c r="U53" t="s">
        <v>290</v>
      </c>
      <c r="V53">
        <v>2</v>
      </c>
      <c r="W53" t="s">
        <v>36</v>
      </c>
      <c r="X53">
        <v>1</v>
      </c>
      <c r="Y53" t="s">
        <v>280</v>
      </c>
      <c r="Z53">
        <v>2</v>
      </c>
      <c r="AA53" t="s">
        <v>276</v>
      </c>
      <c r="AB53">
        <v>3.2</v>
      </c>
      <c r="AC53" t="s">
        <v>932</v>
      </c>
      <c r="AD53">
        <v>4</v>
      </c>
      <c r="AE53" s="2">
        <v>45303</v>
      </c>
      <c r="AF53">
        <v>5</v>
      </c>
      <c r="AG53">
        <v>0</v>
      </c>
    </row>
    <row r="54" spans="1:33">
      <c r="A54">
        <v>10029</v>
      </c>
      <c r="B54" t="s">
        <v>982</v>
      </c>
      <c r="C54" t="s">
        <v>42</v>
      </c>
      <c r="D54" t="s">
        <v>42</v>
      </c>
      <c r="E54" t="s">
        <v>929</v>
      </c>
      <c r="F54" t="s">
        <v>37</v>
      </c>
      <c r="G54" t="s">
        <v>28</v>
      </c>
      <c r="H54" t="s">
        <v>69</v>
      </c>
      <c r="I54">
        <v>50373</v>
      </c>
      <c r="J54" s="3">
        <v>604476</v>
      </c>
      <c r="K54" s="2">
        <v>29459</v>
      </c>
      <c r="L54" t="s">
        <v>30</v>
      </c>
      <c r="M54" t="s">
        <v>29</v>
      </c>
      <c r="N54">
        <v>2134</v>
      </c>
      <c r="O54" t="s">
        <v>33</v>
      </c>
      <c r="P54" t="s">
        <v>32</v>
      </c>
      <c r="Q54" t="s">
        <v>34</v>
      </c>
      <c r="R54" s="2">
        <v>42557</v>
      </c>
      <c r="S54" s="1" t="s">
        <v>35</v>
      </c>
      <c r="T54">
        <v>0</v>
      </c>
      <c r="U54" t="s">
        <v>36</v>
      </c>
      <c r="V54">
        <v>2</v>
      </c>
      <c r="W54" t="s">
        <v>36</v>
      </c>
      <c r="X54">
        <v>0</v>
      </c>
      <c r="Y54" t="s">
        <v>67</v>
      </c>
      <c r="Z54">
        <v>4</v>
      </c>
      <c r="AA54" t="s">
        <v>40</v>
      </c>
      <c r="AB54">
        <v>4.0999999999999996</v>
      </c>
      <c r="AC54" t="s">
        <v>937</v>
      </c>
      <c r="AD54">
        <v>0</v>
      </c>
      <c r="AE54" s="2">
        <v>43524</v>
      </c>
      <c r="AF54">
        <v>0</v>
      </c>
      <c r="AG54">
        <v>5</v>
      </c>
    </row>
    <row r="55" spans="1:33">
      <c r="A55">
        <v>10029</v>
      </c>
      <c r="B55" t="s">
        <v>1251</v>
      </c>
      <c r="C55" t="s">
        <v>42</v>
      </c>
      <c r="D55" t="s">
        <v>56</v>
      </c>
      <c r="E55" t="s">
        <v>929</v>
      </c>
      <c r="F55" t="s">
        <v>271</v>
      </c>
      <c r="G55" t="s">
        <v>62</v>
      </c>
      <c r="H55" t="s">
        <v>315</v>
      </c>
      <c r="I55">
        <v>66536</v>
      </c>
      <c r="J55" s="3">
        <v>798432</v>
      </c>
      <c r="K55" s="2">
        <v>36774</v>
      </c>
      <c r="L55" t="s">
        <v>51</v>
      </c>
      <c r="M55" t="s">
        <v>144</v>
      </c>
      <c r="N55">
        <v>27951</v>
      </c>
      <c r="O55" t="s">
        <v>73</v>
      </c>
      <c r="P55" t="s">
        <v>32</v>
      </c>
      <c r="Q55" t="s">
        <v>204</v>
      </c>
      <c r="R55" s="2">
        <v>43749</v>
      </c>
      <c r="S55" s="1" t="s">
        <v>35</v>
      </c>
      <c r="T55">
        <v>0</v>
      </c>
      <c r="U55" t="s">
        <v>36</v>
      </c>
      <c r="V55">
        <v>1</v>
      </c>
      <c r="W55" t="s">
        <v>45</v>
      </c>
      <c r="X55">
        <v>0</v>
      </c>
      <c r="Y55" t="s">
        <v>39</v>
      </c>
      <c r="Z55">
        <v>2</v>
      </c>
      <c r="AA55" t="s">
        <v>276</v>
      </c>
      <c r="AB55">
        <v>4.9000000000000004</v>
      </c>
      <c r="AC55" t="s">
        <v>932</v>
      </c>
      <c r="AD55">
        <v>5</v>
      </c>
      <c r="AE55" s="2">
        <v>45735</v>
      </c>
      <c r="AF55">
        <v>4</v>
      </c>
      <c r="AG55">
        <v>9</v>
      </c>
    </row>
    <row r="56" spans="1:33">
      <c r="A56">
        <v>10030</v>
      </c>
      <c r="B56" t="s">
        <v>1179</v>
      </c>
      <c r="C56" t="s">
        <v>31</v>
      </c>
      <c r="D56" t="s">
        <v>56</v>
      </c>
      <c r="E56" t="s">
        <v>934</v>
      </c>
      <c r="F56" t="s">
        <v>37</v>
      </c>
      <c r="G56" t="s">
        <v>28</v>
      </c>
      <c r="H56" t="s">
        <v>76</v>
      </c>
      <c r="I56">
        <v>62425</v>
      </c>
      <c r="J56" s="3">
        <v>749100</v>
      </c>
      <c r="K56" s="2">
        <v>26749</v>
      </c>
      <c r="L56" t="s">
        <v>51</v>
      </c>
      <c r="M56" t="s">
        <v>29</v>
      </c>
      <c r="N56">
        <v>2359</v>
      </c>
      <c r="O56" t="s">
        <v>33</v>
      </c>
      <c r="P56" t="s">
        <v>32</v>
      </c>
      <c r="Q56" t="s">
        <v>34</v>
      </c>
      <c r="R56" s="2">
        <v>41407</v>
      </c>
      <c r="S56" s="1" t="s">
        <v>241</v>
      </c>
      <c r="T56">
        <v>1</v>
      </c>
      <c r="U56" t="s">
        <v>78</v>
      </c>
      <c r="V56">
        <v>5</v>
      </c>
      <c r="W56" t="s">
        <v>45</v>
      </c>
      <c r="X56">
        <v>0</v>
      </c>
      <c r="Y56" t="s">
        <v>39</v>
      </c>
      <c r="Z56">
        <v>4</v>
      </c>
      <c r="AA56" t="s">
        <v>40</v>
      </c>
      <c r="AB56">
        <v>4.0999999999999996</v>
      </c>
      <c r="AC56" t="s">
        <v>937</v>
      </c>
      <c r="AD56">
        <v>0</v>
      </c>
      <c r="AE56" s="2">
        <v>42065</v>
      </c>
      <c r="AF56">
        <v>0</v>
      </c>
      <c r="AG56">
        <v>16</v>
      </c>
    </row>
    <row r="57" spans="1:33">
      <c r="A57">
        <v>10030</v>
      </c>
      <c r="B57" t="s">
        <v>1252</v>
      </c>
      <c r="C57" t="s">
        <v>42</v>
      </c>
      <c r="D57" t="s">
        <v>42</v>
      </c>
      <c r="E57" t="s">
        <v>929</v>
      </c>
      <c r="F57" t="s">
        <v>274</v>
      </c>
      <c r="G57" t="s">
        <v>62</v>
      </c>
      <c r="H57" t="s">
        <v>316</v>
      </c>
      <c r="I57">
        <v>68925</v>
      </c>
      <c r="J57" s="3">
        <v>827100</v>
      </c>
      <c r="K57" s="2">
        <v>33250</v>
      </c>
      <c r="L57" t="s">
        <v>51</v>
      </c>
      <c r="M57" t="s">
        <v>29</v>
      </c>
      <c r="N57">
        <v>11225</v>
      </c>
      <c r="O57" t="s">
        <v>33</v>
      </c>
      <c r="P57" t="s">
        <v>124</v>
      </c>
      <c r="Q57" t="s">
        <v>92</v>
      </c>
      <c r="R57" s="2">
        <v>45605</v>
      </c>
      <c r="S57" s="1" t="s">
        <v>35</v>
      </c>
      <c r="T57">
        <v>1</v>
      </c>
      <c r="U57" t="s">
        <v>290</v>
      </c>
      <c r="V57">
        <v>2</v>
      </c>
      <c r="W57" t="s">
        <v>36</v>
      </c>
      <c r="X57">
        <v>0</v>
      </c>
      <c r="Y57" t="s">
        <v>142</v>
      </c>
      <c r="Z57">
        <v>2</v>
      </c>
      <c r="AA57" t="s">
        <v>95</v>
      </c>
      <c r="AB57">
        <v>2.9</v>
      </c>
      <c r="AC57" t="s">
        <v>930</v>
      </c>
      <c r="AD57">
        <v>0</v>
      </c>
      <c r="AE57" s="2">
        <v>45699</v>
      </c>
      <c r="AF57">
        <v>4</v>
      </c>
      <c r="AG57">
        <v>10</v>
      </c>
    </row>
    <row r="58" spans="1:33">
      <c r="A58">
        <v>10031</v>
      </c>
      <c r="B58" t="s">
        <v>1039</v>
      </c>
      <c r="C58" t="s">
        <v>31</v>
      </c>
      <c r="D58" t="s">
        <v>56</v>
      </c>
      <c r="E58" t="s">
        <v>929</v>
      </c>
      <c r="F58" t="s">
        <v>37</v>
      </c>
      <c r="G58" t="s">
        <v>28</v>
      </c>
      <c r="H58" t="s">
        <v>69</v>
      </c>
      <c r="I58">
        <v>59892</v>
      </c>
      <c r="J58" s="3">
        <v>718704</v>
      </c>
      <c r="K58" s="2">
        <v>25475</v>
      </c>
      <c r="L58" t="s">
        <v>30</v>
      </c>
      <c r="M58" t="s">
        <v>29</v>
      </c>
      <c r="N58">
        <v>2108</v>
      </c>
      <c r="O58" t="s">
        <v>33</v>
      </c>
      <c r="P58" t="s">
        <v>32</v>
      </c>
      <c r="Q58" t="s">
        <v>68</v>
      </c>
      <c r="R58" s="2">
        <v>40735</v>
      </c>
      <c r="S58" s="1" t="s">
        <v>35</v>
      </c>
      <c r="T58">
        <v>0</v>
      </c>
      <c r="U58" t="s">
        <v>36</v>
      </c>
      <c r="V58">
        <v>1</v>
      </c>
      <c r="W58" t="s">
        <v>36</v>
      </c>
      <c r="X58">
        <v>1</v>
      </c>
      <c r="Y58" t="s">
        <v>70</v>
      </c>
      <c r="Z58">
        <v>4</v>
      </c>
      <c r="AA58" t="s">
        <v>40</v>
      </c>
      <c r="AB58">
        <v>4.5</v>
      </c>
      <c r="AC58" t="s">
        <v>937</v>
      </c>
      <c r="AD58">
        <v>0</v>
      </c>
      <c r="AE58" s="2">
        <v>43514</v>
      </c>
      <c r="AF58">
        <v>0</v>
      </c>
      <c r="AG58">
        <v>1</v>
      </c>
    </row>
    <row r="59" spans="1:33">
      <c r="A59">
        <v>10031</v>
      </c>
      <c r="B59" t="s">
        <v>1253</v>
      </c>
      <c r="C59" t="s">
        <v>31</v>
      </c>
      <c r="D59" t="s">
        <v>56</v>
      </c>
      <c r="E59" t="s">
        <v>929</v>
      </c>
      <c r="F59" t="s">
        <v>274</v>
      </c>
      <c r="G59" t="s">
        <v>28</v>
      </c>
      <c r="H59" t="s">
        <v>318</v>
      </c>
      <c r="I59">
        <v>49725</v>
      </c>
      <c r="J59" s="3">
        <v>596700</v>
      </c>
      <c r="K59" s="2">
        <v>28311</v>
      </c>
      <c r="L59" t="s">
        <v>51</v>
      </c>
      <c r="M59" t="s">
        <v>191</v>
      </c>
      <c r="N59">
        <v>33790</v>
      </c>
      <c r="O59" t="s">
        <v>73</v>
      </c>
      <c r="P59" t="s">
        <v>32</v>
      </c>
      <c r="Q59" t="s">
        <v>204</v>
      </c>
      <c r="R59" s="2">
        <v>44097</v>
      </c>
      <c r="S59" s="1" t="s">
        <v>317</v>
      </c>
      <c r="T59">
        <v>1</v>
      </c>
      <c r="U59" t="s">
        <v>36</v>
      </c>
      <c r="V59">
        <v>3</v>
      </c>
      <c r="W59" t="s">
        <v>87</v>
      </c>
      <c r="X59">
        <v>0</v>
      </c>
      <c r="Y59" t="s">
        <v>268</v>
      </c>
      <c r="Z59">
        <v>1</v>
      </c>
      <c r="AA59" t="s">
        <v>276</v>
      </c>
      <c r="AB59">
        <v>3.1</v>
      </c>
      <c r="AC59" t="s">
        <v>962</v>
      </c>
      <c r="AD59">
        <v>4</v>
      </c>
      <c r="AE59" s="2">
        <v>45821</v>
      </c>
      <c r="AF59">
        <v>5</v>
      </c>
      <c r="AG59">
        <v>0</v>
      </c>
    </row>
    <row r="60" spans="1:33">
      <c r="A60">
        <v>10032</v>
      </c>
      <c r="B60" t="s">
        <v>1136</v>
      </c>
      <c r="C60" t="s">
        <v>42</v>
      </c>
      <c r="D60" t="s">
        <v>42</v>
      </c>
      <c r="E60" t="s">
        <v>934</v>
      </c>
      <c r="F60" t="s">
        <v>37</v>
      </c>
      <c r="G60" t="s">
        <v>50</v>
      </c>
      <c r="H60" t="s">
        <v>66</v>
      </c>
      <c r="I60">
        <v>57954</v>
      </c>
      <c r="J60" s="3">
        <v>695448</v>
      </c>
      <c r="K60" s="2">
        <v>31641</v>
      </c>
      <c r="L60" t="s">
        <v>51</v>
      </c>
      <c r="M60" t="s">
        <v>29</v>
      </c>
      <c r="N60">
        <v>1886</v>
      </c>
      <c r="O60" t="s">
        <v>33</v>
      </c>
      <c r="P60" t="s">
        <v>32</v>
      </c>
      <c r="Q60" t="s">
        <v>34</v>
      </c>
      <c r="R60" s="2">
        <v>40679</v>
      </c>
      <c r="S60" s="1" t="s">
        <v>219</v>
      </c>
      <c r="T60">
        <v>1</v>
      </c>
      <c r="U60" t="s">
        <v>138</v>
      </c>
      <c r="V60">
        <v>5</v>
      </c>
      <c r="W60" t="s">
        <v>45</v>
      </c>
      <c r="X60">
        <v>0</v>
      </c>
      <c r="Y60" t="s">
        <v>48</v>
      </c>
      <c r="Z60">
        <v>4</v>
      </c>
      <c r="AA60" t="s">
        <v>40</v>
      </c>
      <c r="AB60">
        <v>4.2</v>
      </c>
      <c r="AC60" t="s">
        <v>930</v>
      </c>
      <c r="AD60">
        <v>0</v>
      </c>
      <c r="AE60" s="2">
        <v>41284</v>
      </c>
      <c r="AF60">
        <v>0</v>
      </c>
      <c r="AG60">
        <v>12</v>
      </c>
    </row>
    <row r="61" spans="1:33">
      <c r="A61">
        <v>10032</v>
      </c>
      <c r="B61" t="s">
        <v>1254</v>
      </c>
      <c r="C61" t="s">
        <v>31</v>
      </c>
      <c r="D61" t="s">
        <v>56</v>
      </c>
      <c r="E61" t="s">
        <v>934</v>
      </c>
      <c r="F61" t="s">
        <v>113</v>
      </c>
      <c r="G61" t="s">
        <v>294</v>
      </c>
      <c r="H61" t="s">
        <v>319</v>
      </c>
      <c r="I61">
        <v>31855</v>
      </c>
      <c r="J61" s="3">
        <v>382260</v>
      </c>
      <c r="K61" s="2">
        <v>30914</v>
      </c>
      <c r="L61" t="s">
        <v>51</v>
      </c>
      <c r="M61" t="s">
        <v>80</v>
      </c>
      <c r="N61">
        <v>93340</v>
      </c>
      <c r="O61" t="s">
        <v>33</v>
      </c>
      <c r="P61" t="s">
        <v>32</v>
      </c>
      <c r="Q61" t="s">
        <v>204</v>
      </c>
      <c r="R61" s="2">
        <v>45421</v>
      </c>
      <c r="S61" s="1" t="s">
        <v>35</v>
      </c>
      <c r="T61">
        <v>0</v>
      </c>
      <c r="U61" t="s">
        <v>36</v>
      </c>
      <c r="V61">
        <v>2</v>
      </c>
      <c r="W61" t="s">
        <v>45</v>
      </c>
      <c r="X61">
        <v>1</v>
      </c>
      <c r="Y61" t="s">
        <v>48</v>
      </c>
      <c r="Z61">
        <v>2</v>
      </c>
      <c r="AA61" t="s">
        <v>95</v>
      </c>
      <c r="AB61">
        <v>4.9000000000000004</v>
      </c>
      <c r="AC61" t="s">
        <v>932</v>
      </c>
      <c r="AD61">
        <v>5</v>
      </c>
      <c r="AE61" s="2">
        <v>45708</v>
      </c>
      <c r="AF61">
        <v>5</v>
      </c>
      <c r="AG61">
        <v>9</v>
      </c>
    </row>
    <row r="62" spans="1:33">
      <c r="A62">
        <v>10033</v>
      </c>
      <c r="B62" t="s">
        <v>1217</v>
      </c>
      <c r="C62" t="s">
        <v>31</v>
      </c>
      <c r="D62" t="s">
        <v>31</v>
      </c>
      <c r="E62" t="s">
        <v>929</v>
      </c>
      <c r="F62" t="s">
        <v>37</v>
      </c>
      <c r="G62" t="s">
        <v>50</v>
      </c>
      <c r="H62" t="s">
        <v>69</v>
      </c>
      <c r="I62">
        <v>70507</v>
      </c>
      <c r="J62" s="3">
        <v>846084</v>
      </c>
      <c r="K62" s="2">
        <v>21496</v>
      </c>
      <c r="L62" t="s">
        <v>30</v>
      </c>
      <c r="M62" t="s">
        <v>29</v>
      </c>
      <c r="N62">
        <v>2045</v>
      </c>
      <c r="O62" t="s">
        <v>33</v>
      </c>
      <c r="P62" t="s">
        <v>32</v>
      </c>
      <c r="Q62" t="s">
        <v>34</v>
      </c>
      <c r="R62" s="2">
        <v>41281</v>
      </c>
      <c r="S62" s="1" t="s">
        <v>261</v>
      </c>
      <c r="T62">
        <v>1</v>
      </c>
      <c r="U62" t="s">
        <v>106</v>
      </c>
      <c r="V62">
        <v>5</v>
      </c>
      <c r="W62" t="s">
        <v>45</v>
      </c>
      <c r="X62">
        <v>0</v>
      </c>
      <c r="Y62" t="s">
        <v>39</v>
      </c>
      <c r="Z62">
        <v>4</v>
      </c>
      <c r="AA62" t="s">
        <v>40</v>
      </c>
      <c r="AB62">
        <v>5</v>
      </c>
      <c r="AC62" t="s">
        <v>932</v>
      </c>
      <c r="AD62">
        <v>0</v>
      </c>
      <c r="AE62" s="2">
        <v>42388</v>
      </c>
      <c r="AF62">
        <v>0</v>
      </c>
      <c r="AG62">
        <v>7</v>
      </c>
    </row>
    <row r="63" spans="1:33">
      <c r="A63">
        <v>10033</v>
      </c>
      <c r="B63" t="s">
        <v>1255</v>
      </c>
      <c r="C63" t="s">
        <v>31</v>
      </c>
      <c r="D63" t="s">
        <v>31</v>
      </c>
      <c r="E63" t="s">
        <v>929</v>
      </c>
      <c r="F63" t="s">
        <v>274</v>
      </c>
      <c r="G63" t="s">
        <v>294</v>
      </c>
      <c r="H63" t="s">
        <v>320</v>
      </c>
      <c r="I63">
        <v>39161</v>
      </c>
      <c r="J63" s="3">
        <v>469932</v>
      </c>
      <c r="K63" s="2">
        <v>26071</v>
      </c>
      <c r="L63" t="s">
        <v>264</v>
      </c>
      <c r="M63" t="s">
        <v>80</v>
      </c>
      <c r="N63">
        <v>71820</v>
      </c>
      <c r="O63" t="s">
        <v>73</v>
      </c>
      <c r="P63" t="s">
        <v>124</v>
      </c>
      <c r="Q63" t="s">
        <v>160</v>
      </c>
      <c r="R63" s="2">
        <v>43919</v>
      </c>
      <c r="S63" s="1" t="s">
        <v>35</v>
      </c>
      <c r="T63">
        <v>0</v>
      </c>
      <c r="U63" t="s">
        <v>36</v>
      </c>
      <c r="V63">
        <v>1</v>
      </c>
      <c r="W63" t="s">
        <v>87</v>
      </c>
      <c r="X63">
        <v>1</v>
      </c>
      <c r="Y63" t="s">
        <v>280</v>
      </c>
      <c r="Z63">
        <v>4</v>
      </c>
      <c r="AA63" t="s">
        <v>136</v>
      </c>
      <c r="AB63">
        <v>3.8</v>
      </c>
      <c r="AC63" t="s">
        <v>932</v>
      </c>
      <c r="AD63">
        <v>5</v>
      </c>
      <c r="AE63" s="2">
        <v>45794</v>
      </c>
      <c r="AF63">
        <v>0</v>
      </c>
      <c r="AG63">
        <v>4</v>
      </c>
    </row>
    <row r="64" spans="1:33">
      <c r="A64">
        <v>10034</v>
      </c>
      <c r="B64" t="s">
        <v>1068</v>
      </c>
      <c r="C64" t="s">
        <v>42</v>
      </c>
      <c r="D64" t="s">
        <v>42</v>
      </c>
      <c r="E64" t="s">
        <v>929</v>
      </c>
      <c r="F64" t="s">
        <v>37</v>
      </c>
      <c r="G64" t="s">
        <v>28</v>
      </c>
      <c r="H64" t="s">
        <v>38</v>
      </c>
      <c r="I64">
        <v>46837</v>
      </c>
      <c r="J64" s="3">
        <v>562044</v>
      </c>
      <c r="K64" s="2">
        <v>21781</v>
      </c>
      <c r="L64" t="s">
        <v>30</v>
      </c>
      <c r="M64" t="s">
        <v>29</v>
      </c>
      <c r="N64">
        <v>2445</v>
      </c>
      <c r="O64" t="s">
        <v>33</v>
      </c>
      <c r="P64" t="s">
        <v>32</v>
      </c>
      <c r="Q64" t="s">
        <v>34</v>
      </c>
      <c r="R64" s="2">
        <v>40854</v>
      </c>
      <c r="S64" s="1" t="s">
        <v>181</v>
      </c>
      <c r="T64">
        <v>1</v>
      </c>
      <c r="U64" t="s">
        <v>138</v>
      </c>
      <c r="V64">
        <v>5</v>
      </c>
      <c r="W64" t="s">
        <v>45</v>
      </c>
      <c r="X64">
        <v>0</v>
      </c>
      <c r="Y64" t="s">
        <v>94</v>
      </c>
      <c r="Z64">
        <v>4</v>
      </c>
      <c r="AA64" t="s">
        <v>40</v>
      </c>
      <c r="AB64">
        <v>4.7</v>
      </c>
      <c r="AC64" t="s">
        <v>937</v>
      </c>
      <c r="AD64">
        <v>0</v>
      </c>
      <c r="AE64" s="2">
        <v>43145</v>
      </c>
      <c r="AF64">
        <v>0</v>
      </c>
      <c r="AG64">
        <v>9</v>
      </c>
    </row>
    <row r="65" spans="1:33">
      <c r="A65">
        <v>10034</v>
      </c>
      <c r="B65" t="s">
        <v>1256</v>
      </c>
      <c r="C65" t="s">
        <v>42</v>
      </c>
      <c r="D65" t="s">
        <v>42</v>
      </c>
      <c r="E65" t="s">
        <v>929</v>
      </c>
      <c r="F65" t="s">
        <v>283</v>
      </c>
      <c r="G65" t="s">
        <v>62</v>
      </c>
      <c r="H65" t="s">
        <v>321</v>
      </c>
      <c r="I65">
        <v>111417</v>
      </c>
      <c r="J65" s="3">
        <v>1337004</v>
      </c>
      <c r="K65" s="2">
        <v>29868</v>
      </c>
      <c r="L65" t="s">
        <v>51</v>
      </c>
      <c r="M65" t="s">
        <v>80</v>
      </c>
      <c r="N65">
        <v>59714</v>
      </c>
      <c r="O65" t="s">
        <v>33</v>
      </c>
      <c r="P65" t="s">
        <v>32</v>
      </c>
      <c r="Q65" t="s">
        <v>34</v>
      </c>
      <c r="R65" s="2">
        <v>43358</v>
      </c>
      <c r="S65" s="1" t="s">
        <v>35</v>
      </c>
      <c r="T65">
        <v>1</v>
      </c>
      <c r="U65" t="s">
        <v>36</v>
      </c>
      <c r="V65">
        <v>2</v>
      </c>
      <c r="W65" t="s">
        <v>87</v>
      </c>
      <c r="X65">
        <v>1</v>
      </c>
      <c r="Y65" t="s">
        <v>142</v>
      </c>
      <c r="Z65">
        <v>2</v>
      </c>
      <c r="AA65" t="s">
        <v>49</v>
      </c>
      <c r="AB65">
        <v>2.6</v>
      </c>
      <c r="AC65" t="s">
        <v>1003</v>
      </c>
      <c r="AD65">
        <v>2</v>
      </c>
      <c r="AE65" s="2">
        <v>45785</v>
      </c>
      <c r="AF65">
        <v>1</v>
      </c>
      <c r="AG65">
        <v>8</v>
      </c>
    </row>
    <row r="66" spans="1:33">
      <c r="A66">
        <v>10035</v>
      </c>
      <c r="B66" t="s">
        <v>1095</v>
      </c>
      <c r="C66" t="s">
        <v>31</v>
      </c>
      <c r="D66" t="s">
        <v>31</v>
      </c>
      <c r="E66" t="s">
        <v>934</v>
      </c>
      <c r="F66" t="s">
        <v>37</v>
      </c>
      <c r="G66" t="s">
        <v>50</v>
      </c>
      <c r="H66" t="s">
        <v>55</v>
      </c>
      <c r="I66">
        <v>73330</v>
      </c>
      <c r="J66" s="3">
        <v>879960</v>
      </c>
      <c r="K66" s="2">
        <v>30038</v>
      </c>
      <c r="L66" t="s">
        <v>51</v>
      </c>
      <c r="M66" t="s">
        <v>29</v>
      </c>
      <c r="N66">
        <v>2324</v>
      </c>
      <c r="O66" t="s">
        <v>33</v>
      </c>
      <c r="P66" t="s">
        <v>32</v>
      </c>
      <c r="Q66" t="s">
        <v>68</v>
      </c>
      <c r="R66" s="2">
        <v>41505</v>
      </c>
      <c r="S66" s="1" t="s">
        <v>35</v>
      </c>
      <c r="T66">
        <v>0</v>
      </c>
      <c r="U66" t="s">
        <v>36</v>
      </c>
      <c r="V66">
        <v>1</v>
      </c>
      <c r="W66" t="s">
        <v>36</v>
      </c>
      <c r="X66">
        <v>0</v>
      </c>
      <c r="Y66" t="s">
        <v>48</v>
      </c>
      <c r="Z66">
        <v>4</v>
      </c>
      <c r="AA66" t="s">
        <v>40</v>
      </c>
      <c r="AB66">
        <v>4.2</v>
      </c>
      <c r="AC66" t="s">
        <v>937</v>
      </c>
      <c r="AD66">
        <v>0</v>
      </c>
      <c r="AE66" s="2">
        <v>43508</v>
      </c>
      <c r="AF66">
        <v>0</v>
      </c>
      <c r="AG66">
        <v>19</v>
      </c>
    </row>
    <row r="67" spans="1:33">
      <c r="A67">
        <v>10035</v>
      </c>
      <c r="B67" t="s">
        <v>1257</v>
      </c>
      <c r="C67" t="s">
        <v>42</v>
      </c>
      <c r="D67" t="s">
        <v>31</v>
      </c>
      <c r="E67" t="s">
        <v>929</v>
      </c>
      <c r="F67" t="s">
        <v>283</v>
      </c>
      <c r="G67" t="s">
        <v>277</v>
      </c>
      <c r="H67" t="s">
        <v>323</v>
      </c>
      <c r="I67">
        <v>60053</v>
      </c>
      <c r="J67" s="3">
        <v>720636</v>
      </c>
      <c r="K67" s="2">
        <v>32772</v>
      </c>
      <c r="L67" t="s">
        <v>264</v>
      </c>
      <c r="M67" t="s">
        <v>191</v>
      </c>
      <c r="N67">
        <v>9458</v>
      </c>
      <c r="O67" t="s">
        <v>73</v>
      </c>
      <c r="P67" t="s">
        <v>32</v>
      </c>
      <c r="Q67" t="s">
        <v>270</v>
      </c>
      <c r="R67" s="2">
        <v>44278</v>
      </c>
      <c r="S67" s="1" t="s">
        <v>322</v>
      </c>
      <c r="T67">
        <v>0</v>
      </c>
      <c r="U67" t="s">
        <v>36</v>
      </c>
      <c r="V67">
        <v>2</v>
      </c>
      <c r="W67" t="s">
        <v>87</v>
      </c>
      <c r="X67">
        <v>0</v>
      </c>
      <c r="Y67" t="s">
        <v>48</v>
      </c>
      <c r="Z67">
        <v>1</v>
      </c>
      <c r="AA67" t="s">
        <v>95</v>
      </c>
      <c r="AB67">
        <v>4.5</v>
      </c>
      <c r="AC67" t="s">
        <v>1003</v>
      </c>
      <c r="AD67">
        <v>3</v>
      </c>
      <c r="AE67" s="2">
        <v>45937</v>
      </c>
      <c r="AF67">
        <v>2</v>
      </c>
      <c r="AG67">
        <v>4</v>
      </c>
    </row>
    <row r="68" spans="1:33">
      <c r="A68">
        <v>10036</v>
      </c>
      <c r="B68" t="s">
        <v>1070</v>
      </c>
      <c r="C68" t="s">
        <v>31</v>
      </c>
      <c r="D68" t="s">
        <v>31</v>
      </c>
      <c r="E68" t="s">
        <v>934</v>
      </c>
      <c r="F68" t="s">
        <v>37</v>
      </c>
      <c r="G68" t="s">
        <v>50</v>
      </c>
      <c r="H68" t="s">
        <v>69</v>
      </c>
      <c r="I68">
        <v>63322</v>
      </c>
      <c r="J68" s="3">
        <v>759864</v>
      </c>
      <c r="K68" s="2">
        <v>25454</v>
      </c>
      <c r="L68" t="s">
        <v>51</v>
      </c>
      <c r="M68" t="s">
        <v>29</v>
      </c>
      <c r="N68">
        <v>2128</v>
      </c>
      <c r="O68" t="s">
        <v>33</v>
      </c>
      <c r="P68" t="s">
        <v>32</v>
      </c>
      <c r="Q68" t="s">
        <v>34</v>
      </c>
      <c r="R68" s="2">
        <v>41827</v>
      </c>
      <c r="S68" s="1" t="s">
        <v>35</v>
      </c>
      <c r="T68">
        <v>0</v>
      </c>
      <c r="U68" t="s">
        <v>36</v>
      </c>
      <c r="V68">
        <v>1</v>
      </c>
      <c r="W68" t="s">
        <v>36</v>
      </c>
      <c r="X68">
        <v>0</v>
      </c>
      <c r="Y68" t="s">
        <v>39</v>
      </c>
      <c r="Z68">
        <v>4</v>
      </c>
      <c r="AA68" t="s">
        <v>40</v>
      </c>
      <c r="AB68">
        <v>4.3</v>
      </c>
      <c r="AC68" t="s">
        <v>932</v>
      </c>
      <c r="AD68">
        <v>0</v>
      </c>
      <c r="AE68" s="2">
        <v>43476</v>
      </c>
      <c r="AF68">
        <v>0</v>
      </c>
      <c r="AG68">
        <v>1</v>
      </c>
    </row>
    <row r="69" spans="1:33">
      <c r="A69">
        <v>10036</v>
      </c>
      <c r="B69" t="s">
        <v>1258</v>
      </c>
      <c r="C69" t="s">
        <v>31</v>
      </c>
      <c r="D69" t="s">
        <v>42</v>
      </c>
      <c r="E69" t="s">
        <v>929</v>
      </c>
      <c r="F69" t="s">
        <v>283</v>
      </c>
      <c r="G69" t="s">
        <v>294</v>
      </c>
      <c r="H69" t="s">
        <v>324</v>
      </c>
      <c r="I69">
        <v>76683</v>
      </c>
      <c r="J69" s="3">
        <v>920196</v>
      </c>
      <c r="K69" s="2">
        <v>30815</v>
      </c>
      <c r="L69" t="s">
        <v>51</v>
      </c>
      <c r="M69" t="s">
        <v>144</v>
      </c>
      <c r="N69">
        <v>96937</v>
      </c>
      <c r="O69" t="s">
        <v>73</v>
      </c>
      <c r="P69" t="s">
        <v>124</v>
      </c>
      <c r="Q69" t="s">
        <v>270</v>
      </c>
      <c r="R69" s="2">
        <v>42553</v>
      </c>
      <c r="S69" s="1" t="s">
        <v>35</v>
      </c>
      <c r="T69">
        <v>0</v>
      </c>
      <c r="U69" t="s">
        <v>36</v>
      </c>
      <c r="V69">
        <v>3</v>
      </c>
      <c r="W69" t="s">
        <v>36</v>
      </c>
      <c r="X69">
        <v>1</v>
      </c>
      <c r="Y69" t="s">
        <v>39</v>
      </c>
      <c r="Z69">
        <v>4</v>
      </c>
      <c r="AA69" t="s">
        <v>49</v>
      </c>
      <c r="AB69">
        <v>4.2</v>
      </c>
      <c r="AC69" t="s">
        <v>937</v>
      </c>
      <c r="AD69">
        <v>1</v>
      </c>
      <c r="AE69" s="2">
        <v>45895</v>
      </c>
      <c r="AF69">
        <v>2</v>
      </c>
      <c r="AG69">
        <v>9</v>
      </c>
    </row>
    <row r="70" spans="1:33">
      <c r="A70">
        <v>10037</v>
      </c>
      <c r="B70" t="s">
        <v>1120</v>
      </c>
      <c r="C70" t="s">
        <v>31</v>
      </c>
      <c r="D70" t="s">
        <v>964</v>
      </c>
      <c r="E70" t="s">
        <v>934</v>
      </c>
      <c r="F70" t="s">
        <v>37</v>
      </c>
      <c r="G70" t="s">
        <v>28</v>
      </c>
      <c r="H70" t="s">
        <v>69</v>
      </c>
      <c r="I70">
        <v>52984</v>
      </c>
      <c r="J70" s="3">
        <v>635808</v>
      </c>
      <c r="K70" s="2">
        <v>24626</v>
      </c>
      <c r="L70" t="s">
        <v>51</v>
      </c>
      <c r="M70" t="s">
        <v>29</v>
      </c>
      <c r="N70">
        <v>1810</v>
      </c>
      <c r="O70" t="s">
        <v>33</v>
      </c>
      <c r="P70" t="s">
        <v>32</v>
      </c>
      <c r="Q70" t="s">
        <v>68</v>
      </c>
      <c r="R70" s="2">
        <v>41365</v>
      </c>
      <c r="S70" s="1" t="s">
        <v>35</v>
      </c>
      <c r="T70">
        <v>0</v>
      </c>
      <c r="U70" t="s">
        <v>36</v>
      </c>
      <c r="V70">
        <v>1</v>
      </c>
      <c r="W70" t="s">
        <v>36</v>
      </c>
      <c r="X70">
        <v>1</v>
      </c>
      <c r="Y70" t="s">
        <v>70</v>
      </c>
      <c r="Z70">
        <v>4</v>
      </c>
      <c r="AA70" t="s">
        <v>40</v>
      </c>
      <c r="AB70">
        <v>4</v>
      </c>
      <c r="AC70" t="s">
        <v>932</v>
      </c>
      <c r="AD70">
        <v>0</v>
      </c>
      <c r="AE70" s="2">
        <v>43509</v>
      </c>
      <c r="AF70">
        <v>0</v>
      </c>
      <c r="AG70">
        <v>12</v>
      </c>
    </row>
    <row r="71" spans="1:33">
      <c r="A71">
        <v>10037</v>
      </c>
      <c r="B71" t="s">
        <v>1259</v>
      </c>
      <c r="C71" t="s">
        <v>42</v>
      </c>
      <c r="D71" t="s">
        <v>31</v>
      </c>
      <c r="E71" t="s">
        <v>929</v>
      </c>
      <c r="F71" t="s">
        <v>283</v>
      </c>
      <c r="G71" t="s">
        <v>269</v>
      </c>
      <c r="H71" t="s">
        <v>325</v>
      </c>
      <c r="I71">
        <v>58521</v>
      </c>
      <c r="J71" s="3">
        <v>702252</v>
      </c>
      <c r="K71" s="2">
        <v>37282</v>
      </c>
      <c r="L71" t="s">
        <v>264</v>
      </c>
      <c r="M71" t="s">
        <v>80</v>
      </c>
      <c r="N71">
        <v>50902</v>
      </c>
      <c r="O71" t="s">
        <v>33</v>
      </c>
      <c r="P71" t="s">
        <v>124</v>
      </c>
      <c r="Q71" t="s">
        <v>92</v>
      </c>
      <c r="R71" s="2">
        <v>43934</v>
      </c>
      <c r="S71" s="1" t="s">
        <v>35</v>
      </c>
      <c r="T71">
        <v>0</v>
      </c>
      <c r="U71" t="s">
        <v>36</v>
      </c>
      <c r="V71">
        <v>3</v>
      </c>
      <c r="W71" t="s">
        <v>45</v>
      </c>
      <c r="X71">
        <v>0</v>
      </c>
      <c r="Y71" t="s">
        <v>142</v>
      </c>
      <c r="Z71">
        <v>3</v>
      </c>
      <c r="AA71" t="s">
        <v>49</v>
      </c>
      <c r="AB71">
        <v>4.0999999999999996</v>
      </c>
      <c r="AC71" t="s">
        <v>937</v>
      </c>
      <c r="AD71">
        <v>2</v>
      </c>
      <c r="AE71" s="2">
        <v>45998</v>
      </c>
      <c r="AF71">
        <v>5</v>
      </c>
      <c r="AG71">
        <v>6</v>
      </c>
    </row>
    <row r="72" spans="1:33">
      <c r="A72">
        <v>10038</v>
      </c>
      <c r="B72" t="s">
        <v>1084</v>
      </c>
      <c r="C72" t="s">
        <v>31</v>
      </c>
      <c r="D72" t="s">
        <v>56</v>
      </c>
      <c r="E72" t="s">
        <v>929</v>
      </c>
      <c r="F72" t="s">
        <v>102</v>
      </c>
      <c r="G72" t="s">
        <v>109</v>
      </c>
      <c r="H72" t="s">
        <v>103</v>
      </c>
      <c r="I72">
        <v>64520</v>
      </c>
      <c r="J72" s="3">
        <v>774240</v>
      </c>
      <c r="K72" s="2">
        <v>30798</v>
      </c>
      <c r="L72" t="s">
        <v>30</v>
      </c>
      <c r="M72" t="s">
        <v>29</v>
      </c>
      <c r="N72">
        <v>1460</v>
      </c>
      <c r="O72" t="s">
        <v>33</v>
      </c>
      <c r="P72" t="s">
        <v>32</v>
      </c>
      <c r="Q72" t="s">
        <v>68</v>
      </c>
      <c r="R72" s="2">
        <v>41645</v>
      </c>
      <c r="S72" s="1" t="s">
        <v>35</v>
      </c>
      <c r="T72">
        <v>0</v>
      </c>
      <c r="U72" t="s">
        <v>36</v>
      </c>
      <c r="V72">
        <v>1</v>
      </c>
      <c r="W72" t="s">
        <v>36</v>
      </c>
      <c r="X72">
        <v>0</v>
      </c>
      <c r="Y72" t="s">
        <v>142</v>
      </c>
      <c r="Z72">
        <v>3</v>
      </c>
      <c r="AA72" t="s">
        <v>49</v>
      </c>
      <c r="AB72">
        <v>5</v>
      </c>
      <c r="AC72" t="s">
        <v>937</v>
      </c>
      <c r="AD72">
        <v>4</v>
      </c>
      <c r="AE72" s="2">
        <v>43482</v>
      </c>
      <c r="AF72">
        <v>0</v>
      </c>
      <c r="AG72">
        <v>3</v>
      </c>
    </row>
    <row r="73" spans="1:33">
      <c r="A73">
        <v>10038</v>
      </c>
      <c r="B73" t="s">
        <v>1260</v>
      </c>
      <c r="C73" t="s">
        <v>42</v>
      </c>
      <c r="D73" t="s">
        <v>56</v>
      </c>
      <c r="E73" t="s">
        <v>929</v>
      </c>
      <c r="F73" t="s">
        <v>283</v>
      </c>
      <c r="G73" t="s">
        <v>62</v>
      </c>
      <c r="H73" t="s">
        <v>327</v>
      </c>
      <c r="I73">
        <v>86985</v>
      </c>
      <c r="J73" s="3">
        <v>1043820</v>
      </c>
      <c r="K73" s="2">
        <v>34149</v>
      </c>
      <c r="L73" t="s">
        <v>264</v>
      </c>
      <c r="M73" t="s">
        <v>144</v>
      </c>
      <c r="N73">
        <v>5893</v>
      </c>
      <c r="O73" t="s">
        <v>33</v>
      </c>
      <c r="P73" t="s">
        <v>32</v>
      </c>
      <c r="Q73" t="s">
        <v>160</v>
      </c>
      <c r="R73" s="2">
        <v>43428</v>
      </c>
      <c r="S73" s="1" t="s">
        <v>326</v>
      </c>
      <c r="T73">
        <v>1</v>
      </c>
      <c r="U73" t="s">
        <v>298</v>
      </c>
      <c r="V73">
        <v>1</v>
      </c>
      <c r="W73" t="s">
        <v>87</v>
      </c>
      <c r="X73">
        <v>0</v>
      </c>
      <c r="Y73" t="s">
        <v>268</v>
      </c>
      <c r="Z73">
        <v>1</v>
      </c>
      <c r="AA73" t="s">
        <v>136</v>
      </c>
      <c r="AB73">
        <v>2.7</v>
      </c>
      <c r="AC73" t="s">
        <v>1003</v>
      </c>
      <c r="AD73">
        <v>5</v>
      </c>
      <c r="AE73" s="2">
        <v>45848</v>
      </c>
      <c r="AF73">
        <v>3</v>
      </c>
      <c r="AG73">
        <v>7</v>
      </c>
    </row>
    <row r="74" spans="1:33">
      <c r="A74">
        <v>10039</v>
      </c>
      <c r="B74" t="s">
        <v>1171</v>
      </c>
      <c r="C74" t="s">
        <v>31</v>
      </c>
      <c r="D74" t="s">
        <v>31</v>
      </c>
      <c r="E74" t="s">
        <v>934</v>
      </c>
      <c r="F74" t="s">
        <v>102</v>
      </c>
      <c r="G74" t="s">
        <v>178</v>
      </c>
      <c r="H74" t="s">
        <v>103</v>
      </c>
      <c r="I74">
        <v>51920</v>
      </c>
      <c r="J74" s="3">
        <v>623040</v>
      </c>
      <c r="K74" s="2">
        <v>32282</v>
      </c>
      <c r="L74" t="s">
        <v>51</v>
      </c>
      <c r="M74" t="s">
        <v>29</v>
      </c>
      <c r="N74">
        <v>2330</v>
      </c>
      <c r="O74" t="s">
        <v>33</v>
      </c>
      <c r="P74" t="s">
        <v>32</v>
      </c>
      <c r="Q74" t="s">
        <v>34</v>
      </c>
      <c r="R74" s="2">
        <v>42125</v>
      </c>
      <c r="S74" s="1" t="s">
        <v>35</v>
      </c>
      <c r="T74">
        <v>0</v>
      </c>
      <c r="U74" t="s">
        <v>36</v>
      </c>
      <c r="V74">
        <v>1</v>
      </c>
      <c r="W74" t="s">
        <v>36</v>
      </c>
      <c r="X74">
        <v>0</v>
      </c>
      <c r="Y74" t="s">
        <v>142</v>
      </c>
      <c r="Z74">
        <v>3</v>
      </c>
      <c r="AA74" t="s">
        <v>49</v>
      </c>
      <c r="AB74">
        <v>5</v>
      </c>
      <c r="AC74" t="s">
        <v>932</v>
      </c>
      <c r="AD74">
        <v>5</v>
      </c>
      <c r="AE74" s="2">
        <v>43480</v>
      </c>
      <c r="AF74">
        <v>0</v>
      </c>
      <c r="AG74">
        <v>2</v>
      </c>
    </row>
    <row r="75" spans="1:33">
      <c r="A75">
        <v>10039</v>
      </c>
      <c r="B75" t="s">
        <v>1261</v>
      </c>
      <c r="C75" t="s">
        <v>31</v>
      </c>
      <c r="D75" t="s">
        <v>31</v>
      </c>
      <c r="E75" t="s">
        <v>929</v>
      </c>
      <c r="F75" t="s">
        <v>274</v>
      </c>
      <c r="G75" t="s">
        <v>28</v>
      </c>
      <c r="H75" t="s">
        <v>328</v>
      </c>
      <c r="I75">
        <v>47674</v>
      </c>
      <c r="J75" s="3">
        <v>572088</v>
      </c>
      <c r="K75" s="2">
        <v>24434</v>
      </c>
      <c r="L75" t="s">
        <v>51</v>
      </c>
      <c r="M75" t="s">
        <v>80</v>
      </c>
      <c r="N75">
        <v>21756</v>
      </c>
      <c r="O75" t="s">
        <v>33</v>
      </c>
      <c r="P75" t="s">
        <v>32</v>
      </c>
      <c r="Q75" t="s">
        <v>34</v>
      </c>
      <c r="R75" s="2">
        <v>44468</v>
      </c>
      <c r="S75" s="1" t="s">
        <v>35</v>
      </c>
      <c r="T75">
        <v>1</v>
      </c>
      <c r="U75" t="s">
        <v>273</v>
      </c>
      <c r="V75">
        <v>2</v>
      </c>
      <c r="W75" t="s">
        <v>45</v>
      </c>
      <c r="X75">
        <v>1</v>
      </c>
      <c r="Y75" t="s">
        <v>280</v>
      </c>
      <c r="Z75">
        <v>3</v>
      </c>
      <c r="AA75" t="s">
        <v>276</v>
      </c>
      <c r="AB75">
        <v>4</v>
      </c>
      <c r="AC75" t="s">
        <v>1003</v>
      </c>
      <c r="AD75">
        <v>5</v>
      </c>
      <c r="AE75" s="2">
        <v>45747</v>
      </c>
      <c r="AF75">
        <v>5</v>
      </c>
      <c r="AG75">
        <v>10</v>
      </c>
    </row>
    <row r="76" spans="1:33">
      <c r="A76">
        <v>10040</v>
      </c>
      <c r="B76" t="s">
        <v>973</v>
      </c>
      <c r="C76" t="s">
        <v>31</v>
      </c>
      <c r="D76" t="s">
        <v>31</v>
      </c>
      <c r="E76" t="s">
        <v>934</v>
      </c>
      <c r="F76" t="s">
        <v>113</v>
      </c>
      <c r="G76" t="s">
        <v>110</v>
      </c>
      <c r="H76" t="s">
        <v>114</v>
      </c>
      <c r="I76">
        <v>71860</v>
      </c>
      <c r="J76" s="3">
        <v>862320</v>
      </c>
      <c r="K76" s="2">
        <v>23146</v>
      </c>
      <c r="L76" t="s">
        <v>51</v>
      </c>
      <c r="M76" t="s">
        <v>118</v>
      </c>
      <c r="N76">
        <v>5664</v>
      </c>
      <c r="O76" t="s">
        <v>33</v>
      </c>
      <c r="P76" t="s">
        <v>32</v>
      </c>
      <c r="Q76" t="s">
        <v>34</v>
      </c>
      <c r="R76" s="2">
        <v>41869</v>
      </c>
      <c r="S76" s="1" t="s">
        <v>35</v>
      </c>
      <c r="T76">
        <v>0</v>
      </c>
      <c r="U76" t="s">
        <v>36</v>
      </c>
      <c r="V76">
        <v>1</v>
      </c>
      <c r="W76" t="s">
        <v>36</v>
      </c>
      <c r="X76">
        <v>0</v>
      </c>
      <c r="Y76" t="s">
        <v>48</v>
      </c>
      <c r="Z76">
        <v>3</v>
      </c>
      <c r="AA76" t="s">
        <v>49</v>
      </c>
      <c r="AB76">
        <v>5</v>
      </c>
      <c r="AC76" t="s">
        <v>930</v>
      </c>
      <c r="AD76">
        <v>0</v>
      </c>
      <c r="AE76" s="2">
        <v>43486</v>
      </c>
      <c r="AF76">
        <v>0</v>
      </c>
      <c r="AG76">
        <v>7</v>
      </c>
    </row>
    <row r="77" spans="1:33">
      <c r="A77">
        <v>10040</v>
      </c>
      <c r="B77" t="s">
        <v>1262</v>
      </c>
      <c r="C77" t="s">
        <v>31</v>
      </c>
      <c r="D77" t="s">
        <v>56</v>
      </c>
      <c r="E77" t="s">
        <v>929</v>
      </c>
      <c r="F77" t="s">
        <v>113</v>
      </c>
      <c r="G77" t="s">
        <v>294</v>
      </c>
      <c r="H77" t="s">
        <v>329</v>
      </c>
      <c r="I77">
        <v>69106</v>
      </c>
      <c r="J77" s="3">
        <v>829272</v>
      </c>
      <c r="K77" s="2">
        <v>29555</v>
      </c>
      <c r="L77" t="s">
        <v>264</v>
      </c>
      <c r="M77" t="s">
        <v>29</v>
      </c>
      <c r="N77">
        <v>3921</v>
      </c>
      <c r="O77" t="s">
        <v>73</v>
      </c>
      <c r="P77" t="s">
        <v>124</v>
      </c>
      <c r="Q77" t="s">
        <v>160</v>
      </c>
      <c r="R77" s="2">
        <v>42677</v>
      </c>
      <c r="S77" s="1" t="s">
        <v>35</v>
      </c>
      <c r="T77">
        <v>0</v>
      </c>
      <c r="U77" t="s">
        <v>36</v>
      </c>
      <c r="V77">
        <v>1</v>
      </c>
      <c r="W77" t="s">
        <v>45</v>
      </c>
      <c r="X77">
        <v>1</v>
      </c>
      <c r="Y77" t="s">
        <v>39</v>
      </c>
      <c r="Z77">
        <v>2</v>
      </c>
      <c r="AA77" t="s">
        <v>276</v>
      </c>
      <c r="AB77">
        <v>4</v>
      </c>
      <c r="AC77" t="s">
        <v>962</v>
      </c>
      <c r="AD77">
        <v>1</v>
      </c>
      <c r="AE77" s="2">
        <v>45783</v>
      </c>
      <c r="AF77">
        <v>1</v>
      </c>
      <c r="AG77">
        <v>7</v>
      </c>
    </row>
    <row r="78" spans="1:33">
      <c r="A78">
        <v>10041</v>
      </c>
      <c r="B78" t="s">
        <v>1129</v>
      </c>
      <c r="C78" t="s">
        <v>31</v>
      </c>
      <c r="D78" t="s">
        <v>31</v>
      </c>
      <c r="E78" t="s">
        <v>929</v>
      </c>
      <c r="F78" t="s">
        <v>113</v>
      </c>
      <c r="G78" t="s">
        <v>110</v>
      </c>
      <c r="H78" t="s">
        <v>114</v>
      </c>
      <c r="I78">
        <v>68829</v>
      </c>
      <c r="J78" s="3">
        <v>825948</v>
      </c>
      <c r="K78" s="2">
        <v>30090</v>
      </c>
      <c r="L78" t="s">
        <v>30</v>
      </c>
      <c r="M78" t="s">
        <v>211</v>
      </c>
      <c r="N78">
        <v>27229</v>
      </c>
      <c r="O78" t="s">
        <v>33</v>
      </c>
      <c r="P78" t="s">
        <v>32</v>
      </c>
      <c r="Q78" t="s">
        <v>34</v>
      </c>
      <c r="R78" s="2">
        <v>42009</v>
      </c>
      <c r="S78" s="1" t="s">
        <v>35</v>
      </c>
      <c r="T78">
        <v>0</v>
      </c>
      <c r="U78" t="s">
        <v>36</v>
      </c>
      <c r="V78">
        <v>1</v>
      </c>
      <c r="W78" t="s">
        <v>36</v>
      </c>
      <c r="X78">
        <v>0</v>
      </c>
      <c r="Y78" t="s">
        <v>142</v>
      </c>
      <c r="Z78">
        <v>3</v>
      </c>
      <c r="AA78" t="s">
        <v>49</v>
      </c>
      <c r="AB78">
        <v>5</v>
      </c>
      <c r="AC78" t="s">
        <v>930</v>
      </c>
      <c r="AD78">
        <v>0</v>
      </c>
      <c r="AE78" s="2">
        <v>43479</v>
      </c>
      <c r="AF78">
        <v>0</v>
      </c>
      <c r="AG78">
        <v>18</v>
      </c>
    </row>
    <row r="79" spans="1:33">
      <c r="A79">
        <v>10041</v>
      </c>
      <c r="B79" t="s">
        <v>1263</v>
      </c>
      <c r="C79" t="s">
        <v>31</v>
      </c>
      <c r="D79" t="s">
        <v>56</v>
      </c>
      <c r="E79" t="s">
        <v>934</v>
      </c>
      <c r="F79" t="s">
        <v>274</v>
      </c>
      <c r="G79" t="s">
        <v>294</v>
      </c>
      <c r="H79" t="s">
        <v>330</v>
      </c>
      <c r="I79">
        <v>54424</v>
      </c>
      <c r="J79" s="3">
        <v>653088</v>
      </c>
      <c r="K79" s="2">
        <v>35771</v>
      </c>
      <c r="L79" t="s">
        <v>264</v>
      </c>
      <c r="M79" t="s">
        <v>191</v>
      </c>
      <c r="N79">
        <v>60341</v>
      </c>
      <c r="O79" t="s">
        <v>73</v>
      </c>
      <c r="P79" t="s">
        <v>124</v>
      </c>
      <c r="Q79" t="s">
        <v>204</v>
      </c>
      <c r="R79" s="2">
        <v>45234</v>
      </c>
      <c r="S79" s="1" t="s">
        <v>35</v>
      </c>
      <c r="T79">
        <v>1</v>
      </c>
      <c r="U79" t="s">
        <v>298</v>
      </c>
      <c r="V79">
        <v>2</v>
      </c>
      <c r="W79" t="s">
        <v>87</v>
      </c>
      <c r="X79">
        <v>0</v>
      </c>
      <c r="Y79" t="s">
        <v>39</v>
      </c>
      <c r="Z79">
        <v>1</v>
      </c>
      <c r="AA79" t="s">
        <v>276</v>
      </c>
      <c r="AB79">
        <v>2.9</v>
      </c>
      <c r="AC79" t="s">
        <v>930</v>
      </c>
      <c r="AD79">
        <v>0</v>
      </c>
      <c r="AE79" s="2">
        <v>45672</v>
      </c>
      <c r="AF79">
        <v>2</v>
      </c>
      <c r="AG79">
        <v>3</v>
      </c>
    </row>
    <row r="80" spans="1:33">
      <c r="A80">
        <v>10042</v>
      </c>
      <c r="B80" t="s">
        <v>1121</v>
      </c>
      <c r="C80" t="s">
        <v>31</v>
      </c>
      <c r="D80" t="s">
        <v>31</v>
      </c>
      <c r="E80" t="s">
        <v>934</v>
      </c>
      <c r="F80" t="s">
        <v>113</v>
      </c>
      <c r="G80" t="s">
        <v>110</v>
      </c>
      <c r="H80" t="s">
        <v>121</v>
      </c>
      <c r="I80">
        <v>63695</v>
      </c>
      <c r="J80" s="3">
        <v>764340</v>
      </c>
      <c r="K80" s="2">
        <v>32598</v>
      </c>
      <c r="L80" t="s">
        <v>51</v>
      </c>
      <c r="M80" t="s">
        <v>208</v>
      </c>
      <c r="N80">
        <v>30428</v>
      </c>
      <c r="O80" t="s">
        <v>33</v>
      </c>
      <c r="P80" t="s">
        <v>32</v>
      </c>
      <c r="Q80" t="s">
        <v>81</v>
      </c>
      <c r="R80" s="2">
        <v>41463</v>
      </c>
      <c r="S80" s="1" t="s">
        <v>35</v>
      </c>
      <c r="T80">
        <v>0</v>
      </c>
      <c r="U80" t="s">
        <v>36</v>
      </c>
      <c r="V80">
        <v>1</v>
      </c>
      <c r="W80" t="s">
        <v>36</v>
      </c>
      <c r="X80">
        <v>0</v>
      </c>
      <c r="Y80" t="s">
        <v>48</v>
      </c>
      <c r="Z80">
        <v>3</v>
      </c>
      <c r="AA80" t="s">
        <v>49</v>
      </c>
      <c r="AB80">
        <v>5</v>
      </c>
      <c r="AC80" t="s">
        <v>930</v>
      </c>
      <c r="AD80">
        <v>0</v>
      </c>
      <c r="AE80" s="2">
        <v>43490</v>
      </c>
      <c r="AF80">
        <v>0</v>
      </c>
      <c r="AG80">
        <v>2</v>
      </c>
    </row>
    <row r="81" spans="1:33">
      <c r="A81">
        <v>10042</v>
      </c>
      <c r="B81" t="s">
        <v>1264</v>
      </c>
      <c r="C81" t="s">
        <v>31</v>
      </c>
      <c r="D81" t="s">
        <v>42</v>
      </c>
      <c r="E81" t="s">
        <v>929</v>
      </c>
      <c r="F81" t="s">
        <v>283</v>
      </c>
      <c r="G81" t="s">
        <v>277</v>
      </c>
      <c r="H81" t="s">
        <v>332</v>
      </c>
      <c r="I81">
        <v>30243</v>
      </c>
      <c r="J81" s="3">
        <v>362916</v>
      </c>
      <c r="K81" s="2">
        <v>34370</v>
      </c>
      <c r="L81" t="s">
        <v>51</v>
      </c>
      <c r="M81" t="s">
        <v>144</v>
      </c>
      <c r="N81">
        <v>33115</v>
      </c>
      <c r="O81" t="s">
        <v>33</v>
      </c>
      <c r="P81" t="s">
        <v>32</v>
      </c>
      <c r="Q81" t="s">
        <v>270</v>
      </c>
      <c r="R81" s="2">
        <v>45557</v>
      </c>
      <c r="S81" s="1" t="s">
        <v>331</v>
      </c>
      <c r="T81">
        <v>1</v>
      </c>
      <c r="U81" t="s">
        <v>290</v>
      </c>
      <c r="V81">
        <v>3</v>
      </c>
      <c r="W81" t="s">
        <v>87</v>
      </c>
      <c r="X81">
        <v>0</v>
      </c>
      <c r="Y81" t="s">
        <v>48</v>
      </c>
      <c r="Z81">
        <v>3</v>
      </c>
      <c r="AA81" t="s">
        <v>95</v>
      </c>
      <c r="AB81">
        <v>4.0999999999999996</v>
      </c>
      <c r="AC81" t="s">
        <v>932</v>
      </c>
      <c r="AD81">
        <v>0</v>
      </c>
      <c r="AE81" s="2">
        <v>45649</v>
      </c>
      <c r="AF81">
        <v>4</v>
      </c>
      <c r="AG81">
        <v>4</v>
      </c>
    </row>
    <row r="82" spans="1:33">
      <c r="A82">
        <v>10043</v>
      </c>
      <c r="B82" t="s">
        <v>1221</v>
      </c>
      <c r="C82" t="s">
        <v>31</v>
      </c>
      <c r="D82" t="s">
        <v>31</v>
      </c>
      <c r="E82" t="s">
        <v>934</v>
      </c>
      <c r="F82" t="s">
        <v>46</v>
      </c>
      <c r="G82" t="s">
        <v>79</v>
      </c>
      <c r="H82" t="s">
        <v>47</v>
      </c>
      <c r="I82">
        <v>89292</v>
      </c>
      <c r="J82" s="3">
        <v>1071504</v>
      </c>
      <c r="K82" s="2">
        <v>28910</v>
      </c>
      <c r="L82" t="s">
        <v>51</v>
      </c>
      <c r="M82" t="s">
        <v>29</v>
      </c>
      <c r="N82">
        <v>2148</v>
      </c>
      <c r="O82" t="s">
        <v>33</v>
      </c>
      <c r="P82" t="s">
        <v>32</v>
      </c>
      <c r="Q82" t="s">
        <v>34</v>
      </c>
      <c r="R82" s="2">
        <v>42093</v>
      </c>
      <c r="S82" s="1" t="s">
        <v>35</v>
      </c>
      <c r="T82">
        <v>0</v>
      </c>
      <c r="U82" t="s">
        <v>36</v>
      </c>
      <c r="V82">
        <v>1</v>
      </c>
      <c r="W82" t="s">
        <v>36</v>
      </c>
      <c r="X82">
        <v>0</v>
      </c>
      <c r="Y82" t="s">
        <v>67</v>
      </c>
      <c r="Z82">
        <v>3</v>
      </c>
      <c r="AA82" t="s">
        <v>49</v>
      </c>
      <c r="AB82">
        <v>5</v>
      </c>
      <c r="AC82" t="s">
        <v>932</v>
      </c>
      <c r="AD82">
        <v>5</v>
      </c>
      <c r="AE82" s="2">
        <v>43497</v>
      </c>
      <c r="AF82">
        <v>0</v>
      </c>
      <c r="AG82">
        <v>11</v>
      </c>
    </row>
    <row r="83" spans="1:33">
      <c r="A83">
        <v>10043</v>
      </c>
      <c r="B83" t="s">
        <v>1265</v>
      </c>
      <c r="C83" t="s">
        <v>42</v>
      </c>
      <c r="D83" t="s">
        <v>42</v>
      </c>
      <c r="E83" t="s">
        <v>934</v>
      </c>
      <c r="F83" t="s">
        <v>271</v>
      </c>
      <c r="G83" t="s">
        <v>62</v>
      </c>
      <c r="H83" t="s">
        <v>334</v>
      </c>
      <c r="I83">
        <v>93989</v>
      </c>
      <c r="J83" s="3">
        <v>1127868</v>
      </c>
      <c r="K83" s="2">
        <v>26015</v>
      </c>
      <c r="L83" t="s">
        <v>264</v>
      </c>
      <c r="M83" t="s">
        <v>191</v>
      </c>
      <c r="N83">
        <v>22848</v>
      </c>
      <c r="O83" t="s">
        <v>73</v>
      </c>
      <c r="P83" t="s">
        <v>124</v>
      </c>
      <c r="Q83" t="s">
        <v>270</v>
      </c>
      <c r="R83" s="2">
        <v>44480</v>
      </c>
      <c r="S83" s="1" t="s">
        <v>333</v>
      </c>
      <c r="T83">
        <v>0</v>
      </c>
      <c r="U83" t="s">
        <v>36</v>
      </c>
      <c r="V83">
        <v>3</v>
      </c>
      <c r="W83" t="s">
        <v>45</v>
      </c>
      <c r="X83">
        <v>1</v>
      </c>
      <c r="Y83" t="s">
        <v>280</v>
      </c>
      <c r="Z83">
        <v>4</v>
      </c>
      <c r="AA83" t="s">
        <v>95</v>
      </c>
      <c r="AB83">
        <v>4.5999999999999996</v>
      </c>
      <c r="AC83" t="s">
        <v>932</v>
      </c>
      <c r="AD83">
        <v>2</v>
      </c>
      <c r="AE83" s="2">
        <v>45829</v>
      </c>
      <c r="AF83">
        <v>1</v>
      </c>
      <c r="AG83">
        <v>4</v>
      </c>
    </row>
    <row r="84" spans="1:33">
      <c r="A84">
        <v>10044</v>
      </c>
      <c r="B84" t="s">
        <v>1197</v>
      </c>
      <c r="C84" t="s">
        <v>42</v>
      </c>
      <c r="D84" t="s">
        <v>42</v>
      </c>
      <c r="E84" t="s">
        <v>929</v>
      </c>
      <c r="F84" t="s">
        <v>46</v>
      </c>
      <c r="G84" t="s">
        <v>152</v>
      </c>
      <c r="H84" t="s">
        <v>72</v>
      </c>
      <c r="I84">
        <v>75281</v>
      </c>
      <c r="J84" s="3">
        <v>903372</v>
      </c>
      <c r="K84" s="2">
        <v>32268</v>
      </c>
      <c r="L84" t="s">
        <v>30</v>
      </c>
      <c r="M84" t="s">
        <v>29</v>
      </c>
      <c r="N84">
        <v>1420</v>
      </c>
      <c r="O84" t="s">
        <v>33</v>
      </c>
      <c r="P84" t="s">
        <v>32</v>
      </c>
      <c r="Q84" t="s">
        <v>34</v>
      </c>
      <c r="R84" s="2">
        <v>42009</v>
      </c>
      <c r="S84" s="1" t="s">
        <v>248</v>
      </c>
      <c r="T84">
        <v>1</v>
      </c>
      <c r="U84" t="s">
        <v>218</v>
      </c>
      <c r="V84">
        <v>5</v>
      </c>
      <c r="W84" t="s">
        <v>45</v>
      </c>
      <c r="X84">
        <v>0</v>
      </c>
      <c r="Y84" t="s">
        <v>94</v>
      </c>
      <c r="Z84">
        <v>3</v>
      </c>
      <c r="AA84" t="s">
        <v>49</v>
      </c>
      <c r="AB84">
        <v>5</v>
      </c>
      <c r="AC84" t="s">
        <v>932</v>
      </c>
      <c r="AD84">
        <v>5</v>
      </c>
      <c r="AE84" s="2">
        <v>42109</v>
      </c>
      <c r="AF84">
        <v>0</v>
      </c>
      <c r="AG84">
        <v>11</v>
      </c>
    </row>
    <row r="85" spans="1:33">
      <c r="A85">
        <v>10044</v>
      </c>
      <c r="B85" t="s">
        <v>1266</v>
      </c>
      <c r="C85" t="s">
        <v>31</v>
      </c>
      <c r="D85" t="s">
        <v>42</v>
      </c>
      <c r="E85" t="s">
        <v>934</v>
      </c>
      <c r="F85" t="s">
        <v>278</v>
      </c>
      <c r="G85" t="s">
        <v>28</v>
      </c>
      <c r="H85" t="s">
        <v>335</v>
      </c>
      <c r="I85">
        <v>67574</v>
      </c>
      <c r="J85" s="3">
        <v>810888</v>
      </c>
      <c r="K85" s="2">
        <v>31978</v>
      </c>
      <c r="L85" t="s">
        <v>51</v>
      </c>
      <c r="M85" t="s">
        <v>80</v>
      </c>
      <c r="N85">
        <v>44739</v>
      </c>
      <c r="O85" t="s">
        <v>33</v>
      </c>
      <c r="P85" t="s">
        <v>32</v>
      </c>
      <c r="Q85" t="s">
        <v>34</v>
      </c>
      <c r="R85" s="2">
        <v>43741</v>
      </c>
      <c r="S85" s="1" t="s">
        <v>35</v>
      </c>
      <c r="T85">
        <v>1</v>
      </c>
      <c r="U85" t="s">
        <v>266</v>
      </c>
      <c r="V85">
        <v>2</v>
      </c>
      <c r="W85" t="s">
        <v>87</v>
      </c>
      <c r="X85">
        <v>1</v>
      </c>
      <c r="Y85" t="s">
        <v>39</v>
      </c>
      <c r="Z85">
        <v>3</v>
      </c>
      <c r="AA85" t="s">
        <v>95</v>
      </c>
      <c r="AB85">
        <v>3.7</v>
      </c>
      <c r="AC85" t="s">
        <v>932</v>
      </c>
      <c r="AD85">
        <v>0</v>
      </c>
      <c r="AE85" s="2">
        <v>45755</v>
      </c>
      <c r="AF85">
        <v>1</v>
      </c>
      <c r="AG85">
        <v>9</v>
      </c>
    </row>
    <row r="86" spans="1:33">
      <c r="A86">
        <v>10045</v>
      </c>
      <c r="B86" t="s">
        <v>1200</v>
      </c>
      <c r="C86" t="s">
        <v>42</v>
      </c>
      <c r="D86" t="s">
        <v>42</v>
      </c>
      <c r="E86" t="s">
        <v>929</v>
      </c>
      <c r="F86" t="s">
        <v>46</v>
      </c>
      <c r="G86" t="s">
        <v>152</v>
      </c>
      <c r="H86" t="s">
        <v>72</v>
      </c>
      <c r="I86">
        <v>76029</v>
      </c>
      <c r="J86" s="3">
        <v>912348</v>
      </c>
      <c r="K86" s="2">
        <v>25293</v>
      </c>
      <c r="L86" t="s">
        <v>30</v>
      </c>
      <c r="M86" t="s">
        <v>29</v>
      </c>
      <c r="N86">
        <v>2343</v>
      </c>
      <c r="O86" t="s">
        <v>33</v>
      </c>
      <c r="P86" t="s">
        <v>88</v>
      </c>
      <c r="Q86" t="s">
        <v>34</v>
      </c>
      <c r="R86" s="2">
        <v>42093</v>
      </c>
      <c r="S86" s="1" t="s">
        <v>35</v>
      </c>
      <c r="T86">
        <v>0</v>
      </c>
      <c r="U86" t="s">
        <v>36</v>
      </c>
      <c r="V86">
        <v>1</v>
      </c>
      <c r="W86" t="s">
        <v>36</v>
      </c>
      <c r="X86">
        <v>0</v>
      </c>
      <c r="Y86" t="s">
        <v>67</v>
      </c>
      <c r="Z86">
        <v>3</v>
      </c>
      <c r="AA86" t="s">
        <v>49</v>
      </c>
      <c r="AB86">
        <v>5</v>
      </c>
      <c r="AC86" t="s">
        <v>937</v>
      </c>
      <c r="AD86">
        <v>7</v>
      </c>
      <c r="AE86" s="2">
        <v>43479</v>
      </c>
      <c r="AF86">
        <v>0</v>
      </c>
      <c r="AG86">
        <v>8</v>
      </c>
    </row>
    <row r="87" spans="1:33">
      <c r="A87">
        <v>10045</v>
      </c>
      <c r="B87" t="s">
        <v>1267</v>
      </c>
      <c r="C87" t="s">
        <v>42</v>
      </c>
      <c r="D87" t="s">
        <v>56</v>
      </c>
      <c r="E87" t="s">
        <v>934</v>
      </c>
      <c r="F87" t="s">
        <v>271</v>
      </c>
      <c r="G87" t="s">
        <v>277</v>
      </c>
      <c r="H87" t="s">
        <v>336</v>
      </c>
      <c r="I87">
        <v>45748</v>
      </c>
      <c r="J87" s="3">
        <v>548976</v>
      </c>
      <c r="K87" s="2">
        <v>35045</v>
      </c>
      <c r="L87" t="s">
        <v>264</v>
      </c>
      <c r="M87" t="s">
        <v>191</v>
      </c>
      <c r="N87">
        <v>88985</v>
      </c>
      <c r="O87" t="s">
        <v>33</v>
      </c>
      <c r="P87" t="s">
        <v>32</v>
      </c>
      <c r="Q87" t="s">
        <v>270</v>
      </c>
      <c r="R87" s="2">
        <v>43123</v>
      </c>
      <c r="S87" s="1" t="s">
        <v>35</v>
      </c>
      <c r="T87">
        <v>1</v>
      </c>
      <c r="U87" t="s">
        <v>290</v>
      </c>
      <c r="V87">
        <v>3</v>
      </c>
      <c r="W87" t="s">
        <v>45</v>
      </c>
      <c r="X87">
        <v>0</v>
      </c>
      <c r="Y87" t="s">
        <v>280</v>
      </c>
      <c r="Z87">
        <v>3</v>
      </c>
      <c r="AA87" t="s">
        <v>95</v>
      </c>
      <c r="AB87">
        <v>3.9</v>
      </c>
      <c r="AC87" t="s">
        <v>1003</v>
      </c>
      <c r="AD87">
        <v>1</v>
      </c>
      <c r="AE87" s="2">
        <v>45997</v>
      </c>
      <c r="AF87">
        <v>5</v>
      </c>
      <c r="AG87">
        <v>7</v>
      </c>
    </row>
    <row r="88" spans="1:33">
      <c r="A88">
        <v>10046</v>
      </c>
      <c r="B88" t="s">
        <v>952</v>
      </c>
      <c r="C88" t="s">
        <v>31</v>
      </c>
      <c r="D88" t="s">
        <v>31</v>
      </c>
      <c r="E88" t="s">
        <v>929</v>
      </c>
      <c r="F88" t="s">
        <v>37</v>
      </c>
      <c r="G88" t="s">
        <v>28</v>
      </c>
      <c r="H88" t="s">
        <v>61</v>
      </c>
      <c r="I88">
        <v>51044</v>
      </c>
      <c r="J88" s="3">
        <v>612528</v>
      </c>
      <c r="K88" s="2">
        <v>25924</v>
      </c>
      <c r="L88" t="s">
        <v>30</v>
      </c>
      <c r="M88" t="s">
        <v>29</v>
      </c>
      <c r="N88">
        <v>2072</v>
      </c>
      <c r="O88" t="s">
        <v>73</v>
      </c>
      <c r="P88" t="s">
        <v>32</v>
      </c>
      <c r="Q88" t="s">
        <v>34</v>
      </c>
      <c r="R88" s="2">
        <v>41001</v>
      </c>
      <c r="S88" s="1" t="s">
        <v>35</v>
      </c>
      <c r="T88">
        <v>0</v>
      </c>
      <c r="U88" t="s">
        <v>36</v>
      </c>
      <c r="V88">
        <v>1</v>
      </c>
      <c r="W88" t="s">
        <v>36</v>
      </c>
      <c r="X88">
        <v>0</v>
      </c>
      <c r="Y88" t="s">
        <v>60</v>
      </c>
      <c r="Z88">
        <v>3</v>
      </c>
      <c r="AA88" t="s">
        <v>49</v>
      </c>
      <c r="AB88">
        <v>5</v>
      </c>
      <c r="AC88" t="s">
        <v>932</v>
      </c>
      <c r="AD88">
        <v>0</v>
      </c>
      <c r="AE88" s="2">
        <v>43479</v>
      </c>
      <c r="AF88">
        <v>0</v>
      </c>
      <c r="AG88">
        <v>13</v>
      </c>
    </row>
    <row r="89" spans="1:33">
      <c r="A89">
        <v>10046</v>
      </c>
      <c r="B89" t="s">
        <v>1268</v>
      </c>
      <c r="C89" t="s">
        <v>31</v>
      </c>
      <c r="D89" t="s">
        <v>42</v>
      </c>
      <c r="E89" t="s">
        <v>934</v>
      </c>
      <c r="F89" t="s">
        <v>283</v>
      </c>
      <c r="G89" t="s">
        <v>62</v>
      </c>
      <c r="H89" t="s">
        <v>337</v>
      </c>
      <c r="I89">
        <v>48187</v>
      </c>
      <c r="J89" s="3">
        <v>578244</v>
      </c>
      <c r="K89" s="2">
        <v>35737</v>
      </c>
      <c r="L89" t="s">
        <v>51</v>
      </c>
      <c r="M89" t="s">
        <v>144</v>
      </c>
      <c r="N89">
        <v>95779</v>
      </c>
      <c r="O89" t="s">
        <v>73</v>
      </c>
      <c r="P89" t="s">
        <v>32</v>
      </c>
      <c r="Q89" t="s">
        <v>160</v>
      </c>
      <c r="R89" s="2">
        <v>44452</v>
      </c>
      <c r="S89" s="1" t="s">
        <v>35</v>
      </c>
      <c r="T89">
        <v>0</v>
      </c>
      <c r="U89" t="s">
        <v>36</v>
      </c>
      <c r="V89">
        <v>3</v>
      </c>
      <c r="W89" t="s">
        <v>87</v>
      </c>
      <c r="X89">
        <v>0</v>
      </c>
      <c r="Y89" t="s">
        <v>48</v>
      </c>
      <c r="Z89">
        <v>2</v>
      </c>
      <c r="AA89" t="s">
        <v>136</v>
      </c>
      <c r="AB89">
        <v>3.3</v>
      </c>
      <c r="AC89" t="s">
        <v>962</v>
      </c>
      <c r="AD89">
        <v>4</v>
      </c>
      <c r="AE89" s="2">
        <v>45650</v>
      </c>
      <c r="AF89">
        <v>0</v>
      </c>
      <c r="AG89">
        <v>6</v>
      </c>
    </row>
    <row r="90" spans="1:33">
      <c r="A90">
        <v>10047</v>
      </c>
      <c r="B90" t="s">
        <v>1153</v>
      </c>
      <c r="C90" t="s">
        <v>42</v>
      </c>
      <c r="D90" t="s">
        <v>42</v>
      </c>
      <c r="E90" t="s">
        <v>929</v>
      </c>
      <c r="F90" t="s">
        <v>37</v>
      </c>
      <c r="G90" t="s">
        <v>28</v>
      </c>
      <c r="H90" t="s">
        <v>61</v>
      </c>
      <c r="I90">
        <v>50428</v>
      </c>
      <c r="J90" s="3">
        <v>605136</v>
      </c>
      <c r="K90" s="2">
        <v>27036</v>
      </c>
      <c r="L90" t="s">
        <v>30</v>
      </c>
      <c r="M90" t="s">
        <v>29</v>
      </c>
      <c r="N90">
        <v>1420</v>
      </c>
      <c r="O90" t="s">
        <v>33</v>
      </c>
      <c r="P90" t="s">
        <v>32</v>
      </c>
      <c r="Q90" t="s">
        <v>68</v>
      </c>
      <c r="R90" s="2">
        <v>40553</v>
      </c>
      <c r="S90" s="1" t="s">
        <v>230</v>
      </c>
      <c r="T90">
        <v>1</v>
      </c>
      <c r="U90" t="s">
        <v>86</v>
      </c>
      <c r="V90">
        <v>5</v>
      </c>
      <c r="W90" t="s">
        <v>45</v>
      </c>
      <c r="X90">
        <v>0</v>
      </c>
      <c r="Y90" t="s">
        <v>48</v>
      </c>
      <c r="Z90">
        <v>3</v>
      </c>
      <c r="AA90" t="s">
        <v>49</v>
      </c>
      <c r="AB90">
        <v>5</v>
      </c>
      <c r="AC90" t="s">
        <v>932</v>
      </c>
      <c r="AD90">
        <v>0</v>
      </c>
      <c r="AE90" s="2">
        <v>42014</v>
      </c>
      <c r="AF90">
        <v>0</v>
      </c>
      <c r="AG90">
        <v>11</v>
      </c>
    </row>
    <row r="91" spans="1:33">
      <c r="A91">
        <v>10047</v>
      </c>
      <c r="B91" t="s">
        <v>1269</v>
      </c>
      <c r="C91" t="s">
        <v>31</v>
      </c>
      <c r="D91" t="s">
        <v>56</v>
      </c>
      <c r="E91" t="s">
        <v>929</v>
      </c>
      <c r="F91" t="s">
        <v>278</v>
      </c>
      <c r="G91" t="s">
        <v>28</v>
      </c>
      <c r="H91" t="s">
        <v>338</v>
      </c>
      <c r="I91">
        <v>101288</v>
      </c>
      <c r="J91" s="3">
        <v>1215456</v>
      </c>
      <c r="K91" s="2">
        <v>35381</v>
      </c>
      <c r="L91" t="s">
        <v>264</v>
      </c>
      <c r="M91" t="s">
        <v>210</v>
      </c>
      <c r="N91">
        <v>6658</v>
      </c>
      <c r="O91" t="s">
        <v>73</v>
      </c>
      <c r="P91" t="s">
        <v>32</v>
      </c>
      <c r="Q91" t="s">
        <v>160</v>
      </c>
      <c r="R91" s="2">
        <v>43392</v>
      </c>
      <c r="S91" s="1" t="s">
        <v>35</v>
      </c>
      <c r="T91">
        <v>0</v>
      </c>
      <c r="U91" t="s">
        <v>36</v>
      </c>
      <c r="V91">
        <v>2</v>
      </c>
      <c r="W91" t="s">
        <v>36</v>
      </c>
      <c r="X91">
        <v>0</v>
      </c>
      <c r="Y91" t="s">
        <v>268</v>
      </c>
      <c r="Z91">
        <v>3</v>
      </c>
      <c r="AA91" t="s">
        <v>49</v>
      </c>
      <c r="AB91">
        <v>2.8</v>
      </c>
      <c r="AC91" t="s">
        <v>1003</v>
      </c>
      <c r="AD91">
        <v>5</v>
      </c>
      <c r="AE91" s="2">
        <v>45751</v>
      </c>
      <c r="AF91">
        <v>4</v>
      </c>
      <c r="AG91">
        <v>6</v>
      </c>
    </row>
    <row r="92" spans="1:33">
      <c r="A92">
        <v>10048</v>
      </c>
      <c r="B92" t="s">
        <v>1214</v>
      </c>
      <c r="C92" t="s">
        <v>42</v>
      </c>
      <c r="D92" t="s">
        <v>42</v>
      </c>
      <c r="E92" t="s">
        <v>929</v>
      </c>
      <c r="F92" t="s">
        <v>37</v>
      </c>
      <c r="G92" t="s">
        <v>28</v>
      </c>
      <c r="H92" t="s">
        <v>61</v>
      </c>
      <c r="I92">
        <v>55140</v>
      </c>
      <c r="J92" s="3">
        <v>661680</v>
      </c>
      <c r="K92" s="2">
        <v>23994</v>
      </c>
      <c r="L92" t="s">
        <v>30</v>
      </c>
      <c r="M92" t="s">
        <v>29</v>
      </c>
      <c r="N92">
        <v>2324</v>
      </c>
      <c r="O92" t="s">
        <v>33</v>
      </c>
      <c r="P92" t="s">
        <v>88</v>
      </c>
      <c r="Q92" t="s">
        <v>34</v>
      </c>
      <c r="R92" s="2">
        <v>40679</v>
      </c>
      <c r="S92" s="1" t="s">
        <v>213</v>
      </c>
      <c r="T92">
        <v>1</v>
      </c>
      <c r="U92" t="s">
        <v>78</v>
      </c>
      <c r="V92">
        <v>5</v>
      </c>
      <c r="W92" t="s">
        <v>45</v>
      </c>
      <c r="X92">
        <v>0</v>
      </c>
      <c r="Y92" t="s">
        <v>142</v>
      </c>
      <c r="Z92">
        <v>3</v>
      </c>
      <c r="AA92" t="s">
        <v>49</v>
      </c>
      <c r="AB92">
        <v>5</v>
      </c>
      <c r="AC92" t="s">
        <v>932</v>
      </c>
      <c r="AD92">
        <v>0</v>
      </c>
      <c r="AE92" s="2">
        <v>42050</v>
      </c>
      <c r="AF92">
        <v>0</v>
      </c>
      <c r="AG92">
        <v>7</v>
      </c>
    </row>
    <row r="93" spans="1:33">
      <c r="A93">
        <v>10048</v>
      </c>
      <c r="B93" t="s">
        <v>1270</v>
      </c>
      <c r="C93" t="s">
        <v>42</v>
      </c>
      <c r="D93" t="s">
        <v>31</v>
      </c>
      <c r="E93" t="s">
        <v>929</v>
      </c>
      <c r="F93" t="s">
        <v>288</v>
      </c>
      <c r="G93" t="s">
        <v>269</v>
      </c>
      <c r="H93" t="s">
        <v>339</v>
      </c>
      <c r="I93">
        <v>33180</v>
      </c>
      <c r="J93" s="3">
        <v>398160</v>
      </c>
      <c r="K93" s="2">
        <v>30465</v>
      </c>
      <c r="L93" t="s">
        <v>51</v>
      </c>
      <c r="M93" t="s">
        <v>29</v>
      </c>
      <c r="N93">
        <v>23148</v>
      </c>
      <c r="O93" t="s">
        <v>33</v>
      </c>
      <c r="P93" t="s">
        <v>32</v>
      </c>
      <c r="Q93" t="s">
        <v>34</v>
      </c>
      <c r="R93" s="2">
        <v>43146</v>
      </c>
      <c r="S93" s="1" t="s">
        <v>35</v>
      </c>
      <c r="T93">
        <v>0</v>
      </c>
      <c r="U93" t="s">
        <v>36</v>
      </c>
      <c r="V93">
        <v>2</v>
      </c>
      <c r="W93" t="s">
        <v>87</v>
      </c>
      <c r="X93">
        <v>0</v>
      </c>
      <c r="Y93" t="s">
        <v>268</v>
      </c>
      <c r="Z93">
        <v>2</v>
      </c>
      <c r="AA93" t="s">
        <v>276</v>
      </c>
      <c r="AB93">
        <v>3.4</v>
      </c>
      <c r="AC93" t="s">
        <v>932</v>
      </c>
      <c r="AD93">
        <v>0</v>
      </c>
      <c r="AE93" s="2">
        <v>45834</v>
      </c>
      <c r="AF93">
        <v>4</v>
      </c>
      <c r="AG93">
        <v>1</v>
      </c>
    </row>
    <row r="94" spans="1:33">
      <c r="A94">
        <v>10049</v>
      </c>
      <c r="B94" t="s">
        <v>1020</v>
      </c>
      <c r="C94" t="s">
        <v>42</v>
      </c>
      <c r="D94" t="s">
        <v>42</v>
      </c>
      <c r="E94" t="s">
        <v>934</v>
      </c>
      <c r="F94" t="s">
        <v>37</v>
      </c>
      <c r="G94" t="s">
        <v>28</v>
      </c>
      <c r="H94" t="s">
        <v>69</v>
      </c>
      <c r="I94">
        <v>58530</v>
      </c>
      <c r="J94" s="3">
        <v>702360</v>
      </c>
      <c r="K94" s="2">
        <v>29661</v>
      </c>
      <c r="L94" t="s">
        <v>51</v>
      </c>
      <c r="M94" t="s">
        <v>29</v>
      </c>
      <c r="N94">
        <v>2155</v>
      </c>
      <c r="O94" t="s">
        <v>33</v>
      </c>
      <c r="P94" t="s">
        <v>32</v>
      </c>
      <c r="Q94" t="s">
        <v>34</v>
      </c>
      <c r="R94" s="2">
        <v>40917</v>
      </c>
      <c r="S94" s="1" t="s">
        <v>35</v>
      </c>
      <c r="T94">
        <v>0</v>
      </c>
      <c r="U94" t="s">
        <v>36</v>
      </c>
      <c r="V94">
        <v>1</v>
      </c>
      <c r="W94" t="s">
        <v>36</v>
      </c>
      <c r="X94">
        <v>0</v>
      </c>
      <c r="Y94" t="s">
        <v>60</v>
      </c>
      <c r="Z94">
        <v>3</v>
      </c>
      <c r="AA94" t="s">
        <v>49</v>
      </c>
      <c r="AB94">
        <v>5</v>
      </c>
      <c r="AC94" t="s">
        <v>930</v>
      </c>
      <c r="AD94">
        <v>0</v>
      </c>
      <c r="AE94" s="2">
        <v>43494</v>
      </c>
      <c r="AF94">
        <v>0</v>
      </c>
      <c r="AG94">
        <v>19</v>
      </c>
    </row>
    <row r="95" spans="1:33">
      <c r="A95">
        <v>10049</v>
      </c>
      <c r="B95" t="s">
        <v>1271</v>
      </c>
      <c r="C95" t="s">
        <v>31</v>
      </c>
      <c r="D95" t="s">
        <v>42</v>
      </c>
      <c r="E95" t="s">
        <v>934</v>
      </c>
      <c r="F95" t="s">
        <v>278</v>
      </c>
      <c r="G95" t="s">
        <v>28</v>
      </c>
      <c r="H95" t="s">
        <v>340</v>
      </c>
      <c r="I95">
        <v>87922</v>
      </c>
      <c r="J95" s="3">
        <v>1055064</v>
      </c>
      <c r="K95" s="2">
        <v>24045</v>
      </c>
      <c r="L95" t="s">
        <v>51</v>
      </c>
      <c r="M95" t="s">
        <v>210</v>
      </c>
      <c r="N95">
        <v>73776</v>
      </c>
      <c r="O95" t="s">
        <v>73</v>
      </c>
      <c r="P95" t="s">
        <v>32</v>
      </c>
      <c r="Q95" t="s">
        <v>34</v>
      </c>
      <c r="R95" s="2">
        <v>44465</v>
      </c>
      <c r="S95" s="1" t="s">
        <v>35</v>
      </c>
      <c r="T95">
        <v>0</v>
      </c>
      <c r="U95" t="s">
        <v>36</v>
      </c>
      <c r="V95">
        <v>2</v>
      </c>
      <c r="W95" t="s">
        <v>87</v>
      </c>
      <c r="X95">
        <v>1</v>
      </c>
      <c r="Y95" t="s">
        <v>142</v>
      </c>
      <c r="Z95">
        <v>4</v>
      </c>
      <c r="AA95" t="s">
        <v>49</v>
      </c>
      <c r="AB95">
        <v>3.7</v>
      </c>
      <c r="AC95" t="s">
        <v>962</v>
      </c>
      <c r="AD95">
        <v>0</v>
      </c>
      <c r="AE95" s="2">
        <v>45484</v>
      </c>
      <c r="AF95">
        <v>2</v>
      </c>
      <c r="AG95">
        <v>7</v>
      </c>
    </row>
    <row r="96" spans="1:33">
      <c r="A96">
        <v>10050</v>
      </c>
      <c r="B96" t="s">
        <v>1140</v>
      </c>
      <c r="C96" t="s">
        <v>42</v>
      </c>
      <c r="D96" t="s">
        <v>42</v>
      </c>
      <c r="E96" t="s">
        <v>929</v>
      </c>
      <c r="F96" t="s">
        <v>37</v>
      </c>
      <c r="G96" t="s">
        <v>28</v>
      </c>
      <c r="H96" t="s">
        <v>69</v>
      </c>
      <c r="I96">
        <v>64724</v>
      </c>
      <c r="J96" s="3">
        <v>776688</v>
      </c>
      <c r="K96" s="2">
        <v>32208</v>
      </c>
      <c r="L96" t="s">
        <v>30</v>
      </c>
      <c r="M96" t="s">
        <v>29</v>
      </c>
      <c r="N96">
        <v>2451</v>
      </c>
      <c r="O96" t="s">
        <v>33</v>
      </c>
      <c r="P96" t="s">
        <v>32</v>
      </c>
      <c r="Q96" t="s">
        <v>92</v>
      </c>
      <c r="R96" s="2">
        <v>40729</v>
      </c>
      <c r="S96" s="1" t="s">
        <v>221</v>
      </c>
      <c r="T96">
        <v>1</v>
      </c>
      <c r="U96" t="s">
        <v>138</v>
      </c>
      <c r="V96">
        <v>5</v>
      </c>
      <c r="W96" t="s">
        <v>45</v>
      </c>
      <c r="X96">
        <v>0</v>
      </c>
      <c r="Y96" t="s">
        <v>60</v>
      </c>
      <c r="Z96">
        <v>3</v>
      </c>
      <c r="AA96" t="s">
        <v>49</v>
      </c>
      <c r="AB96">
        <v>5</v>
      </c>
      <c r="AC96" t="s">
        <v>932</v>
      </c>
      <c r="AD96">
        <v>0</v>
      </c>
      <c r="AE96" s="2">
        <v>40959</v>
      </c>
      <c r="AF96">
        <v>0</v>
      </c>
      <c r="AG96">
        <v>13</v>
      </c>
    </row>
    <row r="97" spans="1:33">
      <c r="A97">
        <v>10050</v>
      </c>
      <c r="B97" t="s">
        <v>1272</v>
      </c>
      <c r="C97" t="s">
        <v>31</v>
      </c>
      <c r="D97" t="s">
        <v>42</v>
      </c>
      <c r="E97" t="s">
        <v>929</v>
      </c>
      <c r="F97" t="s">
        <v>271</v>
      </c>
      <c r="G97" t="s">
        <v>294</v>
      </c>
      <c r="H97" t="s">
        <v>341</v>
      </c>
      <c r="I97">
        <v>85827</v>
      </c>
      <c r="J97" s="3">
        <v>1029924</v>
      </c>
      <c r="K97" s="2">
        <v>29764</v>
      </c>
      <c r="L97" t="s">
        <v>264</v>
      </c>
      <c r="M97" t="s">
        <v>210</v>
      </c>
      <c r="N97">
        <v>48964</v>
      </c>
      <c r="O97" t="s">
        <v>73</v>
      </c>
      <c r="P97" t="s">
        <v>124</v>
      </c>
      <c r="Q97" t="s">
        <v>160</v>
      </c>
      <c r="R97" s="2">
        <v>45344</v>
      </c>
      <c r="S97" s="1" t="s">
        <v>35</v>
      </c>
      <c r="T97">
        <v>0</v>
      </c>
      <c r="U97" t="s">
        <v>36</v>
      </c>
      <c r="V97">
        <v>3</v>
      </c>
      <c r="W97" t="s">
        <v>45</v>
      </c>
      <c r="X97">
        <v>1</v>
      </c>
      <c r="Y97" t="s">
        <v>268</v>
      </c>
      <c r="Z97">
        <v>3</v>
      </c>
      <c r="AA97" t="s">
        <v>136</v>
      </c>
      <c r="AB97">
        <v>3.7</v>
      </c>
      <c r="AC97" t="s">
        <v>932</v>
      </c>
      <c r="AD97">
        <v>1</v>
      </c>
      <c r="AE97" s="2">
        <v>45798</v>
      </c>
      <c r="AF97">
        <v>0</v>
      </c>
      <c r="AG97">
        <v>2</v>
      </c>
    </row>
    <row r="98" spans="1:33">
      <c r="A98">
        <v>10051</v>
      </c>
      <c r="B98" t="s">
        <v>1043</v>
      </c>
      <c r="C98" t="s">
        <v>42</v>
      </c>
      <c r="D98" t="s">
        <v>42</v>
      </c>
      <c r="E98" t="s">
        <v>929</v>
      </c>
      <c r="F98" t="s">
        <v>37</v>
      </c>
      <c r="G98" t="s">
        <v>28</v>
      </c>
      <c r="H98" t="s">
        <v>76</v>
      </c>
      <c r="I98">
        <v>48285</v>
      </c>
      <c r="J98" s="3">
        <v>579420</v>
      </c>
      <c r="K98" s="2">
        <v>28996</v>
      </c>
      <c r="L98" t="s">
        <v>30</v>
      </c>
      <c r="M98" t="s">
        <v>29</v>
      </c>
      <c r="N98">
        <v>2169</v>
      </c>
      <c r="O98" t="s">
        <v>33</v>
      </c>
      <c r="P98" t="s">
        <v>32</v>
      </c>
      <c r="Q98" t="s">
        <v>34</v>
      </c>
      <c r="R98" s="2">
        <v>41092</v>
      </c>
      <c r="S98" s="1" t="s">
        <v>35</v>
      </c>
      <c r="T98">
        <v>0</v>
      </c>
      <c r="U98" t="s">
        <v>36</v>
      </c>
      <c r="V98">
        <v>1</v>
      </c>
      <c r="W98" t="s">
        <v>36</v>
      </c>
      <c r="X98">
        <v>0</v>
      </c>
      <c r="Y98" t="s">
        <v>39</v>
      </c>
      <c r="Z98">
        <v>3</v>
      </c>
      <c r="AA98" t="s">
        <v>49</v>
      </c>
      <c r="AB98">
        <v>5</v>
      </c>
      <c r="AC98" t="s">
        <v>932</v>
      </c>
      <c r="AD98">
        <v>0</v>
      </c>
      <c r="AE98" s="2">
        <v>43479</v>
      </c>
      <c r="AF98">
        <v>0</v>
      </c>
      <c r="AG98">
        <v>2</v>
      </c>
    </row>
    <row r="99" spans="1:33">
      <c r="A99">
        <v>10051</v>
      </c>
      <c r="B99" t="s">
        <v>1273</v>
      </c>
      <c r="C99" t="s">
        <v>42</v>
      </c>
      <c r="D99" t="s">
        <v>56</v>
      </c>
      <c r="E99" t="s">
        <v>934</v>
      </c>
      <c r="F99" t="s">
        <v>278</v>
      </c>
      <c r="G99" t="s">
        <v>28</v>
      </c>
      <c r="H99" t="s">
        <v>342</v>
      </c>
      <c r="I99">
        <v>52452</v>
      </c>
      <c r="J99" s="3">
        <v>629424</v>
      </c>
      <c r="K99" s="2">
        <v>29078</v>
      </c>
      <c r="L99" t="s">
        <v>51</v>
      </c>
      <c r="M99" t="s">
        <v>80</v>
      </c>
      <c r="N99">
        <v>86522</v>
      </c>
      <c r="O99" t="s">
        <v>33</v>
      </c>
      <c r="P99" t="s">
        <v>124</v>
      </c>
      <c r="Q99" t="s">
        <v>160</v>
      </c>
      <c r="R99" s="2">
        <v>43991</v>
      </c>
      <c r="S99" s="1" t="s">
        <v>35</v>
      </c>
      <c r="T99">
        <v>0</v>
      </c>
      <c r="U99" t="s">
        <v>36</v>
      </c>
      <c r="V99">
        <v>3</v>
      </c>
      <c r="W99" t="s">
        <v>45</v>
      </c>
      <c r="X99">
        <v>0</v>
      </c>
      <c r="Y99" t="s">
        <v>39</v>
      </c>
      <c r="Z99">
        <v>4</v>
      </c>
      <c r="AA99" t="s">
        <v>95</v>
      </c>
      <c r="AB99">
        <v>2.6</v>
      </c>
      <c r="AC99" t="s">
        <v>932</v>
      </c>
      <c r="AD99">
        <v>2</v>
      </c>
      <c r="AE99" s="2">
        <v>45515</v>
      </c>
      <c r="AF99">
        <v>4</v>
      </c>
      <c r="AG99">
        <v>8</v>
      </c>
    </row>
    <row r="100" spans="1:33">
      <c r="A100">
        <v>10052</v>
      </c>
      <c r="B100" t="s">
        <v>1083</v>
      </c>
      <c r="C100" t="s">
        <v>42</v>
      </c>
      <c r="D100" t="s">
        <v>42</v>
      </c>
      <c r="E100" t="s">
        <v>929</v>
      </c>
      <c r="F100" t="s">
        <v>37</v>
      </c>
      <c r="G100" t="s">
        <v>28</v>
      </c>
      <c r="H100" t="s">
        <v>76</v>
      </c>
      <c r="I100">
        <v>46120</v>
      </c>
      <c r="J100" s="3">
        <v>553440</v>
      </c>
      <c r="K100" s="2">
        <v>31755</v>
      </c>
      <c r="L100" t="s">
        <v>30</v>
      </c>
      <c r="M100" t="s">
        <v>29</v>
      </c>
      <c r="N100">
        <v>2048</v>
      </c>
      <c r="O100" t="s">
        <v>33</v>
      </c>
      <c r="P100" t="s">
        <v>32</v>
      </c>
      <c r="Q100" t="s">
        <v>34</v>
      </c>
      <c r="R100" s="2">
        <v>41099</v>
      </c>
      <c r="S100" s="1" t="s">
        <v>35</v>
      </c>
      <c r="T100">
        <v>0</v>
      </c>
      <c r="U100" t="s">
        <v>36</v>
      </c>
      <c r="V100">
        <v>1</v>
      </c>
      <c r="W100" t="s">
        <v>36</v>
      </c>
      <c r="X100">
        <v>0</v>
      </c>
      <c r="Y100" t="s">
        <v>39</v>
      </c>
      <c r="Z100">
        <v>3</v>
      </c>
      <c r="AA100" t="s">
        <v>49</v>
      </c>
      <c r="AB100">
        <v>5</v>
      </c>
      <c r="AC100" t="s">
        <v>930</v>
      </c>
      <c r="AD100">
        <v>0</v>
      </c>
      <c r="AE100" s="2">
        <v>43500</v>
      </c>
      <c r="AF100">
        <v>0</v>
      </c>
      <c r="AG100">
        <v>13</v>
      </c>
    </row>
    <row r="101" spans="1:33">
      <c r="A101">
        <v>10052</v>
      </c>
      <c r="B101" t="s">
        <v>1274</v>
      </c>
      <c r="C101" t="s">
        <v>31</v>
      </c>
      <c r="D101" t="s">
        <v>56</v>
      </c>
      <c r="E101" t="s">
        <v>934</v>
      </c>
      <c r="F101" t="s">
        <v>274</v>
      </c>
      <c r="G101" t="s">
        <v>294</v>
      </c>
      <c r="H101" t="s">
        <v>343</v>
      </c>
      <c r="I101">
        <v>111720</v>
      </c>
      <c r="J101" s="3">
        <v>1340640</v>
      </c>
      <c r="K101" s="2">
        <v>35022</v>
      </c>
      <c r="L101" t="s">
        <v>51</v>
      </c>
      <c r="M101" t="s">
        <v>80</v>
      </c>
      <c r="N101">
        <v>13753</v>
      </c>
      <c r="O101" t="s">
        <v>73</v>
      </c>
      <c r="P101" t="s">
        <v>124</v>
      </c>
      <c r="Q101" t="s">
        <v>34</v>
      </c>
      <c r="R101" s="2">
        <v>44628</v>
      </c>
      <c r="S101" s="1" t="s">
        <v>35</v>
      </c>
      <c r="T101">
        <v>1</v>
      </c>
      <c r="U101" t="s">
        <v>36</v>
      </c>
      <c r="V101">
        <v>1</v>
      </c>
      <c r="W101" t="s">
        <v>36</v>
      </c>
      <c r="X101">
        <v>0</v>
      </c>
      <c r="Y101" t="s">
        <v>142</v>
      </c>
      <c r="Z101">
        <v>3</v>
      </c>
      <c r="AA101" t="s">
        <v>49</v>
      </c>
      <c r="AB101">
        <v>4.4000000000000004</v>
      </c>
      <c r="AC101" t="s">
        <v>1003</v>
      </c>
      <c r="AD101">
        <v>4</v>
      </c>
      <c r="AE101" s="2">
        <v>45897</v>
      </c>
      <c r="AF101">
        <v>2</v>
      </c>
      <c r="AG101">
        <v>9</v>
      </c>
    </row>
    <row r="102" spans="1:33">
      <c r="A102">
        <v>10053</v>
      </c>
      <c r="B102" t="s">
        <v>1102</v>
      </c>
      <c r="C102" t="s">
        <v>42</v>
      </c>
      <c r="D102" t="s">
        <v>42</v>
      </c>
      <c r="E102" t="s">
        <v>934</v>
      </c>
      <c r="F102" t="s">
        <v>37</v>
      </c>
      <c r="G102" t="s">
        <v>28</v>
      </c>
      <c r="H102" t="s">
        <v>76</v>
      </c>
      <c r="I102">
        <v>54132</v>
      </c>
      <c r="J102" s="3">
        <v>649584</v>
      </c>
      <c r="K102" s="2">
        <v>28451</v>
      </c>
      <c r="L102" t="s">
        <v>51</v>
      </c>
      <c r="M102" t="s">
        <v>29</v>
      </c>
      <c r="N102">
        <v>2330</v>
      </c>
      <c r="O102" t="s">
        <v>33</v>
      </c>
      <c r="P102" t="s">
        <v>32</v>
      </c>
      <c r="Q102" t="s">
        <v>34</v>
      </c>
      <c r="R102" s="2">
        <v>40694</v>
      </c>
      <c r="S102" s="1" t="s">
        <v>35</v>
      </c>
      <c r="T102">
        <v>0</v>
      </c>
      <c r="U102" t="s">
        <v>36</v>
      </c>
      <c r="V102">
        <v>1</v>
      </c>
      <c r="W102" t="s">
        <v>36</v>
      </c>
      <c r="X102">
        <v>0</v>
      </c>
      <c r="Y102" t="s">
        <v>48</v>
      </c>
      <c r="Z102">
        <v>3</v>
      </c>
      <c r="AA102" t="s">
        <v>49</v>
      </c>
      <c r="AB102">
        <v>5</v>
      </c>
      <c r="AC102" t="s">
        <v>937</v>
      </c>
      <c r="AD102">
        <v>0</v>
      </c>
      <c r="AE102" s="2">
        <v>43475</v>
      </c>
      <c r="AF102">
        <v>0</v>
      </c>
      <c r="AG102">
        <v>8</v>
      </c>
    </row>
    <row r="103" spans="1:33">
      <c r="A103">
        <v>10053</v>
      </c>
      <c r="B103" t="s">
        <v>1275</v>
      </c>
      <c r="C103" t="s">
        <v>42</v>
      </c>
      <c r="D103" t="s">
        <v>56</v>
      </c>
      <c r="E103" t="s">
        <v>934</v>
      </c>
      <c r="F103" t="s">
        <v>278</v>
      </c>
      <c r="G103" t="s">
        <v>277</v>
      </c>
      <c r="H103" t="s">
        <v>344</v>
      </c>
      <c r="I103">
        <v>66916</v>
      </c>
      <c r="J103" s="3">
        <v>802992</v>
      </c>
      <c r="K103" s="2">
        <v>27173</v>
      </c>
      <c r="L103" t="s">
        <v>51</v>
      </c>
      <c r="M103" t="s">
        <v>80</v>
      </c>
      <c r="N103">
        <v>6956</v>
      </c>
      <c r="O103" t="s">
        <v>73</v>
      </c>
      <c r="P103" t="s">
        <v>32</v>
      </c>
      <c r="Q103" t="s">
        <v>34</v>
      </c>
      <c r="R103" s="2">
        <v>43322</v>
      </c>
      <c r="S103" s="1" t="s">
        <v>35</v>
      </c>
      <c r="T103">
        <v>0</v>
      </c>
      <c r="U103" t="s">
        <v>36</v>
      </c>
      <c r="V103">
        <v>2</v>
      </c>
      <c r="W103" t="s">
        <v>36</v>
      </c>
      <c r="X103">
        <v>0</v>
      </c>
      <c r="Y103" t="s">
        <v>48</v>
      </c>
      <c r="Z103">
        <v>1</v>
      </c>
      <c r="AA103" t="s">
        <v>136</v>
      </c>
      <c r="AB103">
        <v>2.6</v>
      </c>
      <c r="AC103" t="s">
        <v>1003</v>
      </c>
      <c r="AD103">
        <v>4</v>
      </c>
      <c r="AE103" s="2">
        <v>46000</v>
      </c>
      <c r="AF103">
        <v>3</v>
      </c>
      <c r="AG103">
        <v>9</v>
      </c>
    </row>
    <row r="104" spans="1:33">
      <c r="A104">
        <v>10054</v>
      </c>
      <c r="B104" t="s">
        <v>1159</v>
      </c>
      <c r="C104" t="s">
        <v>31</v>
      </c>
      <c r="D104" t="s">
        <v>964</v>
      </c>
      <c r="E104" t="s">
        <v>934</v>
      </c>
      <c r="F104" t="s">
        <v>37</v>
      </c>
      <c r="G104" t="s">
        <v>28</v>
      </c>
      <c r="H104" t="s">
        <v>76</v>
      </c>
      <c r="I104">
        <v>60627</v>
      </c>
      <c r="J104" s="3">
        <v>727524</v>
      </c>
      <c r="K104" s="2">
        <v>27368</v>
      </c>
      <c r="L104" t="s">
        <v>51</v>
      </c>
      <c r="M104" t="s">
        <v>29</v>
      </c>
      <c r="N104">
        <v>1886</v>
      </c>
      <c r="O104" t="s">
        <v>33</v>
      </c>
      <c r="P104" t="s">
        <v>32</v>
      </c>
      <c r="Q104" t="s">
        <v>34</v>
      </c>
      <c r="R104" s="2">
        <v>41645</v>
      </c>
      <c r="S104" s="1" t="s">
        <v>35</v>
      </c>
      <c r="T104">
        <v>0</v>
      </c>
      <c r="U104" t="s">
        <v>36</v>
      </c>
      <c r="V104">
        <v>1</v>
      </c>
      <c r="W104" t="s">
        <v>36</v>
      </c>
      <c r="X104">
        <v>0</v>
      </c>
      <c r="Y104" t="s">
        <v>142</v>
      </c>
      <c r="Z104">
        <v>3</v>
      </c>
      <c r="AA104" t="s">
        <v>49</v>
      </c>
      <c r="AB104">
        <v>5</v>
      </c>
      <c r="AC104" t="s">
        <v>937</v>
      </c>
      <c r="AD104">
        <v>0</v>
      </c>
      <c r="AE104" s="2">
        <v>43496</v>
      </c>
      <c r="AF104">
        <v>0</v>
      </c>
      <c r="AG104">
        <v>8</v>
      </c>
    </row>
    <row r="105" spans="1:33">
      <c r="A105">
        <v>10054</v>
      </c>
      <c r="B105" t="s">
        <v>1276</v>
      </c>
      <c r="C105" t="s">
        <v>31</v>
      </c>
      <c r="D105" t="s">
        <v>31</v>
      </c>
      <c r="E105" t="s">
        <v>934</v>
      </c>
      <c r="F105" t="s">
        <v>274</v>
      </c>
      <c r="G105" t="s">
        <v>62</v>
      </c>
      <c r="H105" t="s">
        <v>346</v>
      </c>
      <c r="I105">
        <v>34095</v>
      </c>
      <c r="J105" s="3">
        <v>409140</v>
      </c>
      <c r="K105" s="2">
        <v>24792</v>
      </c>
      <c r="L105" t="s">
        <v>264</v>
      </c>
      <c r="M105" t="s">
        <v>210</v>
      </c>
      <c r="N105">
        <v>34062</v>
      </c>
      <c r="O105" t="s">
        <v>33</v>
      </c>
      <c r="P105" t="s">
        <v>124</v>
      </c>
      <c r="Q105" t="s">
        <v>34</v>
      </c>
      <c r="R105" s="2">
        <v>44872</v>
      </c>
      <c r="S105" s="1" t="s">
        <v>35</v>
      </c>
      <c r="T105">
        <v>1</v>
      </c>
      <c r="U105" t="s">
        <v>298</v>
      </c>
      <c r="V105">
        <v>3</v>
      </c>
      <c r="W105" t="s">
        <v>36</v>
      </c>
      <c r="X105">
        <v>1</v>
      </c>
      <c r="Y105" t="s">
        <v>142</v>
      </c>
      <c r="Z105">
        <v>3</v>
      </c>
      <c r="AA105" t="s">
        <v>49</v>
      </c>
      <c r="AB105">
        <v>3</v>
      </c>
      <c r="AC105" t="s">
        <v>1003</v>
      </c>
      <c r="AD105">
        <v>3</v>
      </c>
      <c r="AE105" s="2">
        <v>45647</v>
      </c>
      <c r="AF105">
        <v>3</v>
      </c>
      <c r="AG105">
        <v>6</v>
      </c>
    </row>
    <row r="106" spans="1:33">
      <c r="A106">
        <v>10055</v>
      </c>
      <c r="B106" t="s">
        <v>950</v>
      </c>
      <c r="C106" t="s">
        <v>31</v>
      </c>
      <c r="D106" t="s">
        <v>31</v>
      </c>
      <c r="E106" t="s">
        <v>934</v>
      </c>
      <c r="F106" t="s">
        <v>37</v>
      </c>
      <c r="G106" t="s">
        <v>28</v>
      </c>
      <c r="H106" t="s">
        <v>55</v>
      </c>
      <c r="I106">
        <v>59026</v>
      </c>
      <c r="J106" s="3">
        <v>708312</v>
      </c>
      <c r="K106" s="2">
        <v>25868</v>
      </c>
      <c r="L106" t="s">
        <v>51</v>
      </c>
      <c r="M106" t="s">
        <v>29</v>
      </c>
      <c r="N106">
        <v>1915</v>
      </c>
      <c r="O106" t="s">
        <v>33</v>
      </c>
      <c r="P106" t="s">
        <v>88</v>
      </c>
      <c r="Q106" t="s">
        <v>34</v>
      </c>
      <c r="R106" s="2">
        <v>40637</v>
      </c>
      <c r="S106" s="1" t="s">
        <v>35</v>
      </c>
      <c r="T106">
        <v>0</v>
      </c>
      <c r="U106" t="s">
        <v>36</v>
      </c>
      <c r="V106">
        <v>1</v>
      </c>
      <c r="W106" t="s">
        <v>36</v>
      </c>
      <c r="X106">
        <v>0</v>
      </c>
      <c r="Y106" t="s">
        <v>60</v>
      </c>
      <c r="Z106">
        <v>3</v>
      </c>
      <c r="AA106" t="s">
        <v>49</v>
      </c>
      <c r="AB106">
        <v>5</v>
      </c>
      <c r="AC106" t="s">
        <v>930</v>
      </c>
      <c r="AD106">
        <v>0</v>
      </c>
      <c r="AE106" s="2">
        <v>43479</v>
      </c>
      <c r="AF106">
        <v>0</v>
      </c>
      <c r="AG106">
        <v>12</v>
      </c>
    </row>
    <row r="107" spans="1:33">
      <c r="A107">
        <v>10055</v>
      </c>
      <c r="B107" t="s">
        <v>1277</v>
      </c>
      <c r="C107" t="s">
        <v>42</v>
      </c>
      <c r="D107" t="s">
        <v>56</v>
      </c>
      <c r="E107" t="s">
        <v>934</v>
      </c>
      <c r="F107" t="s">
        <v>288</v>
      </c>
      <c r="G107" t="s">
        <v>269</v>
      </c>
      <c r="H107" t="s">
        <v>347</v>
      </c>
      <c r="I107">
        <v>103821</v>
      </c>
      <c r="J107" s="3">
        <v>1245852</v>
      </c>
      <c r="K107" s="2">
        <v>28051</v>
      </c>
      <c r="L107" t="s">
        <v>264</v>
      </c>
      <c r="M107" t="s">
        <v>191</v>
      </c>
      <c r="N107">
        <v>95984</v>
      </c>
      <c r="O107" t="s">
        <v>73</v>
      </c>
      <c r="P107" t="s">
        <v>32</v>
      </c>
      <c r="Q107" t="s">
        <v>92</v>
      </c>
      <c r="R107" s="2">
        <v>44230</v>
      </c>
      <c r="S107" s="1" t="s">
        <v>35</v>
      </c>
      <c r="T107">
        <v>0</v>
      </c>
      <c r="U107" t="s">
        <v>36</v>
      </c>
      <c r="V107">
        <v>3</v>
      </c>
      <c r="W107" t="s">
        <v>45</v>
      </c>
      <c r="X107">
        <v>0</v>
      </c>
      <c r="Y107" t="s">
        <v>142</v>
      </c>
      <c r="Z107">
        <v>4</v>
      </c>
      <c r="AA107" t="s">
        <v>276</v>
      </c>
      <c r="AB107">
        <v>2.6</v>
      </c>
      <c r="AC107" t="s">
        <v>962</v>
      </c>
      <c r="AD107">
        <v>2</v>
      </c>
      <c r="AE107" s="2">
        <v>45703</v>
      </c>
      <c r="AF107">
        <v>1</v>
      </c>
      <c r="AG107">
        <v>1</v>
      </c>
    </row>
    <row r="108" spans="1:33">
      <c r="A108">
        <v>10056</v>
      </c>
      <c r="B108" t="s">
        <v>992</v>
      </c>
      <c r="C108" t="s">
        <v>42</v>
      </c>
      <c r="D108" t="s">
        <v>42</v>
      </c>
      <c r="E108" t="s">
        <v>934</v>
      </c>
      <c r="F108" t="s">
        <v>37</v>
      </c>
      <c r="G108" t="s">
        <v>28</v>
      </c>
      <c r="H108" t="s">
        <v>55</v>
      </c>
      <c r="I108">
        <v>57583</v>
      </c>
      <c r="J108" s="3">
        <v>690996</v>
      </c>
      <c r="K108" s="2">
        <v>28799</v>
      </c>
      <c r="L108" t="s">
        <v>51</v>
      </c>
      <c r="M108" t="s">
        <v>29</v>
      </c>
      <c r="N108">
        <v>2110</v>
      </c>
      <c r="O108" t="s">
        <v>33</v>
      </c>
      <c r="P108" t="s">
        <v>32</v>
      </c>
      <c r="Q108" t="s">
        <v>34</v>
      </c>
      <c r="R108" s="2">
        <v>41092</v>
      </c>
      <c r="S108" s="1" t="s">
        <v>35</v>
      </c>
      <c r="T108">
        <v>0</v>
      </c>
      <c r="U108" t="s">
        <v>36</v>
      </c>
      <c r="V108">
        <v>1</v>
      </c>
      <c r="W108" t="s">
        <v>36</v>
      </c>
      <c r="X108">
        <v>0</v>
      </c>
      <c r="Y108" t="s">
        <v>48</v>
      </c>
      <c r="Z108">
        <v>3</v>
      </c>
      <c r="AA108" t="s">
        <v>49</v>
      </c>
      <c r="AB108">
        <v>5</v>
      </c>
      <c r="AC108" t="s">
        <v>932</v>
      </c>
      <c r="AD108">
        <v>0</v>
      </c>
      <c r="AE108" s="2">
        <v>43521</v>
      </c>
      <c r="AF108">
        <v>0</v>
      </c>
      <c r="AG108">
        <v>1</v>
      </c>
    </row>
    <row r="109" spans="1:33">
      <c r="A109">
        <v>10056</v>
      </c>
      <c r="B109" t="s">
        <v>1278</v>
      </c>
      <c r="C109" t="s">
        <v>31</v>
      </c>
      <c r="D109" t="s">
        <v>31</v>
      </c>
      <c r="E109" t="s">
        <v>929</v>
      </c>
      <c r="F109" t="s">
        <v>113</v>
      </c>
      <c r="G109" t="s">
        <v>294</v>
      </c>
      <c r="H109" t="s">
        <v>349</v>
      </c>
      <c r="I109">
        <v>93092</v>
      </c>
      <c r="J109" s="3">
        <v>1117104</v>
      </c>
      <c r="K109" s="2">
        <v>33613</v>
      </c>
      <c r="L109" t="s">
        <v>51</v>
      </c>
      <c r="M109" t="s">
        <v>191</v>
      </c>
      <c r="N109">
        <v>55699</v>
      </c>
      <c r="O109" t="s">
        <v>73</v>
      </c>
      <c r="P109" t="s">
        <v>124</v>
      </c>
      <c r="Q109" t="s">
        <v>270</v>
      </c>
      <c r="R109" s="2">
        <v>45517</v>
      </c>
      <c r="S109" s="1" t="s">
        <v>348</v>
      </c>
      <c r="T109">
        <v>0</v>
      </c>
      <c r="U109" t="s">
        <v>36</v>
      </c>
      <c r="V109">
        <v>2</v>
      </c>
      <c r="W109" t="s">
        <v>45</v>
      </c>
      <c r="X109">
        <v>1</v>
      </c>
      <c r="Y109" t="s">
        <v>280</v>
      </c>
      <c r="Z109">
        <v>2</v>
      </c>
      <c r="AA109" t="s">
        <v>95</v>
      </c>
      <c r="AB109">
        <v>5</v>
      </c>
      <c r="AC109" t="s">
        <v>930</v>
      </c>
      <c r="AD109">
        <v>3</v>
      </c>
      <c r="AE109" s="2">
        <v>45546</v>
      </c>
      <c r="AF109">
        <v>3</v>
      </c>
      <c r="AG109">
        <v>4</v>
      </c>
    </row>
    <row r="110" spans="1:33">
      <c r="A110">
        <v>10057</v>
      </c>
      <c r="B110" t="s">
        <v>1096</v>
      </c>
      <c r="C110" t="s">
        <v>42</v>
      </c>
      <c r="D110" t="s">
        <v>42</v>
      </c>
      <c r="E110" t="s">
        <v>934</v>
      </c>
      <c r="F110" t="s">
        <v>37</v>
      </c>
      <c r="G110" t="s">
        <v>28</v>
      </c>
      <c r="H110" t="s">
        <v>55</v>
      </c>
      <c r="I110">
        <v>52057</v>
      </c>
      <c r="J110" s="3">
        <v>624684</v>
      </c>
      <c r="K110" s="2">
        <v>27689</v>
      </c>
      <c r="L110" t="s">
        <v>51</v>
      </c>
      <c r="M110" t="s">
        <v>29</v>
      </c>
      <c r="N110">
        <v>2122</v>
      </c>
      <c r="O110" t="s">
        <v>33</v>
      </c>
      <c r="P110" t="s">
        <v>32</v>
      </c>
      <c r="Q110" t="s">
        <v>68</v>
      </c>
      <c r="R110" s="2">
        <v>42051</v>
      </c>
      <c r="S110" s="1" t="s">
        <v>35</v>
      </c>
      <c r="T110">
        <v>0</v>
      </c>
      <c r="U110" t="s">
        <v>36</v>
      </c>
      <c r="V110">
        <v>3</v>
      </c>
      <c r="W110" t="s">
        <v>36</v>
      </c>
      <c r="X110">
        <v>0</v>
      </c>
      <c r="Y110" t="s">
        <v>142</v>
      </c>
      <c r="Z110">
        <v>3</v>
      </c>
      <c r="AA110" t="s">
        <v>49</v>
      </c>
      <c r="AB110">
        <v>5</v>
      </c>
      <c r="AC110" t="s">
        <v>932</v>
      </c>
      <c r="AD110">
        <v>0</v>
      </c>
      <c r="AE110" s="2">
        <v>43488</v>
      </c>
      <c r="AF110">
        <v>0</v>
      </c>
      <c r="AG110">
        <v>6</v>
      </c>
    </row>
    <row r="111" spans="1:33">
      <c r="A111">
        <v>10057</v>
      </c>
      <c r="B111" t="s">
        <v>1279</v>
      </c>
      <c r="C111" t="s">
        <v>31</v>
      </c>
      <c r="D111" t="s">
        <v>42</v>
      </c>
      <c r="E111" t="s">
        <v>934</v>
      </c>
      <c r="F111" t="s">
        <v>283</v>
      </c>
      <c r="G111" t="s">
        <v>294</v>
      </c>
      <c r="H111" t="s">
        <v>350</v>
      </c>
      <c r="I111">
        <v>30862</v>
      </c>
      <c r="J111" s="3">
        <v>370344</v>
      </c>
      <c r="K111" s="2">
        <v>24492</v>
      </c>
      <c r="L111" t="s">
        <v>264</v>
      </c>
      <c r="M111" t="s">
        <v>29</v>
      </c>
      <c r="N111">
        <v>68579</v>
      </c>
      <c r="O111" t="s">
        <v>33</v>
      </c>
      <c r="P111" t="s">
        <v>32</v>
      </c>
      <c r="Q111" t="s">
        <v>270</v>
      </c>
      <c r="R111" s="2">
        <v>43553</v>
      </c>
      <c r="S111" s="1" t="s">
        <v>35</v>
      </c>
      <c r="T111">
        <v>1</v>
      </c>
      <c r="U111" t="s">
        <v>273</v>
      </c>
      <c r="V111">
        <v>3</v>
      </c>
      <c r="W111" t="s">
        <v>36</v>
      </c>
      <c r="X111">
        <v>0</v>
      </c>
      <c r="Y111" t="s">
        <v>142</v>
      </c>
      <c r="Z111">
        <v>2</v>
      </c>
      <c r="AA111" t="s">
        <v>95</v>
      </c>
      <c r="AB111">
        <v>4.0999999999999996</v>
      </c>
      <c r="AC111" t="s">
        <v>930</v>
      </c>
      <c r="AD111">
        <v>0</v>
      </c>
      <c r="AE111" s="2">
        <v>45608</v>
      </c>
      <c r="AF111">
        <v>2</v>
      </c>
      <c r="AG111">
        <v>2</v>
      </c>
    </row>
    <row r="112" spans="1:33">
      <c r="A112">
        <v>10058</v>
      </c>
      <c r="B112" t="s">
        <v>1150</v>
      </c>
      <c r="C112" t="s">
        <v>31</v>
      </c>
      <c r="D112" t="s">
        <v>56</v>
      </c>
      <c r="E112" t="s">
        <v>929</v>
      </c>
      <c r="F112" t="s">
        <v>37</v>
      </c>
      <c r="G112" t="s">
        <v>28</v>
      </c>
      <c r="H112" t="s">
        <v>55</v>
      </c>
      <c r="I112">
        <v>45115</v>
      </c>
      <c r="J112" s="3">
        <v>541380</v>
      </c>
      <c r="K112" s="2">
        <v>30154</v>
      </c>
      <c r="L112" t="s">
        <v>30</v>
      </c>
      <c r="M112" t="s">
        <v>29</v>
      </c>
      <c r="N112">
        <v>2176</v>
      </c>
      <c r="O112" t="s">
        <v>73</v>
      </c>
      <c r="P112" t="s">
        <v>32</v>
      </c>
      <c r="Q112" t="s">
        <v>34</v>
      </c>
      <c r="R112" s="2">
        <v>40679</v>
      </c>
      <c r="S112" s="1" t="s">
        <v>227</v>
      </c>
      <c r="T112">
        <v>1</v>
      </c>
      <c r="U112" t="s">
        <v>106</v>
      </c>
      <c r="V112">
        <v>5</v>
      </c>
      <c r="W112" t="s">
        <v>45</v>
      </c>
      <c r="X112">
        <v>0</v>
      </c>
      <c r="Y112" t="s">
        <v>39</v>
      </c>
      <c r="Z112">
        <v>3</v>
      </c>
      <c r="AA112" t="s">
        <v>49</v>
      </c>
      <c r="AB112">
        <v>5</v>
      </c>
      <c r="AC112" t="s">
        <v>937</v>
      </c>
      <c r="AD112">
        <v>0</v>
      </c>
      <c r="AE112" s="2">
        <v>42093</v>
      </c>
      <c r="AF112">
        <v>0</v>
      </c>
      <c r="AG112">
        <v>11</v>
      </c>
    </row>
    <row r="113" spans="1:33">
      <c r="A113">
        <v>10058</v>
      </c>
      <c r="B113" t="s">
        <v>1280</v>
      </c>
      <c r="C113" t="s">
        <v>31</v>
      </c>
      <c r="D113" t="s">
        <v>56</v>
      </c>
      <c r="E113" t="s">
        <v>934</v>
      </c>
      <c r="F113" t="s">
        <v>278</v>
      </c>
      <c r="G113" t="s">
        <v>28</v>
      </c>
      <c r="H113" t="s">
        <v>351</v>
      </c>
      <c r="I113">
        <v>64873</v>
      </c>
      <c r="J113" s="3">
        <v>778476</v>
      </c>
      <c r="K113" s="2">
        <v>34339</v>
      </c>
      <c r="L113" t="s">
        <v>51</v>
      </c>
      <c r="M113" t="s">
        <v>144</v>
      </c>
      <c r="N113">
        <v>94156</v>
      </c>
      <c r="O113" t="s">
        <v>33</v>
      </c>
      <c r="P113" t="s">
        <v>32</v>
      </c>
      <c r="Q113" t="s">
        <v>270</v>
      </c>
      <c r="R113" s="2">
        <v>44747</v>
      </c>
      <c r="S113" s="1" t="s">
        <v>35</v>
      </c>
      <c r="T113">
        <v>1</v>
      </c>
      <c r="U113" t="s">
        <v>36</v>
      </c>
      <c r="V113">
        <v>3</v>
      </c>
      <c r="W113" t="s">
        <v>87</v>
      </c>
      <c r="X113">
        <v>0</v>
      </c>
      <c r="Y113" t="s">
        <v>39</v>
      </c>
      <c r="Z113">
        <v>2</v>
      </c>
      <c r="AA113" t="s">
        <v>276</v>
      </c>
      <c r="AB113">
        <v>3.8</v>
      </c>
      <c r="AC113" t="s">
        <v>930</v>
      </c>
      <c r="AD113">
        <v>2</v>
      </c>
      <c r="AE113" s="2">
        <v>45815</v>
      </c>
      <c r="AF113">
        <v>0</v>
      </c>
      <c r="AG113">
        <v>10</v>
      </c>
    </row>
    <row r="114" spans="1:33">
      <c r="A114">
        <v>10059</v>
      </c>
      <c r="B114" t="s">
        <v>1046</v>
      </c>
      <c r="C114" t="s">
        <v>31</v>
      </c>
      <c r="D114" t="s">
        <v>56</v>
      </c>
      <c r="E114" t="s">
        <v>934</v>
      </c>
      <c r="F114" t="s">
        <v>37</v>
      </c>
      <c r="G114" t="s">
        <v>28</v>
      </c>
      <c r="H114" t="s">
        <v>82</v>
      </c>
      <c r="I114">
        <v>63813</v>
      </c>
      <c r="J114" s="3">
        <v>765756</v>
      </c>
      <c r="K114" s="2">
        <v>30457</v>
      </c>
      <c r="L114" t="s">
        <v>51</v>
      </c>
      <c r="M114" t="s">
        <v>29</v>
      </c>
      <c r="N114">
        <v>2176</v>
      </c>
      <c r="O114" t="s">
        <v>33</v>
      </c>
      <c r="P114" t="s">
        <v>32</v>
      </c>
      <c r="Q114" t="s">
        <v>34</v>
      </c>
      <c r="R114" s="2">
        <v>40595</v>
      </c>
      <c r="S114" s="1" t="s">
        <v>169</v>
      </c>
      <c r="T114">
        <v>1</v>
      </c>
      <c r="U114" t="s">
        <v>138</v>
      </c>
      <c r="V114">
        <v>5</v>
      </c>
      <c r="W114" t="s">
        <v>45</v>
      </c>
      <c r="X114">
        <v>0</v>
      </c>
      <c r="Y114" t="s">
        <v>94</v>
      </c>
      <c r="Z114">
        <v>3</v>
      </c>
      <c r="AA114" t="s">
        <v>49</v>
      </c>
      <c r="AB114">
        <v>5</v>
      </c>
      <c r="AC114" t="s">
        <v>930</v>
      </c>
      <c r="AD114">
        <v>0</v>
      </c>
      <c r="AE114" s="2">
        <v>41428</v>
      </c>
      <c r="AF114">
        <v>0</v>
      </c>
      <c r="AG114">
        <v>17</v>
      </c>
    </row>
    <row r="115" spans="1:33">
      <c r="A115">
        <v>10059</v>
      </c>
      <c r="B115" t="s">
        <v>1281</v>
      </c>
      <c r="C115" t="s">
        <v>31</v>
      </c>
      <c r="D115" t="s">
        <v>56</v>
      </c>
      <c r="E115" t="s">
        <v>929</v>
      </c>
      <c r="F115" t="s">
        <v>113</v>
      </c>
      <c r="G115" t="s">
        <v>62</v>
      </c>
      <c r="H115" t="s">
        <v>353</v>
      </c>
      <c r="I115">
        <v>43979</v>
      </c>
      <c r="J115" s="3">
        <v>527748</v>
      </c>
      <c r="K115" s="2">
        <v>24195</v>
      </c>
      <c r="L115" t="s">
        <v>264</v>
      </c>
      <c r="M115" t="s">
        <v>80</v>
      </c>
      <c r="N115">
        <v>55347</v>
      </c>
      <c r="O115" t="s">
        <v>33</v>
      </c>
      <c r="P115" t="s">
        <v>32</v>
      </c>
      <c r="Q115" t="s">
        <v>34</v>
      </c>
      <c r="R115" s="2">
        <v>42617</v>
      </c>
      <c r="S115" s="1" t="s">
        <v>352</v>
      </c>
      <c r="T115">
        <v>1</v>
      </c>
      <c r="U115" t="s">
        <v>36</v>
      </c>
      <c r="V115">
        <v>3</v>
      </c>
      <c r="W115" t="s">
        <v>36</v>
      </c>
      <c r="X115">
        <v>0</v>
      </c>
      <c r="Y115" t="s">
        <v>280</v>
      </c>
      <c r="Z115">
        <v>2</v>
      </c>
      <c r="AA115" t="s">
        <v>276</v>
      </c>
      <c r="AB115">
        <v>4.7</v>
      </c>
      <c r="AC115" t="s">
        <v>930</v>
      </c>
      <c r="AD115">
        <v>3</v>
      </c>
      <c r="AE115" s="2">
        <v>45998</v>
      </c>
      <c r="AF115">
        <v>3</v>
      </c>
      <c r="AG115">
        <v>3</v>
      </c>
    </row>
    <row r="116" spans="1:33">
      <c r="A116">
        <v>10060</v>
      </c>
      <c r="B116" t="s">
        <v>1067</v>
      </c>
      <c r="C116" t="s">
        <v>31</v>
      </c>
      <c r="D116" t="s">
        <v>964</v>
      </c>
      <c r="E116" t="s">
        <v>934</v>
      </c>
      <c r="F116" t="s">
        <v>37</v>
      </c>
      <c r="G116" t="s">
        <v>28</v>
      </c>
      <c r="H116" t="s">
        <v>82</v>
      </c>
      <c r="I116">
        <v>60436</v>
      </c>
      <c r="J116" s="3">
        <v>725232</v>
      </c>
      <c r="K116" s="2">
        <v>23480</v>
      </c>
      <c r="L116" t="s">
        <v>51</v>
      </c>
      <c r="M116" t="s">
        <v>29</v>
      </c>
      <c r="N116">
        <v>2109</v>
      </c>
      <c r="O116" t="s">
        <v>33</v>
      </c>
      <c r="P116" t="s">
        <v>32</v>
      </c>
      <c r="Q116" t="s">
        <v>34</v>
      </c>
      <c r="R116" s="2">
        <v>41645</v>
      </c>
      <c r="S116" s="1" t="s">
        <v>35</v>
      </c>
      <c r="T116">
        <v>0</v>
      </c>
      <c r="U116" t="s">
        <v>36</v>
      </c>
      <c r="V116">
        <v>1</v>
      </c>
      <c r="W116" t="s">
        <v>36</v>
      </c>
      <c r="X116">
        <v>0</v>
      </c>
      <c r="Y116" t="s">
        <v>39</v>
      </c>
      <c r="Z116">
        <v>3</v>
      </c>
      <c r="AA116" t="s">
        <v>49</v>
      </c>
      <c r="AB116">
        <v>5</v>
      </c>
      <c r="AC116" t="s">
        <v>930</v>
      </c>
      <c r="AD116">
        <v>0</v>
      </c>
      <c r="AE116" s="2">
        <v>43486</v>
      </c>
      <c r="AF116">
        <v>0</v>
      </c>
      <c r="AG116">
        <v>9</v>
      </c>
    </row>
    <row r="117" spans="1:33">
      <c r="A117">
        <v>10060</v>
      </c>
      <c r="B117" t="s">
        <v>1282</v>
      </c>
      <c r="C117" t="s">
        <v>42</v>
      </c>
      <c r="D117" t="s">
        <v>31</v>
      </c>
      <c r="E117" t="s">
        <v>929</v>
      </c>
      <c r="F117" t="s">
        <v>113</v>
      </c>
      <c r="G117" t="s">
        <v>28</v>
      </c>
      <c r="H117" t="s">
        <v>354</v>
      </c>
      <c r="I117">
        <v>73539</v>
      </c>
      <c r="J117" s="3">
        <v>882468</v>
      </c>
      <c r="K117" s="2">
        <v>36484</v>
      </c>
      <c r="L117" t="s">
        <v>51</v>
      </c>
      <c r="M117" t="s">
        <v>144</v>
      </c>
      <c r="N117">
        <v>76192</v>
      </c>
      <c r="O117" t="s">
        <v>33</v>
      </c>
      <c r="P117" t="s">
        <v>32</v>
      </c>
      <c r="Q117" t="s">
        <v>160</v>
      </c>
      <c r="R117" s="2">
        <v>43104</v>
      </c>
      <c r="S117" s="1" t="s">
        <v>35</v>
      </c>
      <c r="T117">
        <v>1</v>
      </c>
      <c r="U117" t="s">
        <v>298</v>
      </c>
      <c r="V117">
        <v>2</v>
      </c>
      <c r="W117" t="s">
        <v>45</v>
      </c>
      <c r="X117">
        <v>1</v>
      </c>
      <c r="Y117" t="s">
        <v>142</v>
      </c>
      <c r="Z117">
        <v>2</v>
      </c>
      <c r="AA117" t="s">
        <v>276</v>
      </c>
      <c r="AB117">
        <v>2.9</v>
      </c>
      <c r="AC117" t="s">
        <v>962</v>
      </c>
      <c r="AD117">
        <v>1</v>
      </c>
      <c r="AE117" s="2">
        <v>45930</v>
      </c>
      <c r="AF117">
        <v>0</v>
      </c>
      <c r="AG117">
        <v>3</v>
      </c>
    </row>
    <row r="118" spans="1:33">
      <c r="A118">
        <v>10061</v>
      </c>
      <c r="B118" t="s">
        <v>948</v>
      </c>
      <c r="C118" t="s">
        <v>31</v>
      </c>
      <c r="D118" t="s">
        <v>31</v>
      </c>
      <c r="E118" t="s">
        <v>929</v>
      </c>
      <c r="F118" t="s">
        <v>37</v>
      </c>
      <c r="G118" t="s">
        <v>28</v>
      </c>
      <c r="H118" t="s">
        <v>82</v>
      </c>
      <c r="I118">
        <v>57834</v>
      </c>
      <c r="J118" s="3">
        <v>694008</v>
      </c>
      <c r="K118" s="2">
        <v>29877</v>
      </c>
      <c r="L118" t="s">
        <v>30</v>
      </c>
      <c r="M118" t="s">
        <v>29</v>
      </c>
      <c r="N118">
        <v>2050</v>
      </c>
      <c r="O118" t="s">
        <v>33</v>
      </c>
      <c r="P118" t="s">
        <v>32</v>
      </c>
      <c r="Q118" t="s">
        <v>34</v>
      </c>
      <c r="R118" s="2">
        <v>40595</v>
      </c>
      <c r="S118" s="1" t="s">
        <v>85</v>
      </c>
      <c r="T118">
        <v>1</v>
      </c>
      <c r="U118" t="s">
        <v>86</v>
      </c>
      <c r="V118">
        <v>4</v>
      </c>
      <c r="W118" t="s">
        <v>87</v>
      </c>
      <c r="X118">
        <v>0</v>
      </c>
      <c r="Y118" t="s">
        <v>60</v>
      </c>
      <c r="Z118">
        <v>3</v>
      </c>
      <c r="AA118" t="s">
        <v>49</v>
      </c>
      <c r="AB118">
        <v>5</v>
      </c>
      <c r="AC118" t="s">
        <v>937</v>
      </c>
      <c r="AD118">
        <v>0</v>
      </c>
      <c r="AE118" s="2">
        <v>42830</v>
      </c>
      <c r="AF118">
        <v>0</v>
      </c>
      <c r="AG118">
        <v>20</v>
      </c>
    </row>
    <row r="119" spans="1:33">
      <c r="A119">
        <v>10061</v>
      </c>
      <c r="B119" t="s">
        <v>1283</v>
      </c>
      <c r="C119" t="s">
        <v>42</v>
      </c>
      <c r="D119" t="s">
        <v>31</v>
      </c>
      <c r="E119" t="s">
        <v>934</v>
      </c>
      <c r="F119" t="s">
        <v>278</v>
      </c>
      <c r="G119" t="s">
        <v>28</v>
      </c>
      <c r="H119" t="s">
        <v>355</v>
      </c>
      <c r="I119">
        <v>112900</v>
      </c>
      <c r="J119" s="3">
        <v>1354800</v>
      </c>
      <c r="K119" s="2">
        <v>26216</v>
      </c>
      <c r="L119" t="s">
        <v>51</v>
      </c>
      <c r="M119" t="s">
        <v>29</v>
      </c>
      <c r="N119">
        <v>60927</v>
      </c>
      <c r="O119" t="s">
        <v>73</v>
      </c>
      <c r="P119" t="s">
        <v>32</v>
      </c>
      <c r="Q119" t="s">
        <v>204</v>
      </c>
      <c r="R119" s="2">
        <v>45726</v>
      </c>
      <c r="S119" s="1" t="s">
        <v>35</v>
      </c>
      <c r="T119">
        <v>1</v>
      </c>
      <c r="U119" t="s">
        <v>298</v>
      </c>
      <c r="V119">
        <v>2</v>
      </c>
      <c r="W119" t="s">
        <v>87</v>
      </c>
      <c r="X119">
        <v>0</v>
      </c>
      <c r="Y119" t="s">
        <v>268</v>
      </c>
      <c r="Z119">
        <v>2</v>
      </c>
      <c r="AA119" t="s">
        <v>95</v>
      </c>
      <c r="AB119">
        <v>2.6</v>
      </c>
      <c r="AC119" t="s">
        <v>930</v>
      </c>
      <c r="AD119">
        <v>1</v>
      </c>
      <c r="AE119" s="2">
        <v>45666</v>
      </c>
      <c r="AF119">
        <v>2</v>
      </c>
      <c r="AG119">
        <v>4</v>
      </c>
    </row>
    <row r="120" spans="1:33">
      <c r="A120">
        <v>10062</v>
      </c>
      <c r="B120" t="s">
        <v>940</v>
      </c>
      <c r="C120" t="s">
        <v>31</v>
      </c>
      <c r="D120" t="s">
        <v>65</v>
      </c>
      <c r="E120" t="s">
        <v>929</v>
      </c>
      <c r="F120" t="s">
        <v>37</v>
      </c>
      <c r="G120" t="s">
        <v>28</v>
      </c>
      <c r="H120" t="s">
        <v>66</v>
      </c>
      <c r="I120">
        <v>59365</v>
      </c>
      <c r="J120" s="3">
        <v>712380</v>
      </c>
      <c r="K120" s="2">
        <v>30365</v>
      </c>
      <c r="L120" t="s">
        <v>30</v>
      </c>
      <c r="M120" t="s">
        <v>29</v>
      </c>
      <c r="N120">
        <v>2199</v>
      </c>
      <c r="O120" t="s">
        <v>33</v>
      </c>
      <c r="P120" t="s">
        <v>32</v>
      </c>
      <c r="Q120" t="s">
        <v>34</v>
      </c>
      <c r="R120" s="2">
        <v>41547</v>
      </c>
      <c r="S120" s="1" t="s">
        <v>35</v>
      </c>
      <c r="T120">
        <v>0</v>
      </c>
      <c r="U120" t="s">
        <v>36</v>
      </c>
      <c r="V120">
        <v>1</v>
      </c>
      <c r="W120" t="s">
        <v>36</v>
      </c>
      <c r="X120">
        <v>0</v>
      </c>
      <c r="Y120" t="s">
        <v>67</v>
      </c>
      <c r="Z120">
        <v>3</v>
      </c>
      <c r="AA120" t="s">
        <v>49</v>
      </c>
      <c r="AB120">
        <v>5</v>
      </c>
      <c r="AC120" t="s">
        <v>937</v>
      </c>
      <c r="AD120">
        <v>0</v>
      </c>
      <c r="AE120" s="2">
        <v>43521</v>
      </c>
      <c r="AF120">
        <v>0</v>
      </c>
      <c r="AG120">
        <v>19</v>
      </c>
    </row>
    <row r="121" spans="1:33">
      <c r="A121">
        <v>10062</v>
      </c>
      <c r="B121" t="s">
        <v>1284</v>
      </c>
      <c r="C121" t="s">
        <v>31</v>
      </c>
      <c r="D121" t="s">
        <v>31</v>
      </c>
      <c r="E121" t="s">
        <v>934</v>
      </c>
      <c r="F121" t="s">
        <v>274</v>
      </c>
      <c r="G121" t="s">
        <v>28</v>
      </c>
      <c r="H121" t="s">
        <v>357</v>
      </c>
      <c r="I121">
        <v>119512</v>
      </c>
      <c r="J121" s="3">
        <v>1434144</v>
      </c>
      <c r="K121" s="2">
        <v>25280</v>
      </c>
      <c r="L121" t="s">
        <v>264</v>
      </c>
      <c r="M121" t="s">
        <v>80</v>
      </c>
      <c r="N121">
        <v>15967</v>
      </c>
      <c r="O121" t="s">
        <v>33</v>
      </c>
      <c r="P121" t="s">
        <v>124</v>
      </c>
      <c r="Q121" t="s">
        <v>160</v>
      </c>
      <c r="R121" s="2">
        <v>43654</v>
      </c>
      <c r="S121" s="1" t="s">
        <v>356</v>
      </c>
      <c r="T121">
        <v>0</v>
      </c>
      <c r="U121" t="s">
        <v>36</v>
      </c>
      <c r="V121">
        <v>2</v>
      </c>
      <c r="W121" t="s">
        <v>36</v>
      </c>
      <c r="X121">
        <v>1</v>
      </c>
      <c r="Y121" t="s">
        <v>48</v>
      </c>
      <c r="Z121">
        <v>1</v>
      </c>
      <c r="AA121" t="s">
        <v>95</v>
      </c>
      <c r="AB121">
        <v>4.0999999999999996</v>
      </c>
      <c r="AC121" t="s">
        <v>962</v>
      </c>
      <c r="AD121">
        <v>4</v>
      </c>
      <c r="AE121" s="2">
        <v>45675</v>
      </c>
      <c r="AF121">
        <v>3</v>
      </c>
      <c r="AG121">
        <v>10</v>
      </c>
    </row>
    <row r="122" spans="1:33">
      <c r="A122">
        <v>10063</v>
      </c>
      <c r="B122" t="s">
        <v>1119</v>
      </c>
      <c r="C122" t="s">
        <v>42</v>
      </c>
      <c r="D122" t="s">
        <v>42</v>
      </c>
      <c r="E122" t="s">
        <v>929</v>
      </c>
      <c r="F122" t="s">
        <v>37</v>
      </c>
      <c r="G122" t="s">
        <v>28</v>
      </c>
      <c r="H122" t="s">
        <v>66</v>
      </c>
      <c r="I122">
        <v>48495</v>
      </c>
      <c r="J122" s="3">
        <v>581940</v>
      </c>
      <c r="K122" s="2">
        <v>28223</v>
      </c>
      <c r="L122" t="s">
        <v>30</v>
      </c>
      <c r="M122" t="s">
        <v>29</v>
      </c>
      <c r="N122">
        <v>2136</v>
      </c>
      <c r="O122" t="s">
        <v>33</v>
      </c>
      <c r="P122" t="s">
        <v>32</v>
      </c>
      <c r="Q122" t="s">
        <v>34</v>
      </c>
      <c r="R122" s="2">
        <v>41771</v>
      </c>
      <c r="S122" s="1" t="s">
        <v>35</v>
      </c>
      <c r="T122">
        <v>0</v>
      </c>
      <c r="U122" t="s">
        <v>36</v>
      </c>
      <c r="V122">
        <v>3</v>
      </c>
      <c r="W122" t="s">
        <v>36</v>
      </c>
      <c r="X122">
        <v>0</v>
      </c>
      <c r="Y122" t="s">
        <v>39</v>
      </c>
      <c r="Z122">
        <v>3</v>
      </c>
      <c r="AA122" t="s">
        <v>49</v>
      </c>
      <c r="AB122">
        <v>5</v>
      </c>
      <c r="AC122" t="s">
        <v>930</v>
      </c>
      <c r="AD122">
        <v>0</v>
      </c>
      <c r="AE122" s="2">
        <v>43514</v>
      </c>
      <c r="AF122">
        <v>0</v>
      </c>
      <c r="AG122">
        <v>11</v>
      </c>
    </row>
    <row r="123" spans="1:33">
      <c r="A123">
        <v>10063</v>
      </c>
      <c r="B123" t="s">
        <v>1285</v>
      </c>
      <c r="C123" t="s">
        <v>31</v>
      </c>
      <c r="D123" t="s">
        <v>31</v>
      </c>
      <c r="E123" t="s">
        <v>929</v>
      </c>
      <c r="F123" t="s">
        <v>278</v>
      </c>
      <c r="G123" t="s">
        <v>269</v>
      </c>
      <c r="H123" t="s">
        <v>358</v>
      </c>
      <c r="I123">
        <v>31561</v>
      </c>
      <c r="J123" s="3">
        <v>378732</v>
      </c>
      <c r="K123" s="2">
        <v>30282</v>
      </c>
      <c r="L123" t="s">
        <v>51</v>
      </c>
      <c r="M123" t="s">
        <v>210</v>
      </c>
      <c r="N123">
        <v>96133</v>
      </c>
      <c r="O123" t="s">
        <v>73</v>
      </c>
      <c r="P123" t="s">
        <v>124</v>
      </c>
      <c r="Q123" t="s">
        <v>34</v>
      </c>
      <c r="R123" s="2">
        <v>44750</v>
      </c>
      <c r="S123" s="1" t="s">
        <v>35</v>
      </c>
      <c r="T123">
        <v>1</v>
      </c>
      <c r="U123" t="s">
        <v>273</v>
      </c>
      <c r="V123">
        <v>3</v>
      </c>
      <c r="W123" t="s">
        <v>45</v>
      </c>
      <c r="X123">
        <v>1</v>
      </c>
      <c r="Y123" t="s">
        <v>48</v>
      </c>
      <c r="Z123">
        <v>3</v>
      </c>
      <c r="AA123" t="s">
        <v>95</v>
      </c>
      <c r="AB123">
        <v>4.3</v>
      </c>
      <c r="AC123" t="s">
        <v>962</v>
      </c>
      <c r="AD123">
        <v>2</v>
      </c>
      <c r="AE123" s="2">
        <v>45749</v>
      </c>
      <c r="AF123">
        <v>0</v>
      </c>
      <c r="AG123">
        <v>3</v>
      </c>
    </row>
    <row r="124" spans="1:33">
      <c r="A124">
        <v>10064</v>
      </c>
      <c r="B124" t="s">
        <v>1009</v>
      </c>
      <c r="C124" t="s">
        <v>42</v>
      </c>
      <c r="D124" t="s">
        <v>42</v>
      </c>
      <c r="E124" t="s">
        <v>934</v>
      </c>
      <c r="F124" t="s">
        <v>37</v>
      </c>
      <c r="G124" t="s">
        <v>28</v>
      </c>
      <c r="H124" t="s">
        <v>54</v>
      </c>
      <c r="I124">
        <v>60070</v>
      </c>
      <c r="J124" s="3">
        <v>720840</v>
      </c>
      <c r="K124" s="2">
        <v>33486</v>
      </c>
      <c r="L124" t="s">
        <v>51</v>
      </c>
      <c r="M124" t="s">
        <v>29</v>
      </c>
      <c r="N124">
        <v>2343</v>
      </c>
      <c r="O124" t="s">
        <v>33</v>
      </c>
      <c r="P124" t="s">
        <v>32</v>
      </c>
      <c r="Q124" t="s">
        <v>34</v>
      </c>
      <c r="R124" s="2">
        <v>40637</v>
      </c>
      <c r="S124" s="1" t="s">
        <v>145</v>
      </c>
      <c r="T124">
        <v>1</v>
      </c>
      <c r="U124" t="s">
        <v>146</v>
      </c>
      <c r="V124">
        <v>5</v>
      </c>
      <c r="W124" t="s">
        <v>45</v>
      </c>
      <c r="X124">
        <v>0</v>
      </c>
      <c r="Y124" t="s">
        <v>60</v>
      </c>
      <c r="Z124">
        <v>3</v>
      </c>
      <c r="AA124" t="s">
        <v>49</v>
      </c>
      <c r="AB124">
        <v>5</v>
      </c>
      <c r="AC124" t="s">
        <v>932</v>
      </c>
      <c r="AD124">
        <v>0</v>
      </c>
      <c r="AE124" s="2">
        <v>42834</v>
      </c>
      <c r="AF124">
        <v>0</v>
      </c>
      <c r="AG124">
        <v>7</v>
      </c>
    </row>
    <row r="125" spans="1:33">
      <c r="A125">
        <v>10064</v>
      </c>
      <c r="B125" t="s">
        <v>1286</v>
      </c>
      <c r="C125" t="s">
        <v>42</v>
      </c>
      <c r="D125" t="s">
        <v>42</v>
      </c>
      <c r="E125" t="s">
        <v>929</v>
      </c>
      <c r="F125" t="s">
        <v>274</v>
      </c>
      <c r="G125" t="s">
        <v>28</v>
      </c>
      <c r="H125" t="s">
        <v>360</v>
      </c>
      <c r="I125">
        <v>94156</v>
      </c>
      <c r="J125" s="3">
        <v>1129872</v>
      </c>
      <c r="K125" s="2">
        <v>31525</v>
      </c>
      <c r="L125" t="s">
        <v>51</v>
      </c>
      <c r="M125" t="s">
        <v>191</v>
      </c>
      <c r="N125">
        <v>66304</v>
      </c>
      <c r="O125" t="s">
        <v>73</v>
      </c>
      <c r="P125" t="s">
        <v>124</v>
      </c>
      <c r="Q125" t="s">
        <v>270</v>
      </c>
      <c r="R125" s="2">
        <v>45079</v>
      </c>
      <c r="S125" s="1" t="s">
        <v>359</v>
      </c>
      <c r="T125">
        <v>0</v>
      </c>
      <c r="U125" t="s">
        <v>36</v>
      </c>
      <c r="V125">
        <v>3</v>
      </c>
      <c r="W125" t="s">
        <v>87</v>
      </c>
      <c r="X125">
        <v>1</v>
      </c>
      <c r="Y125" t="s">
        <v>268</v>
      </c>
      <c r="Z125">
        <v>3</v>
      </c>
      <c r="AA125" t="s">
        <v>276</v>
      </c>
      <c r="AB125">
        <v>2.8</v>
      </c>
      <c r="AC125" t="s">
        <v>930</v>
      </c>
      <c r="AD125">
        <v>1</v>
      </c>
      <c r="AE125" s="2">
        <v>45831</v>
      </c>
      <c r="AF125">
        <v>4</v>
      </c>
      <c r="AG125">
        <v>1</v>
      </c>
    </row>
    <row r="126" spans="1:33">
      <c r="A126">
        <v>10065</v>
      </c>
      <c r="B126" t="s">
        <v>1160</v>
      </c>
      <c r="C126" t="s">
        <v>31</v>
      </c>
      <c r="D126" t="s">
        <v>31</v>
      </c>
      <c r="E126" t="s">
        <v>929</v>
      </c>
      <c r="F126" t="s">
        <v>37</v>
      </c>
      <c r="G126" t="s">
        <v>28</v>
      </c>
      <c r="H126" t="s">
        <v>54</v>
      </c>
      <c r="I126">
        <v>53180</v>
      </c>
      <c r="J126" s="3">
        <v>638160</v>
      </c>
      <c r="K126" s="2">
        <v>31854</v>
      </c>
      <c r="L126" t="s">
        <v>30</v>
      </c>
      <c r="M126" t="s">
        <v>29</v>
      </c>
      <c r="N126">
        <v>2155</v>
      </c>
      <c r="O126" t="s">
        <v>33</v>
      </c>
      <c r="P126" t="s">
        <v>32</v>
      </c>
      <c r="Q126" t="s">
        <v>34</v>
      </c>
      <c r="R126" s="2">
        <v>40637</v>
      </c>
      <c r="S126" s="1" t="s">
        <v>234</v>
      </c>
      <c r="T126">
        <v>1</v>
      </c>
      <c r="U126" t="s">
        <v>75</v>
      </c>
      <c r="V126">
        <v>5</v>
      </c>
      <c r="W126" t="s">
        <v>45</v>
      </c>
      <c r="X126">
        <v>0</v>
      </c>
      <c r="Y126" t="s">
        <v>60</v>
      </c>
      <c r="Z126">
        <v>3</v>
      </c>
      <c r="AA126" t="s">
        <v>49</v>
      </c>
      <c r="AB126">
        <v>5</v>
      </c>
      <c r="AC126" t="s">
        <v>930</v>
      </c>
      <c r="AD126">
        <v>0</v>
      </c>
      <c r="AE126" s="2">
        <v>43283</v>
      </c>
      <c r="AF126">
        <v>0</v>
      </c>
      <c r="AG126">
        <v>4</v>
      </c>
    </row>
    <row r="127" spans="1:33">
      <c r="A127">
        <v>10065</v>
      </c>
      <c r="B127" t="s">
        <v>1287</v>
      </c>
      <c r="C127" t="s">
        <v>42</v>
      </c>
      <c r="D127" t="s">
        <v>42</v>
      </c>
      <c r="E127" t="s">
        <v>934</v>
      </c>
      <c r="F127" t="s">
        <v>288</v>
      </c>
      <c r="G127" t="s">
        <v>62</v>
      </c>
      <c r="H127" t="s">
        <v>361</v>
      </c>
      <c r="I127">
        <v>80849</v>
      </c>
      <c r="J127" s="3">
        <v>970188</v>
      </c>
      <c r="K127" s="2">
        <v>24652</v>
      </c>
      <c r="L127" t="s">
        <v>51</v>
      </c>
      <c r="M127" t="s">
        <v>80</v>
      </c>
      <c r="N127">
        <v>87796</v>
      </c>
      <c r="O127" t="s">
        <v>33</v>
      </c>
      <c r="P127" t="s">
        <v>32</v>
      </c>
      <c r="Q127" t="s">
        <v>92</v>
      </c>
      <c r="R127" s="2">
        <v>45534</v>
      </c>
      <c r="S127" s="1" t="s">
        <v>35</v>
      </c>
      <c r="T127">
        <v>0</v>
      </c>
      <c r="U127" t="s">
        <v>36</v>
      </c>
      <c r="V127">
        <v>2</v>
      </c>
      <c r="W127" t="s">
        <v>36</v>
      </c>
      <c r="X127">
        <v>0</v>
      </c>
      <c r="Y127" t="s">
        <v>142</v>
      </c>
      <c r="Z127">
        <v>3</v>
      </c>
      <c r="AA127" t="s">
        <v>95</v>
      </c>
      <c r="AB127">
        <v>3.6</v>
      </c>
      <c r="AC127" t="s">
        <v>932</v>
      </c>
      <c r="AD127">
        <v>4</v>
      </c>
      <c r="AE127" s="2">
        <v>45727</v>
      </c>
      <c r="AF127">
        <v>1</v>
      </c>
      <c r="AG127">
        <v>6</v>
      </c>
    </row>
    <row r="128" spans="1:33">
      <c r="A128">
        <v>10066</v>
      </c>
      <c r="B128" t="s">
        <v>947</v>
      </c>
      <c r="C128" t="s">
        <v>31</v>
      </c>
      <c r="D128" t="s">
        <v>56</v>
      </c>
      <c r="E128" t="s">
        <v>929</v>
      </c>
      <c r="F128" t="s">
        <v>37</v>
      </c>
      <c r="G128" t="s">
        <v>28</v>
      </c>
      <c r="H128" t="s">
        <v>38</v>
      </c>
      <c r="I128">
        <v>52505</v>
      </c>
      <c r="J128" s="3">
        <v>630060</v>
      </c>
      <c r="K128" s="2">
        <v>28321</v>
      </c>
      <c r="L128" t="s">
        <v>30</v>
      </c>
      <c r="M128" t="s">
        <v>29</v>
      </c>
      <c r="N128">
        <v>2747</v>
      </c>
      <c r="O128" t="s">
        <v>33</v>
      </c>
      <c r="P128" t="s">
        <v>32</v>
      </c>
      <c r="Q128" t="s">
        <v>34</v>
      </c>
      <c r="R128" s="2">
        <v>41176</v>
      </c>
      <c r="S128" s="1" t="s">
        <v>83</v>
      </c>
      <c r="T128">
        <v>1</v>
      </c>
      <c r="U128" t="s">
        <v>75</v>
      </c>
      <c r="V128">
        <v>5</v>
      </c>
      <c r="W128" t="s">
        <v>45</v>
      </c>
      <c r="X128">
        <v>0</v>
      </c>
      <c r="Y128" t="s">
        <v>84</v>
      </c>
      <c r="Z128">
        <v>3</v>
      </c>
      <c r="AA128" t="s">
        <v>49</v>
      </c>
      <c r="AB128">
        <v>5</v>
      </c>
      <c r="AC128" t="s">
        <v>930</v>
      </c>
      <c r="AD128">
        <v>0</v>
      </c>
      <c r="AE128" s="2">
        <v>42796</v>
      </c>
      <c r="AF128">
        <v>0</v>
      </c>
      <c r="AG128">
        <v>1</v>
      </c>
    </row>
    <row r="129" spans="1:33">
      <c r="A129">
        <v>10066</v>
      </c>
      <c r="B129" t="s">
        <v>1288</v>
      </c>
      <c r="C129" t="s">
        <v>42</v>
      </c>
      <c r="D129" t="s">
        <v>31</v>
      </c>
      <c r="E129" t="s">
        <v>929</v>
      </c>
      <c r="F129" t="s">
        <v>271</v>
      </c>
      <c r="G129" t="s">
        <v>62</v>
      </c>
      <c r="H129" t="s">
        <v>363</v>
      </c>
      <c r="I129">
        <v>111169</v>
      </c>
      <c r="J129" s="3">
        <v>1334028</v>
      </c>
      <c r="K129" s="2">
        <v>34302</v>
      </c>
      <c r="L129" t="s">
        <v>51</v>
      </c>
      <c r="M129" t="s">
        <v>29</v>
      </c>
      <c r="N129">
        <v>57603</v>
      </c>
      <c r="O129" t="s">
        <v>33</v>
      </c>
      <c r="P129" t="s">
        <v>32</v>
      </c>
      <c r="Q129" t="s">
        <v>92</v>
      </c>
      <c r="R129" s="2">
        <v>44816</v>
      </c>
      <c r="S129" s="1" t="s">
        <v>362</v>
      </c>
      <c r="T129">
        <v>1</v>
      </c>
      <c r="U129" t="s">
        <v>290</v>
      </c>
      <c r="V129">
        <v>3</v>
      </c>
      <c r="W129" t="s">
        <v>87</v>
      </c>
      <c r="X129">
        <v>0</v>
      </c>
      <c r="Y129" t="s">
        <v>268</v>
      </c>
      <c r="Z129">
        <v>2</v>
      </c>
      <c r="AA129" t="s">
        <v>49</v>
      </c>
      <c r="AB129">
        <v>3.8</v>
      </c>
      <c r="AC129" t="s">
        <v>930</v>
      </c>
      <c r="AD129">
        <v>2</v>
      </c>
      <c r="AE129" s="2">
        <v>45770</v>
      </c>
      <c r="AF129">
        <v>3</v>
      </c>
      <c r="AG129">
        <v>9</v>
      </c>
    </row>
    <row r="130" spans="1:33">
      <c r="A130">
        <v>10067</v>
      </c>
      <c r="B130" t="s">
        <v>974</v>
      </c>
      <c r="C130" t="s">
        <v>31</v>
      </c>
      <c r="D130" t="s">
        <v>31</v>
      </c>
      <c r="E130" t="s">
        <v>934</v>
      </c>
      <c r="F130" t="s">
        <v>37</v>
      </c>
      <c r="G130" t="s">
        <v>28</v>
      </c>
      <c r="H130" t="s">
        <v>38</v>
      </c>
      <c r="I130">
        <v>61656</v>
      </c>
      <c r="J130" s="3">
        <v>739872</v>
      </c>
      <c r="K130" s="2">
        <v>18630</v>
      </c>
      <c r="L130" t="s">
        <v>51</v>
      </c>
      <c r="M130" t="s">
        <v>29</v>
      </c>
      <c r="N130">
        <v>2763</v>
      </c>
      <c r="O130" t="s">
        <v>33</v>
      </c>
      <c r="P130" t="s">
        <v>32</v>
      </c>
      <c r="Q130" t="s">
        <v>34</v>
      </c>
      <c r="R130" s="2">
        <v>41911</v>
      </c>
      <c r="S130" s="1" t="s">
        <v>35</v>
      </c>
      <c r="T130">
        <v>0</v>
      </c>
      <c r="U130" t="s">
        <v>36</v>
      </c>
      <c r="V130">
        <v>1</v>
      </c>
      <c r="W130" t="s">
        <v>36</v>
      </c>
      <c r="X130">
        <v>0</v>
      </c>
      <c r="Y130" t="s">
        <v>60</v>
      </c>
      <c r="Z130">
        <v>3</v>
      </c>
      <c r="AA130" t="s">
        <v>49</v>
      </c>
      <c r="AB130">
        <v>5</v>
      </c>
      <c r="AC130" t="s">
        <v>937</v>
      </c>
      <c r="AD130">
        <v>0</v>
      </c>
      <c r="AE130" s="2">
        <v>43508</v>
      </c>
      <c r="AF130">
        <v>0</v>
      </c>
      <c r="AG130">
        <v>11</v>
      </c>
    </row>
    <row r="131" spans="1:33">
      <c r="A131">
        <v>10067</v>
      </c>
      <c r="B131" t="s">
        <v>1289</v>
      </c>
      <c r="C131" t="s">
        <v>42</v>
      </c>
      <c r="D131" t="s">
        <v>42</v>
      </c>
      <c r="E131" t="s">
        <v>929</v>
      </c>
      <c r="F131" t="s">
        <v>274</v>
      </c>
      <c r="G131" t="s">
        <v>277</v>
      </c>
      <c r="H131" t="s">
        <v>364</v>
      </c>
      <c r="I131">
        <v>84792</v>
      </c>
      <c r="J131" s="3">
        <v>1017504</v>
      </c>
      <c r="K131" s="2">
        <v>32482</v>
      </c>
      <c r="L131" t="s">
        <v>264</v>
      </c>
      <c r="M131" t="s">
        <v>144</v>
      </c>
      <c r="N131">
        <v>85347</v>
      </c>
      <c r="O131" t="s">
        <v>33</v>
      </c>
      <c r="P131" t="s">
        <v>32</v>
      </c>
      <c r="Q131" t="s">
        <v>204</v>
      </c>
      <c r="R131" s="2">
        <v>45029</v>
      </c>
      <c r="S131" s="1" t="s">
        <v>35</v>
      </c>
      <c r="T131">
        <v>1</v>
      </c>
      <c r="U131" t="s">
        <v>290</v>
      </c>
      <c r="V131">
        <v>3</v>
      </c>
      <c r="W131" t="s">
        <v>45</v>
      </c>
      <c r="X131">
        <v>1</v>
      </c>
      <c r="Y131" t="s">
        <v>48</v>
      </c>
      <c r="Z131">
        <v>4</v>
      </c>
      <c r="AA131" t="s">
        <v>49</v>
      </c>
      <c r="AB131">
        <v>3.9</v>
      </c>
      <c r="AC131" t="s">
        <v>962</v>
      </c>
      <c r="AD131">
        <v>0</v>
      </c>
      <c r="AE131" s="2">
        <v>45732</v>
      </c>
      <c r="AF131">
        <v>4</v>
      </c>
      <c r="AG131">
        <v>0</v>
      </c>
    </row>
    <row r="132" spans="1:33">
      <c r="A132">
        <v>10068</v>
      </c>
      <c r="B132" t="s">
        <v>1107</v>
      </c>
      <c r="C132" t="s">
        <v>31</v>
      </c>
      <c r="D132" t="s">
        <v>31</v>
      </c>
      <c r="E132" t="s">
        <v>934</v>
      </c>
      <c r="F132" t="s">
        <v>37</v>
      </c>
      <c r="G132" t="s">
        <v>28</v>
      </c>
      <c r="H132" t="s">
        <v>38</v>
      </c>
      <c r="I132">
        <v>55688</v>
      </c>
      <c r="J132" s="3">
        <v>668256</v>
      </c>
      <c r="K132" s="2">
        <v>28025</v>
      </c>
      <c r="L132" t="s">
        <v>51</v>
      </c>
      <c r="M132" t="s">
        <v>29</v>
      </c>
      <c r="N132">
        <v>2346</v>
      </c>
      <c r="O132" t="s">
        <v>33</v>
      </c>
      <c r="P132" t="s">
        <v>32</v>
      </c>
      <c r="Q132" t="s">
        <v>34</v>
      </c>
      <c r="R132" s="2">
        <v>42093</v>
      </c>
      <c r="S132" s="1" t="s">
        <v>35</v>
      </c>
      <c r="T132">
        <v>0</v>
      </c>
      <c r="U132" t="s">
        <v>36</v>
      </c>
      <c r="V132">
        <v>1</v>
      </c>
      <c r="W132" t="s">
        <v>36</v>
      </c>
      <c r="X132">
        <v>0</v>
      </c>
      <c r="Y132" t="s">
        <v>94</v>
      </c>
      <c r="Z132">
        <v>3</v>
      </c>
      <c r="AA132" t="s">
        <v>49</v>
      </c>
      <c r="AB132">
        <v>5</v>
      </c>
      <c r="AC132" t="s">
        <v>937</v>
      </c>
      <c r="AD132">
        <v>0</v>
      </c>
      <c r="AE132" s="2">
        <v>43486</v>
      </c>
      <c r="AF132">
        <v>0</v>
      </c>
      <c r="AG132">
        <v>10</v>
      </c>
    </row>
    <row r="133" spans="1:33">
      <c r="A133">
        <v>10068</v>
      </c>
      <c r="B133" t="s">
        <v>1290</v>
      </c>
      <c r="C133" t="s">
        <v>31</v>
      </c>
      <c r="D133" t="s">
        <v>56</v>
      </c>
      <c r="E133" t="s">
        <v>934</v>
      </c>
      <c r="F133" t="s">
        <v>283</v>
      </c>
      <c r="G133" t="s">
        <v>62</v>
      </c>
      <c r="H133" t="s">
        <v>365</v>
      </c>
      <c r="I133">
        <v>78176</v>
      </c>
      <c r="J133" s="3">
        <v>938112</v>
      </c>
      <c r="K133" s="2">
        <v>26149</v>
      </c>
      <c r="L133" t="s">
        <v>51</v>
      </c>
      <c r="M133" t="s">
        <v>29</v>
      </c>
      <c r="N133">
        <v>53561</v>
      </c>
      <c r="O133" t="s">
        <v>73</v>
      </c>
      <c r="P133" t="s">
        <v>124</v>
      </c>
      <c r="Q133" t="s">
        <v>92</v>
      </c>
      <c r="R133" s="2">
        <v>43757</v>
      </c>
      <c r="S133" s="1" t="s">
        <v>35</v>
      </c>
      <c r="T133">
        <v>1</v>
      </c>
      <c r="U133" t="s">
        <v>273</v>
      </c>
      <c r="V133">
        <v>3</v>
      </c>
      <c r="W133" t="s">
        <v>45</v>
      </c>
      <c r="X133">
        <v>1</v>
      </c>
      <c r="Y133" t="s">
        <v>48</v>
      </c>
      <c r="Z133">
        <v>4</v>
      </c>
      <c r="AA133" t="s">
        <v>49</v>
      </c>
      <c r="AB133">
        <v>4.7</v>
      </c>
      <c r="AC133" t="s">
        <v>930</v>
      </c>
      <c r="AD133">
        <v>4</v>
      </c>
      <c r="AE133" s="2">
        <v>45956</v>
      </c>
      <c r="AF133">
        <v>3</v>
      </c>
      <c r="AG133">
        <v>4</v>
      </c>
    </row>
    <row r="134" spans="1:33">
      <c r="A134">
        <v>10069</v>
      </c>
      <c r="B134" t="s">
        <v>936</v>
      </c>
      <c r="C134" t="s">
        <v>31</v>
      </c>
      <c r="D134" t="s">
        <v>56</v>
      </c>
      <c r="E134" t="s">
        <v>934</v>
      </c>
      <c r="F134" t="s">
        <v>37</v>
      </c>
      <c r="G134" t="s">
        <v>28</v>
      </c>
      <c r="H134" t="s">
        <v>59</v>
      </c>
      <c r="I134">
        <v>50825</v>
      </c>
      <c r="J134" s="3">
        <v>609900</v>
      </c>
      <c r="K134" s="2">
        <v>32759</v>
      </c>
      <c r="L134" t="s">
        <v>51</v>
      </c>
      <c r="M134" t="s">
        <v>29</v>
      </c>
      <c r="N134">
        <v>2169</v>
      </c>
      <c r="O134" t="s">
        <v>33</v>
      </c>
      <c r="P134" t="s">
        <v>32</v>
      </c>
      <c r="Q134" t="s">
        <v>34</v>
      </c>
      <c r="R134" s="2">
        <v>40735</v>
      </c>
      <c r="S134" s="1" t="s">
        <v>57</v>
      </c>
      <c r="T134">
        <v>1</v>
      </c>
      <c r="U134" t="s">
        <v>58</v>
      </c>
      <c r="V134">
        <v>5</v>
      </c>
      <c r="W134" t="s">
        <v>45</v>
      </c>
      <c r="X134">
        <v>0</v>
      </c>
      <c r="Y134" t="s">
        <v>60</v>
      </c>
      <c r="Z134">
        <v>3</v>
      </c>
      <c r="AA134" t="s">
        <v>49</v>
      </c>
      <c r="AB134">
        <v>5</v>
      </c>
      <c r="AC134" t="s">
        <v>937</v>
      </c>
      <c r="AD134">
        <v>0</v>
      </c>
      <c r="AE134" s="2">
        <v>42401</v>
      </c>
      <c r="AF134">
        <v>0</v>
      </c>
      <c r="AG134">
        <v>2</v>
      </c>
    </row>
    <row r="135" spans="1:33">
      <c r="A135">
        <v>10069</v>
      </c>
      <c r="B135" t="s">
        <v>1291</v>
      </c>
      <c r="C135" t="s">
        <v>31</v>
      </c>
      <c r="D135" t="s">
        <v>42</v>
      </c>
      <c r="E135" t="s">
        <v>929</v>
      </c>
      <c r="F135" t="s">
        <v>271</v>
      </c>
      <c r="G135" t="s">
        <v>62</v>
      </c>
      <c r="H135" t="s">
        <v>366</v>
      </c>
      <c r="I135">
        <v>111685</v>
      </c>
      <c r="J135" s="3">
        <v>1340220</v>
      </c>
      <c r="K135" s="2">
        <v>31050</v>
      </c>
      <c r="L135" t="s">
        <v>51</v>
      </c>
      <c r="M135" t="s">
        <v>29</v>
      </c>
      <c r="N135">
        <v>85388</v>
      </c>
      <c r="O135" t="s">
        <v>33</v>
      </c>
      <c r="P135" t="s">
        <v>32</v>
      </c>
      <c r="Q135" t="s">
        <v>270</v>
      </c>
      <c r="R135" s="2">
        <v>45136</v>
      </c>
      <c r="S135" s="1" t="s">
        <v>35</v>
      </c>
      <c r="T135">
        <v>0</v>
      </c>
      <c r="U135" t="s">
        <v>36</v>
      </c>
      <c r="V135">
        <v>3</v>
      </c>
      <c r="W135" t="s">
        <v>36</v>
      </c>
      <c r="X135">
        <v>1</v>
      </c>
      <c r="Y135" t="s">
        <v>39</v>
      </c>
      <c r="Z135">
        <v>4</v>
      </c>
      <c r="AA135" t="s">
        <v>136</v>
      </c>
      <c r="AB135">
        <v>2.8</v>
      </c>
      <c r="AC135" t="s">
        <v>962</v>
      </c>
      <c r="AD135">
        <v>5</v>
      </c>
      <c r="AE135" s="2">
        <v>45639</v>
      </c>
      <c r="AF135">
        <v>2</v>
      </c>
      <c r="AG135">
        <v>4</v>
      </c>
    </row>
    <row r="136" spans="1:33">
      <c r="A136">
        <v>10070</v>
      </c>
      <c r="B136" t="s">
        <v>995</v>
      </c>
      <c r="C136" t="s">
        <v>42</v>
      </c>
      <c r="D136" t="s">
        <v>42</v>
      </c>
      <c r="E136" t="s">
        <v>929</v>
      </c>
      <c r="F136" t="s">
        <v>37</v>
      </c>
      <c r="G136" t="s">
        <v>28</v>
      </c>
      <c r="H136" t="s">
        <v>59</v>
      </c>
      <c r="I136">
        <v>55722</v>
      </c>
      <c r="J136" s="3">
        <v>668664</v>
      </c>
      <c r="K136" s="2">
        <v>28429</v>
      </c>
      <c r="L136" t="s">
        <v>30</v>
      </c>
      <c r="M136" t="s">
        <v>29</v>
      </c>
      <c r="N136">
        <v>1810</v>
      </c>
      <c r="O136" t="s">
        <v>33</v>
      </c>
      <c r="P136" t="s">
        <v>32</v>
      </c>
      <c r="Q136" t="s">
        <v>34</v>
      </c>
      <c r="R136" s="2">
        <v>40679</v>
      </c>
      <c r="S136" s="1" t="s">
        <v>134</v>
      </c>
      <c r="T136">
        <v>1</v>
      </c>
      <c r="U136" t="s">
        <v>78</v>
      </c>
      <c r="V136">
        <v>5</v>
      </c>
      <c r="W136" t="s">
        <v>45</v>
      </c>
      <c r="X136">
        <v>0</v>
      </c>
      <c r="Y136" t="s">
        <v>48</v>
      </c>
      <c r="Z136">
        <v>3</v>
      </c>
      <c r="AA136" t="s">
        <v>49</v>
      </c>
      <c r="AB136">
        <v>5</v>
      </c>
      <c r="AC136" t="s">
        <v>937</v>
      </c>
      <c r="AD136">
        <v>0</v>
      </c>
      <c r="AE136" s="2">
        <v>42462</v>
      </c>
      <c r="AF136">
        <v>0</v>
      </c>
      <c r="AG136">
        <v>14</v>
      </c>
    </row>
    <row r="137" spans="1:33">
      <c r="A137">
        <v>10070</v>
      </c>
      <c r="B137" t="s">
        <v>1292</v>
      </c>
      <c r="C137" t="s">
        <v>31</v>
      </c>
      <c r="D137" t="s">
        <v>56</v>
      </c>
      <c r="E137" t="s">
        <v>934</v>
      </c>
      <c r="F137" t="s">
        <v>271</v>
      </c>
      <c r="G137" t="s">
        <v>28</v>
      </c>
      <c r="H137" t="s">
        <v>367</v>
      </c>
      <c r="I137">
        <v>94679</v>
      </c>
      <c r="J137" s="3">
        <v>1136148</v>
      </c>
      <c r="K137" s="2">
        <v>37904</v>
      </c>
      <c r="L137" t="s">
        <v>264</v>
      </c>
      <c r="M137" t="s">
        <v>144</v>
      </c>
      <c r="N137">
        <v>1439</v>
      </c>
      <c r="O137" t="s">
        <v>73</v>
      </c>
      <c r="P137" t="s">
        <v>32</v>
      </c>
      <c r="Q137" t="s">
        <v>270</v>
      </c>
      <c r="R137" s="2">
        <v>45958</v>
      </c>
      <c r="S137" s="1" t="s">
        <v>35</v>
      </c>
      <c r="T137">
        <v>1</v>
      </c>
      <c r="U137" t="s">
        <v>298</v>
      </c>
      <c r="V137">
        <v>3</v>
      </c>
      <c r="W137" t="s">
        <v>45</v>
      </c>
      <c r="X137">
        <v>0</v>
      </c>
      <c r="Y137" t="s">
        <v>142</v>
      </c>
      <c r="Z137">
        <v>3</v>
      </c>
      <c r="AA137" t="s">
        <v>136</v>
      </c>
      <c r="AB137">
        <v>4.9000000000000004</v>
      </c>
      <c r="AC137" t="s">
        <v>962</v>
      </c>
      <c r="AD137">
        <v>5</v>
      </c>
      <c r="AE137" s="2">
        <v>45739</v>
      </c>
      <c r="AF137">
        <v>4</v>
      </c>
      <c r="AG137">
        <v>5</v>
      </c>
    </row>
    <row r="138" spans="1:33">
      <c r="A138">
        <v>10071</v>
      </c>
      <c r="B138" t="s">
        <v>1293</v>
      </c>
      <c r="C138" t="s">
        <v>31</v>
      </c>
      <c r="D138" t="s">
        <v>56</v>
      </c>
      <c r="E138" t="s">
        <v>934</v>
      </c>
      <c r="F138" t="s">
        <v>288</v>
      </c>
      <c r="G138" t="s">
        <v>62</v>
      </c>
      <c r="H138" t="s">
        <v>368</v>
      </c>
      <c r="I138">
        <v>62417</v>
      </c>
      <c r="J138" s="3">
        <v>749004</v>
      </c>
      <c r="K138" s="2">
        <v>36638</v>
      </c>
      <c r="L138" t="s">
        <v>51</v>
      </c>
      <c r="M138" t="s">
        <v>80</v>
      </c>
      <c r="N138">
        <v>44083</v>
      </c>
      <c r="O138" t="s">
        <v>73</v>
      </c>
      <c r="P138" t="s">
        <v>32</v>
      </c>
      <c r="Q138" t="s">
        <v>270</v>
      </c>
      <c r="R138" s="2">
        <v>44770</v>
      </c>
      <c r="S138" s="1" t="s">
        <v>35</v>
      </c>
      <c r="T138">
        <v>0</v>
      </c>
      <c r="U138" t="s">
        <v>36</v>
      </c>
      <c r="V138">
        <v>2</v>
      </c>
      <c r="W138" t="s">
        <v>36</v>
      </c>
      <c r="X138">
        <v>0</v>
      </c>
      <c r="Y138" t="s">
        <v>48</v>
      </c>
      <c r="Z138">
        <v>1</v>
      </c>
      <c r="AA138" t="s">
        <v>276</v>
      </c>
      <c r="AB138">
        <v>3.2</v>
      </c>
      <c r="AC138" t="s">
        <v>932</v>
      </c>
      <c r="AD138">
        <v>2</v>
      </c>
      <c r="AE138" s="2">
        <v>45833</v>
      </c>
      <c r="AF138">
        <v>5</v>
      </c>
      <c r="AG138">
        <v>8</v>
      </c>
    </row>
    <row r="139" spans="1:33">
      <c r="A139">
        <v>10072</v>
      </c>
      <c r="B139" t="s">
        <v>1213</v>
      </c>
      <c r="C139" t="s">
        <v>31</v>
      </c>
      <c r="D139" t="s">
        <v>31</v>
      </c>
      <c r="E139" t="s">
        <v>929</v>
      </c>
      <c r="F139" t="s">
        <v>37</v>
      </c>
      <c r="G139" t="s">
        <v>28</v>
      </c>
      <c r="H139" t="s">
        <v>59</v>
      </c>
      <c r="I139">
        <v>58371</v>
      </c>
      <c r="J139" s="3">
        <v>700452</v>
      </c>
      <c r="K139" s="2">
        <v>31921</v>
      </c>
      <c r="L139" t="s">
        <v>30</v>
      </c>
      <c r="M139" t="s">
        <v>29</v>
      </c>
      <c r="N139">
        <v>2030</v>
      </c>
      <c r="O139" t="s">
        <v>73</v>
      </c>
      <c r="P139" t="s">
        <v>32</v>
      </c>
      <c r="Q139" t="s">
        <v>34</v>
      </c>
      <c r="R139" s="2">
        <v>40553</v>
      </c>
      <c r="S139" s="1" t="s">
        <v>259</v>
      </c>
      <c r="T139">
        <v>1</v>
      </c>
      <c r="U139" t="s">
        <v>53</v>
      </c>
      <c r="V139">
        <v>5</v>
      </c>
      <c r="W139" t="s">
        <v>45</v>
      </c>
      <c r="X139">
        <v>0</v>
      </c>
      <c r="Y139" t="s">
        <v>39</v>
      </c>
      <c r="Z139">
        <v>3</v>
      </c>
      <c r="AA139" t="s">
        <v>49</v>
      </c>
      <c r="AB139">
        <v>5</v>
      </c>
      <c r="AC139" t="s">
        <v>930</v>
      </c>
      <c r="AD139">
        <v>0</v>
      </c>
      <c r="AE139" s="2">
        <v>41774</v>
      </c>
      <c r="AF139">
        <v>0</v>
      </c>
      <c r="AG139">
        <v>11</v>
      </c>
    </row>
    <row r="140" spans="1:33">
      <c r="A140">
        <v>10072</v>
      </c>
      <c r="B140" t="s">
        <v>1294</v>
      </c>
      <c r="C140" t="s">
        <v>42</v>
      </c>
      <c r="D140" t="s">
        <v>42</v>
      </c>
      <c r="E140" t="s">
        <v>929</v>
      </c>
      <c r="F140" t="s">
        <v>113</v>
      </c>
      <c r="G140" t="s">
        <v>28</v>
      </c>
      <c r="H140" t="s">
        <v>370</v>
      </c>
      <c r="I140">
        <v>47818</v>
      </c>
      <c r="J140" s="3">
        <v>573816</v>
      </c>
      <c r="K140" s="2">
        <v>32263</v>
      </c>
      <c r="L140" t="s">
        <v>51</v>
      </c>
      <c r="M140" t="s">
        <v>80</v>
      </c>
      <c r="N140">
        <v>15996</v>
      </c>
      <c r="O140" t="s">
        <v>73</v>
      </c>
      <c r="P140" t="s">
        <v>124</v>
      </c>
      <c r="Q140" t="s">
        <v>204</v>
      </c>
      <c r="R140" s="2">
        <v>42395</v>
      </c>
      <c r="S140" s="1" t="s">
        <v>369</v>
      </c>
      <c r="T140">
        <v>0</v>
      </c>
      <c r="U140" t="s">
        <v>36</v>
      </c>
      <c r="V140">
        <v>1</v>
      </c>
      <c r="W140" t="s">
        <v>45</v>
      </c>
      <c r="X140">
        <v>1</v>
      </c>
      <c r="Y140" t="s">
        <v>39</v>
      </c>
      <c r="Z140">
        <v>4</v>
      </c>
      <c r="AA140" t="s">
        <v>95</v>
      </c>
      <c r="AB140">
        <v>4</v>
      </c>
      <c r="AC140" t="s">
        <v>932</v>
      </c>
      <c r="AD140">
        <v>1</v>
      </c>
      <c r="AE140" s="2">
        <v>45967</v>
      </c>
      <c r="AF140">
        <v>0</v>
      </c>
      <c r="AG140">
        <v>6</v>
      </c>
    </row>
    <row r="141" spans="1:33">
      <c r="A141">
        <v>10073</v>
      </c>
      <c r="B141" t="s">
        <v>1100</v>
      </c>
      <c r="C141" t="s">
        <v>42</v>
      </c>
      <c r="D141" t="s">
        <v>42</v>
      </c>
      <c r="E141" t="s">
        <v>934</v>
      </c>
      <c r="F141" t="s">
        <v>37</v>
      </c>
      <c r="G141" t="s">
        <v>50</v>
      </c>
      <c r="H141" t="s">
        <v>61</v>
      </c>
      <c r="I141">
        <v>68407</v>
      </c>
      <c r="J141" s="3">
        <v>820884</v>
      </c>
      <c r="K141" s="2">
        <v>31756</v>
      </c>
      <c r="L141" t="s">
        <v>51</v>
      </c>
      <c r="M141" t="s">
        <v>29</v>
      </c>
      <c r="N141">
        <v>2176</v>
      </c>
      <c r="O141" t="s">
        <v>33</v>
      </c>
      <c r="P141" t="s">
        <v>32</v>
      </c>
      <c r="Q141" t="s">
        <v>81</v>
      </c>
      <c r="R141" s="2">
        <v>40729</v>
      </c>
      <c r="S141" s="1" t="s">
        <v>201</v>
      </c>
      <c r="T141">
        <v>1</v>
      </c>
      <c r="U141" t="s">
        <v>75</v>
      </c>
      <c r="V141">
        <v>5</v>
      </c>
      <c r="W141" t="s">
        <v>45</v>
      </c>
      <c r="X141">
        <v>0</v>
      </c>
      <c r="Y141" t="s">
        <v>39</v>
      </c>
      <c r="Z141">
        <v>3</v>
      </c>
      <c r="AA141" t="s">
        <v>49</v>
      </c>
      <c r="AB141">
        <v>5</v>
      </c>
      <c r="AC141" t="s">
        <v>937</v>
      </c>
      <c r="AD141">
        <v>0</v>
      </c>
      <c r="AE141" s="2">
        <v>41092</v>
      </c>
      <c r="AF141">
        <v>0</v>
      </c>
      <c r="AG141">
        <v>16</v>
      </c>
    </row>
    <row r="142" spans="1:33">
      <c r="A142">
        <v>10073</v>
      </c>
      <c r="B142" t="s">
        <v>1295</v>
      </c>
      <c r="C142" t="s">
        <v>31</v>
      </c>
      <c r="D142" t="s">
        <v>31</v>
      </c>
      <c r="E142" t="s">
        <v>934</v>
      </c>
      <c r="F142" t="s">
        <v>283</v>
      </c>
      <c r="G142" t="s">
        <v>28</v>
      </c>
      <c r="H142" t="s">
        <v>371</v>
      </c>
      <c r="I142">
        <v>91567</v>
      </c>
      <c r="J142" s="3">
        <v>1098804</v>
      </c>
      <c r="K142" s="2">
        <v>32324</v>
      </c>
      <c r="L142" t="s">
        <v>264</v>
      </c>
      <c r="M142" t="s">
        <v>144</v>
      </c>
      <c r="N142">
        <v>82464</v>
      </c>
      <c r="O142" t="s">
        <v>73</v>
      </c>
      <c r="P142" t="s">
        <v>32</v>
      </c>
      <c r="Q142" t="s">
        <v>34</v>
      </c>
      <c r="R142" s="2">
        <v>44127</v>
      </c>
      <c r="S142" s="1" t="s">
        <v>35</v>
      </c>
      <c r="T142">
        <v>0</v>
      </c>
      <c r="U142" t="s">
        <v>36</v>
      </c>
      <c r="V142">
        <v>1</v>
      </c>
      <c r="W142" t="s">
        <v>87</v>
      </c>
      <c r="X142">
        <v>0</v>
      </c>
      <c r="Y142" t="s">
        <v>142</v>
      </c>
      <c r="Z142">
        <v>3</v>
      </c>
      <c r="AA142" t="s">
        <v>49</v>
      </c>
      <c r="AB142">
        <v>3.8</v>
      </c>
      <c r="AC142" t="s">
        <v>1003</v>
      </c>
      <c r="AD142">
        <v>4</v>
      </c>
      <c r="AE142" s="2">
        <v>45756</v>
      </c>
      <c r="AF142">
        <v>1</v>
      </c>
      <c r="AG142">
        <v>2</v>
      </c>
    </row>
    <row r="143" spans="1:33">
      <c r="A143">
        <v>10074</v>
      </c>
      <c r="B143" t="s">
        <v>1050</v>
      </c>
      <c r="C143" t="s">
        <v>31</v>
      </c>
      <c r="D143" t="s">
        <v>31</v>
      </c>
      <c r="E143" t="s">
        <v>929</v>
      </c>
      <c r="F143" t="s">
        <v>37</v>
      </c>
      <c r="G143" t="s">
        <v>50</v>
      </c>
      <c r="H143" t="s">
        <v>82</v>
      </c>
      <c r="I143">
        <v>64246</v>
      </c>
      <c r="J143" s="3">
        <v>770952</v>
      </c>
      <c r="K143" s="2">
        <v>32365</v>
      </c>
      <c r="L143" t="s">
        <v>30</v>
      </c>
      <c r="M143" t="s">
        <v>29</v>
      </c>
      <c r="N143">
        <v>2155</v>
      </c>
      <c r="O143" t="s">
        <v>73</v>
      </c>
      <c r="P143" t="s">
        <v>32</v>
      </c>
      <c r="Q143" t="s">
        <v>34</v>
      </c>
      <c r="R143" s="2">
        <v>41589</v>
      </c>
      <c r="S143" s="1" t="s">
        <v>35</v>
      </c>
      <c r="T143">
        <v>0</v>
      </c>
      <c r="U143" t="s">
        <v>36</v>
      </c>
      <c r="V143">
        <v>1</v>
      </c>
      <c r="W143" t="s">
        <v>36</v>
      </c>
      <c r="X143">
        <v>0</v>
      </c>
      <c r="Y143" t="s">
        <v>39</v>
      </c>
      <c r="Z143">
        <v>3</v>
      </c>
      <c r="AA143" t="s">
        <v>49</v>
      </c>
      <c r="AB143">
        <v>5</v>
      </c>
      <c r="AC143" t="s">
        <v>932</v>
      </c>
      <c r="AD143">
        <v>0</v>
      </c>
      <c r="AE143" s="2">
        <v>43473</v>
      </c>
      <c r="AF143">
        <v>0</v>
      </c>
      <c r="AG143">
        <v>20</v>
      </c>
    </row>
    <row r="144" spans="1:33">
      <c r="A144">
        <v>10074</v>
      </c>
      <c r="B144" t="s">
        <v>1296</v>
      </c>
      <c r="C144" t="s">
        <v>31</v>
      </c>
      <c r="D144" t="s">
        <v>42</v>
      </c>
      <c r="E144" t="s">
        <v>934</v>
      </c>
      <c r="F144" t="s">
        <v>288</v>
      </c>
      <c r="G144" t="s">
        <v>62</v>
      </c>
      <c r="H144" t="s">
        <v>372</v>
      </c>
      <c r="I144">
        <v>36559</v>
      </c>
      <c r="J144" s="3">
        <v>438708</v>
      </c>
      <c r="K144" s="2">
        <v>25310</v>
      </c>
      <c r="L144" t="s">
        <v>264</v>
      </c>
      <c r="M144" t="s">
        <v>210</v>
      </c>
      <c r="N144">
        <v>12538</v>
      </c>
      <c r="O144" t="s">
        <v>73</v>
      </c>
      <c r="P144" t="s">
        <v>124</v>
      </c>
      <c r="Q144" t="s">
        <v>270</v>
      </c>
      <c r="R144" s="2">
        <v>43213</v>
      </c>
      <c r="S144" s="1" t="s">
        <v>35</v>
      </c>
      <c r="T144">
        <v>1</v>
      </c>
      <c r="U144" t="s">
        <v>298</v>
      </c>
      <c r="V144">
        <v>2</v>
      </c>
      <c r="W144" t="s">
        <v>87</v>
      </c>
      <c r="X144">
        <v>1</v>
      </c>
      <c r="Y144" t="s">
        <v>142</v>
      </c>
      <c r="Z144">
        <v>3</v>
      </c>
      <c r="AA144" t="s">
        <v>276</v>
      </c>
      <c r="AB144">
        <v>3.4</v>
      </c>
      <c r="AC144" t="s">
        <v>932</v>
      </c>
      <c r="AD144">
        <v>2</v>
      </c>
      <c r="AE144" s="2">
        <v>45712</v>
      </c>
      <c r="AF144">
        <v>5</v>
      </c>
      <c r="AG144">
        <v>8</v>
      </c>
    </row>
    <row r="145" spans="1:33">
      <c r="A145">
        <v>10075</v>
      </c>
      <c r="B145" t="s">
        <v>1054</v>
      </c>
      <c r="C145" t="s">
        <v>31</v>
      </c>
      <c r="D145" t="s">
        <v>31</v>
      </c>
      <c r="E145" t="s">
        <v>934</v>
      </c>
      <c r="F145" t="s">
        <v>37</v>
      </c>
      <c r="G145" t="s">
        <v>50</v>
      </c>
      <c r="H145" t="s">
        <v>82</v>
      </c>
      <c r="I145">
        <v>68099</v>
      </c>
      <c r="J145" s="3">
        <v>817188</v>
      </c>
      <c r="K145" s="2">
        <v>26538</v>
      </c>
      <c r="L145" t="s">
        <v>51</v>
      </c>
      <c r="M145" t="s">
        <v>29</v>
      </c>
      <c r="N145">
        <v>2021</v>
      </c>
      <c r="O145" t="s">
        <v>33</v>
      </c>
      <c r="P145" t="s">
        <v>32</v>
      </c>
      <c r="Q145" t="s">
        <v>34</v>
      </c>
      <c r="R145" s="2">
        <v>40553</v>
      </c>
      <c r="S145" s="1" t="s">
        <v>173</v>
      </c>
      <c r="T145">
        <v>1</v>
      </c>
      <c r="U145" t="s">
        <v>53</v>
      </c>
      <c r="V145">
        <v>5</v>
      </c>
      <c r="W145" t="s">
        <v>45</v>
      </c>
      <c r="X145">
        <v>0</v>
      </c>
      <c r="Y145" t="s">
        <v>94</v>
      </c>
      <c r="Z145">
        <v>3</v>
      </c>
      <c r="AA145" t="s">
        <v>49</v>
      </c>
      <c r="AB145">
        <v>5</v>
      </c>
      <c r="AC145" t="s">
        <v>932</v>
      </c>
      <c r="AD145">
        <v>0</v>
      </c>
      <c r="AE145" s="2">
        <v>41304</v>
      </c>
      <c r="AF145">
        <v>0</v>
      </c>
      <c r="AG145">
        <v>15</v>
      </c>
    </row>
    <row r="146" spans="1:33">
      <c r="A146">
        <v>10075</v>
      </c>
      <c r="B146" t="s">
        <v>1297</v>
      </c>
      <c r="C146" t="s">
        <v>42</v>
      </c>
      <c r="D146" t="s">
        <v>56</v>
      </c>
      <c r="E146" t="s">
        <v>929</v>
      </c>
      <c r="F146" t="s">
        <v>288</v>
      </c>
      <c r="G146" t="s">
        <v>62</v>
      </c>
      <c r="H146" t="s">
        <v>373</v>
      </c>
      <c r="I146">
        <v>75993</v>
      </c>
      <c r="J146" s="3">
        <v>911916</v>
      </c>
      <c r="K146" s="2">
        <v>25301</v>
      </c>
      <c r="L146" t="s">
        <v>51</v>
      </c>
      <c r="M146" t="s">
        <v>210</v>
      </c>
      <c r="N146">
        <v>16466</v>
      </c>
      <c r="O146" t="s">
        <v>73</v>
      </c>
      <c r="P146" t="s">
        <v>32</v>
      </c>
      <c r="Q146" t="s">
        <v>270</v>
      </c>
      <c r="R146" s="2">
        <v>42419</v>
      </c>
      <c r="S146" s="1" t="s">
        <v>35</v>
      </c>
      <c r="T146">
        <v>0</v>
      </c>
      <c r="U146" t="s">
        <v>36</v>
      </c>
      <c r="V146">
        <v>2</v>
      </c>
      <c r="W146" t="s">
        <v>36</v>
      </c>
      <c r="X146">
        <v>0</v>
      </c>
      <c r="Y146" t="s">
        <v>48</v>
      </c>
      <c r="Z146">
        <v>4</v>
      </c>
      <c r="AA146" t="s">
        <v>276</v>
      </c>
      <c r="AB146">
        <v>4.2</v>
      </c>
      <c r="AC146" t="s">
        <v>937</v>
      </c>
      <c r="AD146">
        <v>0</v>
      </c>
      <c r="AE146" s="2">
        <v>45794</v>
      </c>
      <c r="AF146">
        <v>5</v>
      </c>
      <c r="AG146">
        <v>6</v>
      </c>
    </row>
    <row r="147" spans="1:33">
      <c r="A147">
        <v>10076</v>
      </c>
      <c r="B147" t="s">
        <v>1103</v>
      </c>
      <c r="C147" t="s">
        <v>31</v>
      </c>
      <c r="D147" t="s">
        <v>31</v>
      </c>
      <c r="E147" t="s">
        <v>934</v>
      </c>
      <c r="F147" t="s">
        <v>37</v>
      </c>
      <c r="G147" t="s">
        <v>50</v>
      </c>
      <c r="H147" t="s">
        <v>66</v>
      </c>
      <c r="I147">
        <v>55315</v>
      </c>
      <c r="J147" s="3">
        <v>663780</v>
      </c>
      <c r="K147" s="2">
        <v>31918</v>
      </c>
      <c r="L147" t="s">
        <v>51</v>
      </c>
      <c r="M147" t="s">
        <v>29</v>
      </c>
      <c r="N147">
        <v>2149</v>
      </c>
      <c r="O147" t="s">
        <v>33</v>
      </c>
      <c r="P147" t="s">
        <v>32</v>
      </c>
      <c r="Q147" t="s">
        <v>68</v>
      </c>
      <c r="R147" s="2">
        <v>42093</v>
      </c>
      <c r="S147" s="1" t="s">
        <v>35</v>
      </c>
      <c r="T147">
        <v>0</v>
      </c>
      <c r="U147" t="s">
        <v>36</v>
      </c>
      <c r="V147">
        <v>1</v>
      </c>
      <c r="W147" t="s">
        <v>36</v>
      </c>
      <c r="X147">
        <v>0</v>
      </c>
      <c r="Y147" t="s">
        <v>39</v>
      </c>
      <c r="Z147">
        <v>3</v>
      </c>
      <c r="AA147" t="s">
        <v>49</v>
      </c>
      <c r="AB147">
        <v>5</v>
      </c>
      <c r="AC147" t="s">
        <v>930</v>
      </c>
      <c r="AD147">
        <v>0</v>
      </c>
      <c r="AE147" s="2">
        <v>43503</v>
      </c>
      <c r="AF147">
        <v>0</v>
      </c>
      <c r="AG147">
        <v>16</v>
      </c>
    </row>
    <row r="148" spans="1:33">
      <c r="A148">
        <v>10076</v>
      </c>
      <c r="B148" t="s">
        <v>1298</v>
      </c>
      <c r="C148" t="s">
        <v>42</v>
      </c>
      <c r="D148" t="s">
        <v>31</v>
      </c>
      <c r="E148" t="s">
        <v>929</v>
      </c>
      <c r="F148" t="s">
        <v>288</v>
      </c>
      <c r="G148" t="s">
        <v>294</v>
      </c>
      <c r="H148" t="s">
        <v>374</v>
      </c>
      <c r="I148">
        <v>68909</v>
      </c>
      <c r="J148" s="3">
        <v>826908</v>
      </c>
      <c r="K148" s="2">
        <v>33360</v>
      </c>
      <c r="L148" t="s">
        <v>51</v>
      </c>
      <c r="M148" t="s">
        <v>191</v>
      </c>
      <c r="N148">
        <v>93989</v>
      </c>
      <c r="O148" t="s">
        <v>33</v>
      </c>
      <c r="P148" t="s">
        <v>124</v>
      </c>
      <c r="Q148" t="s">
        <v>34</v>
      </c>
      <c r="R148" s="2">
        <v>42705</v>
      </c>
      <c r="S148" s="1" t="s">
        <v>35</v>
      </c>
      <c r="T148">
        <v>1</v>
      </c>
      <c r="U148" t="s">
        <v>298</v>
      </c>
      <c r="V148">
        <v>3</v>
      </c>
      <c r="W148" t="s">
        <v>45</v>
      </c>
      <c r="X148">
        <v>1</v>
      </c>
      <c r="Y148" t="s">
        <v>39</v>
      </c>
      <c r="Z148">
        <v>2</v>
      </c>
      <c r="AA148" t="s">
        <v>49</v>
      </c>
      <c r="AB148">
        <v>3.8</v>
      </c>
      <c r="AC148" t="s">
        <v>1003</v>
      </c>
      <c r="AD148">
        <v>1</v>
      </c>
      <c r="AE148" s="2">
        <v>45424</v>
      </c>
      <c r="AF148">
        <v>4</v>
      </c>
      <c r="AG148">
        <v>9</v>
      </c>
    </row>
    <row r="149" spans="1:33">
      <c r="A149">
        <v>10077</v>
      </c>
      <c r="B149" t="s">
        <v>1299</v>
      </c>
      <c r="C149" t="s">
        <v>31</v>
      </c>
      <c r="D149" t="s">
        <v>31</v>
      </c>
      <c r="E149" t="s">
        <v>929</v>
      </c>
      <c r="F149" t="s">
        <v>278</v>
      </c>
      <c r="G149" t="s">
        <v>28</v>
      </c>
      <c r="H149" t="s">
        <v>375</v>
      </c>
      <c r="I149">
        <v>63610</v>
      </c>
      <c r="J149" s="3">
        <v>763320</v>
      </c>
      <c r="K149" s="2">
        <v>35582</v>
      </c>
      <c r="L149" t="s">
        <v>264</v>
      </c>
      <c r="M149" t="s">
        <v>80</v>
      </c>
      <c r="N149">
        <v>32084</v>
      </c>
      <c r="O149" t="s">
        <v>33</v>
      </c>
      <c r="P149" t="s">
        <v>32</v>
      </c>
      <c r="Q149" t="s">
        <v>160</v>
      </c>
      <c r="R149" s="2">
        <v>43255</v>
      </c>
      <c r="S149" s="1" t="s">
        <v>35</v>
      </c>
      <c r="T149">
        <v>1</v>
      </c>
      <c r="U149" t="s">
        <v>290</v>
      </c>
      <c r="V149">
        <v>1</v>
      </c>
      <c r="W149" t="s">
        <v>36</v>
      </c>
      <c r="X149">
        <v>1</v>
      </c>
      <c r="Y149" t="s">
        <v>142</v>
      </c>
      <c r="Z149">
        <v>3</v>
      </c>
      <c r="AA149" t="s">
        <v>276</v>
      </c>
      <c r="AB149">
        <v>3.5</v>
      </c>
      <c r="AC149" t="s">
        <v>1003</v>
      </c>
      <c r="AD149">
        <v>4</v>
      </c>
      <c r="AE149" s="2">
        <v>45620</v>
      </c>
      <c r="AF149">
        <v>5</v>
      </c>
      <c r="AG149">
        <v>6</v>
      </c>
    </row>
    <row r="150" spans="1:33">
      <c r="A150">
        <v>10078</v>
      </c>
      <c r="B150" t="s">
        <v>1125</v>
      </c>
      <c r="C150" t="s">
        <v>42</v>
      </c>
      <c r="D150" t="s">
        <v>42</v>
      </c>
      <c r="E150" t="s">
        <v>934</v>
      </c>
      <c r="F150" t="s">
        <v>37</v>
      </c>
      <c r="G150" t="s">
        <v>50</v>
      </c>
      <c r="H150" t="s">
        <v>59</v>
      </c>
      <c r="I150">
        <v>71966</v>
      </c>
      <c r="J150" s="3">
        <v>863592</v>
      </c>
      <c r="K150" s="2">
        <v>19035</v>
      </c>
      <c r="L150" t="s">
        <v>51</v>
      </c>
      <c r="M150" t="s">
        <v>29</v>
      </c>
      <c r="N150">
        <v>2492</v>
      </c>
      <c r="O150" t="s">
        <v>33</v>
      </c>
      <c r="P150" t="s">
        <v>32</v>
      </c>
      <c r="Q150" t="s">
        <v>92</v>
      </c>
      <c r="R150" s="2">
        <v>41043</v>
      </c>
      <c r="S150" s="1" t="s">
        <v>93</v>
      </c>
      <c r="T150">
        <v>1</v>
      </c>
      <c r="U150" t="s">
        <v>78</v>
      </c>
      <c r="V150">
        <v>5</v>
      </c>
      <c r="W150" t="s">
        <v>45</v>
      </c>
      <c r="X150">
        <v>0</v>
      </c>
      <c r="Y150" t="s">
        <v>39</v>
      </c>
      <c r="Z150">
        <v>3</v>
      </c>
      <c r="AA150" t="s">
        <v>49</v>
      </c>
      <c r="AB150">
        <v>5</v>
      </c>
      <c r="AC150" t="s">
        <v>932</v>
      </c>
      <c r="AD150">
        <v>0</v>
      </c>
      <c r="AE150" s="2">
        <v>41457</v>
      </c>
      <c r="AF150">
        <v>0</v>
      </c>
      <c r="AG150">
        <v>17</v>
      </c>
    </row>
    <row r="151" spans="1:33">
      <c r="A151">
        <v>10078</v>
      </c>
      <c r="B151" t="s">
        <v>1300</v>
      </c>
      <c r="C151" t="s">
        <v>31</v>
      </c>
      <c r="D151" t="s">
        <v>56</v>
      </c>
      <c r="E151" t="s">
        <v>934</v>
      </c>
      <c r="F151" t="s">
        <v>278</v>
      </c>
      <c r="G151" t="s">
        <v>294</v>
      </c>
      <c r="H151" t="s">
        <v>377</v>
      </c>
      <c r="I151">
        <v>75401</v>
      </c>
      <c r="J151" s="3">
        <v>904812</v>
      </c>
      <c r="K151" s="2">
        <v>31100</v>
      </c>
      <c r="L151" t="s">
        <v>264</v>
      </c>
      <c r="M151" t="s">
        <v>80</v>
      </c>
      <c r="N151">
        <v>30564</v>
      </c>
      <c r="O151" t="s">
        <v>73</v>
      </c>
      <c r="P151" t="s">
        <v>32</v>
      </c>
      <c r="Q151" t="s">
        <v>92</v>
      </c>
      <c r="R151" s="2">
        <v>43672</v>
      </c>
      <c r="S151" s="1" t="s">
        <v>376</v>
      </c>
      <c r="T151">
        <v>1</v>
      </c>
      <c r="U151" t="s">
        <v>290</v>
      </c>
      <c r="V151">
        <v>3</v>
      </c>
      <c r="W151" t="s">
        <v>45</v>
      </c>
      <c r="X151">
        <v>1</v>
      </c>
      <c r="Y151" t="s">
        <v>280</v>
      </c>
      <c r="Z151">
        <v>2</v>
      </c>
      <c r="AA151" t="s">
        <v>136</v>
      </c>
      <c r="AB151">
        <v>4.4000000000000004</v>
      </c>
      <c r="AC151" t="s">
        <v>937</v>
      </c>
      <c r="AD151">
        <v>3</v>
      </c>
      <c r="AE151" s="2">
        <v>45719</v>
      </c>
      <c r="AF151">
        <v>2</v>
      </c>
      <c r="AG151">
        <v>1</v>
      </c>
    </row>
    <row r="152" spans="1:33">
      <c r="A152">
        <v>10079</v>
      </c>
      <c r="B152" t="s">
        <v>1116</v>
      </c>
      <c r="C152" t="s">
        <v>31</v>
      </c>
      <c r="D152" t="s">
        <v>31</v>
      </c>
      <c r="E152" t="s">
        <v>929</v>
      </c>
      <c r="F152" t="s">
        <v>46</v>
      </c>
      <c r="G152" t="s">
        <v>194</v>
      </c>
      <c r="H152" t="s">
        <v>140</v>
      </c>
      <c r="I152">
        <v>87921</v>
      </c>
      <c r="J152" s="3">
        <v>1055052</v>
      </c>
      <c r="K152" s="2">
        <v>25683</v>
      </c>
      <c r="L152" t="s">
        <v>30</v>
      </c>
      <c r="M152" t="s">
        <v>29</v>
      </c>
      <c r="N152">
        <v>2056</v>
      </c>
      <c r="O152" t="s">
        <v>33</v>
      </c>
      <c r="P152" t="s">
        <v>32</v>
      </c>
      <c r="Q152" t="s">
        <v>92</v>
      </c>
      <c r="R152" s="2">
        <v>42776</v>
      </c>
      <c r="S152" s="1" t="s">
        <v>35</v>
      </c>
      <c r="T152">
        <v>0</v>
      </c>
      <c r="U152" t="s">
        <v>36</v>
      </c>
      <c r="V152">
        <v>1</v>
      </c>
      <c r="W152" t="s">
        <v>36</v>
      </c>
      <c r="X152">
        <v>0</v>
      </c>
      <c r="Y152" t="s">
        <v>48</v>
      </c>
      <c r="Z152">
        <v>3</v>
      </c>
      <c r="AA152" t="s">
        <v>49</v>
      </c>
      <c r="AB152">
        <v>5</v>
      </c>
      <c r="AC152" t="s">
        <v>932</v>
      </c>
      <c r="AD152">
        <v>6</v>
      </c>
      <c r="AE152" s="2">
        <v>43521</v>
      </c>
      <c r="AF152">
        <v>0</v>
      </c>
      <c r="AG152">
        <v>17</v>
      </c>
    </row>
    <row r="153" spans="1:33">
      <c r="A153">
        <v>10079</v>
      </c>
      <c r="B153" t="s">
        <v>1301</v>
      </c>
      <c r="C153" t="s">
        <v>42</v>
      </c>
      <c r="D153" t="s">
        <v>42</v>
      </c>
      <c r="E153" t="s">
        <v>929</v>
      </c>
      <c r="F153" t="s">
        <v>113</v>
      </c>
      <c r="G153" t="s">
        <v>294</v>
      </c>
      <c r="H153" t="s">
        <v>378</v>
      </c>
      <c r="I153">
        <v>51227</v>
      </c>
      <c r="J153" s="3">
        <v>614724</v>
      </c>
      <c r="K153" s="2">
        <v>35735</v>
      </c>
      <c r="L153" t="s">
        <v>51</v>
      </c>
      <c r="M153" t="s">
        <v>144</v>
      </c>
      <c r="N153">
        <v>2415</v>
      </c>
      <c r="O153" t="s">
        <v>33</v>
      </c>
      <c r="P153" t="s">
        <v>32</v>
      </c>
      <c r="Q153" t="s">
        <v>34</v>
      </c>
      <c r="R153" s="2">
        <v>43290</v>
      </c>
      <c r="S153" s="1" t="s">
        <v>35</v>
      </c>
      <c r="T153">
        <v>1</v>
      </c>
      <c r="U153" t="s">
        <v>290</v>
      </c>
      <c r="V153">
        <v>1</v>
      </c>
      <c r="W153" t="s">
        <v>87</v>
      </c>
      <c r="X153">
        <v>1</v>
      </c>
      <c r="Y153" t="s">
        <v>280</v>
      </c>
      <c r="Z153">
        <v>2</v>
      </c>
      <c r="AA153" t="s">
        <v>49</v>
      </c>
      <c r="AB153">
        <v>3.3</v>
      </c>
      <c r="AC153" t="s">
        <v>930</v>
      </c>
      <c r="AD153">
        <v>3</v>
      </c>
      <c r="AE153" s="2">
        <v>45946</v>
      </c>
      <c r="AF153">
        <v>2</v>
      </c>
      <c r="AG153">
        <v>7</v>
      </c>
    </row>
    <row r="154" spans="1:33">
      <c r="A154">
        <v>10080</v>
      </c>
      <c r="B154" t="s">
        <v>1025</v>
      </c>
      <c r="C154" t="s">
        <v>42</v>
      </c>
      <c r="D154" t="s">
        <v>42</v>
      </c>
      <c r="E154" t="s">
        <v>934</v>
      </c>
      <c r="F154" t="s">
        <v>102</v>
      </c>
      <c r="G154" t="s">
        <v>101</v>
      </c>
      <c r="H154" t="s">
        <v>159</v>
      </c>
      <c r="I154">
        <v>99351</v>
      </c>
      <c r="J154" s="3">
        <v>1192212</v>
      </c>
      <c r="K154" s="2">
        <v>28961</v>
      </c>
      <c r="L154" t="s">
        <v>51</v>
      </c>
      <c r="M154" t="s">
        <v>29</v>
      </c>
      <c r="N154">
        <v>2050</v>
      </c>
      <c r="O154" t="s">
        <v>158</v>
      </c>
      <c r="P154" t="s">
        <v>32</v>
      </c>
      <c r="Q154" t="s">
        <v>34</v>
      </c>
      <c r="R154" s="2">
        <v>39818</v>
      </c>
      <c r="S154" s="1" t="s">
        <v>35</v>
      </c>
      <c r="T154">
        <v>0</v>
      </c>
      <c r="U154" t="s">
        <v>36</v>
      </c>
      <c r="V154">
        <v>1</v>
      </c>
      <c r="W154" t="s">
        <v>36</v>
      </c>
      <c r="X154">
        <v>0</v>
      </c>
      <c r="Y154" t="s">
        <v>160</v>
      </c>
      <c r="Z154">
        <v>3</v>
      </c>
      <c r="AA154" t="s">
        <v>49</v>
      </c>
      <c r="AB154">
        <v>5</v>
      </c>
      <c r="AC154" t="s">
        <v>932</v>
      </c>
      <c r="AD154">
        <v>2</v>
      </c>
      <c r="AE154" s="2">
        <v>43504</v>
      </c>
      <c r="AF154">
        <v>0</v>
      </c>
      <c r="AG154">
        <v>3</v>
      </c>
    </row>
    <row r="155" spans="1:33">
      <c r="A155">
        <v>10080</v>
      </c>
      <c r="B155" t="s">
        <v>1302</v>
      </c>
      <c r="C155" t="s">
        <v>31</v>
      </c>
      <c r="D155" t="s">
        <v>42</v>
      </c>
      <c r="E155" t="s">
        <v>929</v>
      </c>
      <c r="F155" t="s">
        <v>278</v>
      </c>
      <c r="G155" t="s">
        <v>62</v>
      </c>
      <c r="H155" t="s">
        <v>379</v>
      </c>
      <c r="I155">
        <v>54732</v>
      </c>
      <c r="J155" s="3">
        <v>656784</v>
      </c>
      <c r="K155" s="2">
        <v>37301</v>
      </c>
      <c r="L155" t="s">
        <v>264</v>
      </c>
      <c r="M155" t="s">
        <v>80</v>
      </c>
      <c r="N155">
        <v>13867</v>
      </c>
      <c r="O155" t="s">
        <v>33</v>
      </c>
      <c r="P155" t="s">
        <v>124</v>
      </c>
      <c r="Q155" t="s">
        <v>204</v>
      </c>
      <c r="R155" s="2">
        <v>43645</v>
      </c>
      <c r="S155" s="1" t="s">
        <v>35</v>
      </c>
      <c r="T155">
        <v>0</v>
      </c>
      <c r="U155" t="s">
        <v>36</v>
      </c>
      <c r="V155">
        <v>3</v>
      </c>
      <c r="W155" t="s">
        <v>87</v>
      </c>
      <c r="X155">
        <v>0</v>
      </c>
      <c r="Y155" t="s">
        <v>280</v>
      </c>
      <c r="Z155">
        <v>2</v>
      </c>
      <c r="AA155" t="s">
        <v>95</v>
      </c>
      <c r="AB155">
        <v>2.8</v>
      </c>
      <c r="AC155" t="s">
        <v>937</v>
      </c>
      <c r="AD155">
        <v>4</v>
      </c>
      <c r="AE155" s="2">
        <v>45901</v>
      </c>
      <c r="AF155">
        <v>5</v>
      </c>
      <c r="AG155">
        <v>1</v>
      </c>
    </row>
    <row r="156" spans="1:33">
      <c r="A156">
        <v>10081</v>
      </c>
      <c r="B156" t="s">
        <v>958</v>
      </c>
      <c r="C156" t="s">
        <v>42</v>
      </c>
      <c r="D156" t="s">
        <v>42</v>
      </c>
      <c r="E156" t="s">
        <v>934</v>
      </c>
      <c r="F156" t="s">
        <v>102</v>
      </c>
      <c r="G156" t="s">
        <v>101</v>
      </c>
      <c r="H156" t="s">
        <v>103</v>
      </c>
      <c r="I156">
        <v>106367</v>
      </c>
      <c r="J156" s="3">
        <v>1276404</v>
      </c>
      <c r="K156" s="2">
        <v>31871</v>
      </c>
      <c r="L156" t="s">
        <v>51</v>
      </c>
      <c r="M156" t="s">
        <v>29</v>
      </c>
      <c r="N156">
        <v>2468</v>
      </c>
      <c r="O156" t="s">
        <v>33</v>
      </c>
      <c r="P156" t="s">
        <v>32</v>
      </c>
      <c r="Q156" t="s">
        <v>68</v>
      </c>
      <c r="R156" s="2">
        <v>42051</v>
      </c>
      <c r="S156" s="1" t="s">
        <v>35</v>
      </c>
      <c r="T156">
        <v>0</v>
      </c>
      <c r="U156" t="s">
        <v>36</v>
      </c>
      <c r="V156">
        <v>1</v>
      </c>
      <c r="W156" t="s">
        <v>36</v>
      </c>
      <c r="X156">
        <v>1</v>
      </c>
      <c r="Y156" t="s">
        <v>70</v>
      </c>
      <c r="Z156">
        <v>3</v>
      </c>
      <c r="AA156" t="s">
        <v>49</v>
      </c>
      <c r="AB156">
        <v>5</v>
      </c>
      <c r="AC156" t="s">
        <v>937</v>
      </c>
      <c r="AD156">
        <v>3</v>
      </c>
      <c r="AE156" s="2">
        <v>43514</v>
      </c>
      <c r="AF156">
        <v>0</v>
      </c>
      <c r="AG156">
        <v>4</v>
      </c>
    </row>
    <row r="157" spans="1:33">
      <c r="A157">
        <v>10081</v>
      </c>
      <c r="B157" t="s">
        <v>1303</v>
      </c>
      <c r="C157" t="s">
        <v>31</v>
      </c>
      <c r="D157" t="s">
        <v>42</v>
      </c>
      <c r="E157" t="s">
        <v>934</v>
      </c>
      <c r="F157" t="s">
        <v>274</v>
      </c>
      <c r="G157" t="s">
        <v>28</v>
      </c>
      <c r="H157" t="s">
        <v>380</v>
      </c>
      <c r="I157">
        <v>70248</v>
      </c>
      <c r="J157" s="3">
        <v>842976</v>
      </c>
      <c r="K157" s="2">
        <v>29098</v>
      </c>
      <c r="L157" t="s">
        <v>264</v>
      </c>
      <c r="M157" t="s">
        <v>191</v>
      </c>
      <c r="N157">
        <v>30591</v>
      </c>
      <c r="O157" t="s">
        <v>73</v>
      </c>
      <c r="P157" t="s">
        <v>32</v>
      </c>
      <c r="Q157" t="s">
        <v>204</v>
      </c>
      <c r="R157" s="2">
        <v>43760</v>
      </c>
      <c r="S157" s="1" t="s">
        <v>35</v>
      </c>
      <c r="T157">
        <v>0</v>
      </c>
      <c r="U157" t="s">
        <v>36</v>
      </c>
      <c r="V157">
        <v>2</v>
      </c>
      <c r="W157" t="s">
        <v>36</v>
      </c>
      <c r="X157">
        <v>1</v>
      </c>
      <c r="Y157" t="s">
        <v>142</v>
      </c>
      <c r="Z157">
        <v>1</v>
      </c>
      <c r="AA157" t="s">
        <v>136</v>
      </c>
      <c r="AB157">
        <v>4.7</v>
      </c>
      <c r="AC157" t="s">
        <v>1003</v>
      </c>
      <c r="AD157">
        <v>0</v>
      </c>
      <c r="AE157" s="2">
        <v>45750</v>
      </c>
      <c r="AF157">
        <v>5</v>
      </c>
      <c r="AG157">
        <v>5</v>
      </c>
    </row>
    <row r="158" spans="1:33">
      <c r="A158">
        <v>10082</v>
      </c>
      <c r="B158" t="s">
        <v>972</v>
      </c>
      <c r="C158" t="s">
        <v>31</v>
      </c>
      <c r="D158" t="s">
        <v>31</v>
      </c>
      <c r="E158" t="s">
        <v>934</v>
      </c>
      <c r="F158" t="s">
        <v>46</v>
      </c>
      <c r="G158" t="s">
        <v>41</v>
      </c>
      <c r="H158" t="s">
        <v>47</v>
      </c>
      <c r="I158">
        <v>100031</v>
      </c>
      <c r="J158" s="3">
        <v>1200372</v>
      </c>
      <c r="K158" s="2">
        <v>31569</v>
      </c>
      <c r="L158" t="s">
        <v>51</v>
      </c>
      <c r="M158" t="s">
        <v>29</v>
      </c>
      <c r="N158">
        <v>1886</v>
      </c>
      <c r="O158" t="s">
        <v>33</v>
      </c>
      <c r="P158" t="s">
        <v>32</v>
      </c>
      <c r="Q158" t="s">
        <v>68</v>
      </c>
      <c r="R158" s="2">
        <v>42551</v>
      </c>
      <c r="S158" s="1" t="s">
        <v>35</v>
      </c>
      <c r="T158">
        <v>0</v>
      </c>
      <c r="U158" t="s">
        <v>36</v>
      </c>
      <c r="V158">
        <v>2</v>
      </c>
      <c r="W158" t="s">
        <v>36</v>
      </c>
      <c r="X158">
        <v>0</v>
      </c>
      <c r="Y158" t="s">
        <v>39</v>
      </c>
      <c r="Z158">
        <v>3</v>
      </c>
      <c r="AA158" t="s">
        <v>49</v>
      </c>
      <c r="AB158">
        <v>5</v>
      </c>
      <c r="AC158" t="s">
        <v>930</v>
      </c>
      <c r="AD158">
        <v>6</v>
      </c>
      <c r="AE158" s="2">
        <v>43514</v>
      </c>
      <c r="AF158">
        <v>0</v>
      </c>
      <c r="AG158">
        <v>7</v>
      </c>
    </row>
    <row r="159" spans="1:33">
      <c r="A159">
        <v>10082</v>
      </c>
      <c r="B159" t="s">
        <v>1304</v>
      </c>
      <c r="C159" t="s">
        <v>42</v>
      </c>
      <c r="D159" t="s">
        <v>56</v>
      </c>
      <c r="E159" t="s">
        <v>929</v>
      </c>
      <c r="F159" t="s">
        <v>283</v>
      </c>
      <c r="G159" t="s">
        <v>269</v>
      </c>
      <c r="H159" t="s">
        <v>381</v>
      </c>
      <c r="I159">
        <v>91850</v>
      </c>
      <c r="J159" s="3">
        <v>1102200</v>
      </c>
      <c r="K159" s="2">
        <v>27522</v>
      </c>
      <c r="L159" t="s">
        <v>51</v>
      </c>
      <c r="M159" t="s">
        <v>210</v>
      </c>
      <c r="N159">
        <v>16495</v>
      </c>
      <c r="O159" t="s">
        <v>33</v>
      </c>
      <c r="P159" t="s">
        <v>32</v>
      </c>
      <c r="Q159" t="s">
        <v>92</v>
      </c>
      <c r="R159" s="2">
        <v>42730</v>
      </c>
      <c r="S159" s="1" t="s">
        <v>35</v>
      </c>
      <c r="T159">
        <v>0</v>
      </c>
      <c r="U159" t="s">
        <v>36</v>
      </c>
      <c r="V159">
        <v>2</v>
      </c>
      <c r="W159" t="s">
        <v>87</v>
      </c>
      <c r="X159">
        <v>0</v>
      </c>
      <c r="Y159" t="s">
        <v>39</v>
      </c>
      <c r="Z159">
        <v>3</v>
      </c>
      <c r="AA159" t="s">
        <v>95</v>
      </c>
      <c r="AB159">
        <v>2.5</v>
      </c>
      <c r="AC159" t="s">
        <v>962</v>
      </c>
      <c r="AD159">
        <v>1</v>
      </c>
      <c r="AE159" s="2">
        <v>45862</v>
      </c>
      <c r="AF159">
        <v>1</v>
      </c>
      <c r="AG159">
        <v>9</v>
      </c>
    </row>
    <row r="160" spans="1:33">
      <c r="A160">
        <v>10083</v>
      </c>
      <c r="B160" t="s">
        <v>990</v>
      </c>
      <c r="C160" t="s">
        <v>31</v>
      </c>
      <c r="D160" t="s">
        <v>31</v>
      </c>
      <c r="E160" t="s">
        <v>929</v>
      </c>
      <c r="F160" t="s">
        <v>46</v>
      </c>
      <c r="G160" t="s">
        <v>131</v>
      </c>
      <c r="H160" t="s">
        <v>72</v>
      </c>
      <c r="I160">
        <v>92329</v>
      </c>
      <c r="J160" s="3">
        <v>1107948</v>
      </c>
      <c r="K160" s="2">
        <v>23994</v>
      </c>
      <c r="L160" t="s">
        <v>30</v>
      </c>
      <c r="M160" t="s">
        <v>98</v>
      </c>
      <c r="N160">
        <v>6278</v>
      </c>
      <c r="O160" t="s">
        <v>33</v>
      </c>
      <c r="P160" t="s">
        <v>32</v>
      </c>
      <c r="Q160" t="s">
        <v>34</v>
      </c>
      <c r="R160" s="2">
        <v>41953</v>
      </c>
      <c r="S160" s="1" t="s">
        <v>35</v>
      </c>
      <c r="T160">
        <v>0</v>
      </c>
      <c r="U160" t="s">
        <v>36</v>
      </c>
      <c r="V160">
        <v>1</v>
      </c>
      <c r="W160" t="s">
        <v>36</v>
      </c>
      <c r="X160">
        <v>0</v>
      </c>
      <c r="Y160" t="s">
        <v>67</v>
      </c>
      <c r="Z160">
        <v>3</v>
      </c>
      <c r="AA160" t="s">
        <v>49</v>
      </c>
      <c r="AB160">
        <v>5</v>
      </c>
      <c r="AC160" t="s">
        <v>932</v>
      </c>
      <c r="AD160">
        <v>4</v>
      </c>
      <c r="AE160" s="2">
        <v>43467</v>
      </c>
      <c r="AF160">
        <v>0</v>
      </c>
      <c r="AG160">
        <v>5</v>
      </c>
    </row>
    <row r="161" spans="1:33">
      <c r="A161">
        <v>10083</v>
      </c>
      <c r="B161" t="s">
        <v>1305</v>
      </c>
      <c r="C161" t="s">
        <v>42</v>
      </c>
      <c r="D161" t="s">
        <v>42</v>
      </c>
      <c r="E161" t="s">
        <v>934</v>
      </c>
      <c r="F161" t="s">
        <v>288</v>
      </c>
      <c r="G161" t="s">
        <v>28</v>
      </c>
      <c r="H161" t="s">
        <v>382</v>
      </c>
      <c r="I161">
        <v>72600</v>
      </c>
      <c r="J161" s="3">
        <v>871200</v>
      </c>
      <c r="K161" s="2">
        <v>29062</v>
      </c>
      <c r="L161" t="s">
        <v>51</v>
      </c>
      <c r="M161" t="s">
        <v>29</v>
      </c>
      <c r="N161">
        <v>50684</v>
      </c>
      <c r="O161" t="s">
        <v>73</v>
      </c>
      <c r="P161" t="s">
        <v>32</v>
      </c>
      <c r="Q161" t="s">
        <v>92</v>
      </c>
      <c r="R161" s="2">
        <v>42379</v>
      </c>
      <c r="S161" s="1" t="s">
        <v>35</v>
      </c>
      <c r="T161">
        <v>1</v>
      </c>
      <c r="U161" t="s">
        <v>290</v>
      </c>
      <c r="V161">
        <v>2</v>
      </c>
      <c r="W161" t="s">
        <v>87</v>
      </c>
      <c r="X161">
        <v>0</v>
      </c>
      <c r="Y161" t="s">
        <v>142</v>
      </c>
      <c r="Z161">
        <v>4</v>
      </c>
      <c r="AA161" t="s">
        <v>276</v>
      </c>
      <c r="AB161">
        <v>4</v>
      </c>
      <c r="AC161" t="s">
        <v>930</v>
      </c>
      <c r="AD161">
        <v>4</v>
      </c>
      <c r="AE161" s="2">
        <v>45454</v>
      </c>
      <c r="AF161">
        <v>4</v>
      </c>
      <c r="AG161">
        <v>0</v>
      </c>
    </row>
    <row r="162" spans="1:33">
      <c r="A162">
        <v>10084</v>
      </c>
      <c r="B162" t="s">
        <v>931</v>
      </c>
      <c r="C162" t="s">
        <v>42</v>
      </c>
      <c r="D162" t="s">
        <v>42</v>
      </c>
      <c r="E162" t="s">
        <v>929</v>
      </c>
      <c r="F162" t="s">
        <v>46</v>
      </c>
      <c r="G162" t="s">
        <v>41</v>
      </c>
      <c r="H162" t="s">
        <v>47</v>
      </c>
      <c r="I162">
        <v>104437</v>
      </c>
      <c r="J162" s="3">
        <v>1253244</v>
      </c>
      <c r="K162" s="2">
        <v>27519</v>
      </c>
      <c r="L162" t="s">
        <v>30</v>
      </c>
      <c r="M162" t="s">
        <v>29</v>
      </c>
      <c r="N162">
        <v>2148</v>
      </c>
      <c r="O162" t="s">
        <v>33</v>
      </c>
      <c r="P162" t="s">
        <v>32</v>
      </c>
      <c r="Q162" t="s">
        <v>34</v>
      </c>
      <c r="R162" s="2">
        <v>42093</v>
      </c>
      <c r="S162" s="1" t="s">
        <v>43</v>
      </c>
      <c r="T162">
        <v>1</v>
      </c>
      <c r="U162" t="s">
        <v>44</v>
      </c>
      <c r="V162">
        <v>5</v>
      </c>
      <c r="W162" t="s">
        <v>45</v>
      </c>
      <c r="X162">
        <v>0</v>
      </c>
      <c r="Y162" t="s">
        <v>48</v>
      </c>
      <c r="Z162">
        <v>3</v>
      </c>
      <c r="AA162" t="s">
        <v>49</v>
      </c>
      <c r="AB162">
        <v>4.96</v>
      </c>
      <c r="AC162" t="s">
        <v>932</v>
      </c>
      <c r="AD162">
        <v>6</v>
      </c>
      <c r="AE162" s="2">
        <v>42424</v>
      </c>
      <c r="AF162">
        <v>0</v>
      </c>
      <c r="AG162">
        <v>17</v>
      </c>
    </row>
    <row r="163" spans="1:33">
      <c r="A163">
        <v>10084</v>
      </c>
      <c r="B163" t="s">
        <v>1306</v>
      </c>
      <c r="C163" t="s">
        <v>42</v>
      </c>
      <c r="D163" t="s">
        <v>56</v>
      </c>
      <c r="E163" t="s">
        <v>934</v>
      </c>
      <c r="F163" t="s">
        <v>271</v>
      </c>
      <c r="G163" t="s">
        <v>277</v>
      </c>
      <c r="H163" t="s">
        <v>383</v>
      </c>
      <c r="I163">
        <v>81439</v>
      </c>
      <c r="J163" s="3">
        <v>977268</v>
      </c>
      <c r="K163" s="2">
        <v>26610</v>
      </c>
      <c r="L163" t="s">
        <v>264</v>
      </c>
      <c r="M163" t="s">
        <v>144</v>
      </c>
      <c r="N163">
        <v>45386</v>
      </c>
      <c r="O163" t="s">
        <v>73</v>
      </c>
      <c r="P163" t="s">
        <v>124</v>
      </c>
      <c r="Q163" t="s">
        <v>160</v>
      </c>
      <c r="R163" s="2">
        <v>45038</v>
      </c>
      <c r="S163" s="1" t="s">
        <v>35</v>
      </c>
      <c r="T163">
        <v>0</v>
      </c>
      <c r="U163" t="s">
        <v>36</v>
      </c>
      <c r="V163">
        <v>1</v>
      </c>
      <c r="W163" t="s">
        <v>36</v>
      </c>
      <c r="X163">
        <v>0</v>
      </c>
      <c r="Y163" t="s">
        <v>39</v>
      </c>
      <c r="Z163">
        <v>4</v>
      </c>
      <c r="AA163" t="s">
        <v>95</v>
      </c>
      <c r="AB163">
        <v>4.5</v>
      </c>
      <c r="AC163" t="s">
        <v>1003</v>
      </c>
      <c r="AD163">
        <v>0</v>
      </c>
      <c r="AE163" s="2">
        <v>45546</v>
      </c>
      <c r="AF163">
        <v>2</v>
      </c>
      <c r="AG163">
        <v>5</v>
      </c>
    </row>
    <row r="164" spans="1:33">
      <c r="A164">
        <v>10085</v>
      </c>
      <c r="B164" t="s">
        <v>970</v>
      </c>
      <c r="C164" t="s">
        <v>31</v>
      </c>
      <c r="D164" t="s">
        <v>31</v>
      </c>
      <c r="E164" t="s">
        <v>934</v>
      </c>
      <c r="F164" t="s">
        <v>63</v>
      </c>
      <c r="G164" t="s">
        <v>62</v>
      </c>
      <c r="H164" t="s">
        <v>64</v>
      </c>
      <c r="I164">
        <v>93396</v>
      </c>
      <c r="J164" s="3">
        <v>1120752</v>
      </c>
      <c r="K164" s="2">
        <v>31872</v>
      </c>
      <c r="L164" t="s">
        <v>51</v>
      </c>
      <c r="M164" t="s">
        <v>29</v>
      </c>
      <c r="N164">
        <v>2132</v>
      </c>
      <c r="O164" t="s">
        <v>33</v>
      </c>
      <c r="P164" t="s">
        <v>32</v>
      </c>
      <c r="Q164" t="s">
        <v>34</v>
      </c>
      <c r="R164" s="2">
        <v>41589</v>
      </c>
      <c r="S164" s="1" t="s">
        <v>35</v>
      </c>
      <c r="T164">
        <v>0</v>
      </c>
      <c r="U164" t="s">
        <v>36</v>
      </c>
      <c r="V164">
        <v>1</v>
      </c>
      <c r="W164" t="s">
        <v>36</v>
      </c>
      <c r="X164">
        <v>0</v>
      </c>
      <c r="Y164" t="s">
        <v>48</v>
      </c>
      <c r="Z164">
        <v>3</v>
      </c>
      <c r="AA164" t="s">
        <v>49</v>
      </c>
      <c r="AB164">
        <v>4.96</v>
      </c>
      <c r="AC164" t="s">
        <v>937</v>
      </c>
      <c r="AD164">
        <v>6</v>
      </c>
      <c r="AE164" s="2">
        <v>43495</v>
      </c>
      <c r="AF164">
        <v>0</v>
      </c>
      <c r="AG164">
        <v>3</v>
      </c>
    </row>
    <row r="165" spans="1:33">
      <c r="A165">
        <v>10085</v>
      </c>
      <c r="B165" t="s">
        <v>1307</v>
      </c>
      <c r="C165" t="s">
        <v>31</v>
      </c>
      <c r="D165" t="s">
        <v>42</v>
      </c>
      <c r="E165" t="s">
        <v>929</v>
      </c>
      <c r="F165" t="s">
        <v>278</v>
      </c>
      <c r="G165" t="s">
        <v>277</v>
      </c>
      <c r="H165" t="s">
        <v>384</v>
      </c>
      <c r="I165">
        <v>51706</v>
      </c>
      <c r="J165" s="3">
        <v>620472</v>
      </c>
      <c r="K165" s="2">
        <v>31963</v>
      </c>
      <c r="L165" t="s">
        <v>264</v>
      </c>
      <c r="M165" t="s">
        <v>29</v>
      </c>
      <c r="N165">
        <v>60060</v>
      </c>
      <c r="O165" t="s">
        <v>73</v>
      </c>
      <c r="P165" t="s">
        <v>124</v>
      </c>
      <c r="Q165" t="s">
        <v>270</v>
      </c>
      <c r="R165" s="2">
        <v>44079</v>
      </c>
      <c r="S165" s="1" t="s">
        <v>35</v>
      </c>
      <c r="T165">
        <v>1</v>
      </c>
      <c r="U165" t="s">
        <v>298</v>
      </c>
      <c r="V165">
        <v>2</v>
      </c>
      <c r="W165" t="s">
        <v>87</v>
      </c>
      <c r="X165">
        <v>1</v>
      </c>
      <c r="Y165" t="s">
        <v>48</v>
      </c>
      <c r="Z165">
        <v>3</v>
      </c>
      <c r="AA165" t="s">
        <v>276</v>
      </c>
      <c r="AB165">
        <v>2.7</v>
      </c>
      <c r="AC165" t="s">
        <v>1003</v>
      </c>
      <c r="AD165">
        <v>0</v>
      </c>
      <c r="AE165" s="2">
        <v>45810</v>
      </c>
      <c r="AF165">
        <v>1</v>
      </c>
      <c r="AG165">
        <v>6</v>
      </c>
    </row>
    <row r="166" spans="1:33">
      <c r="A166">
        <v>10086</v>
      </c>
      <c r="B166" t="s">
        <v>1158</v>
      </c>
      <c r="C166" t="s">
        <v>31</v>
      </c>
      <c r="D166" t="s">
        <v>31</v>
      </c>
      <c r="E166" t="s">
        <v>934</v>
      </c>
      <c r="F166" t="s">
        <v>46</v>
      </c>
      <c r="G166" t="s">
        <v>233</v>
      </c>
      <c r="H166" t="s">
        <v>140</v>
      </c>
      <c r="I166">
        <v>150290</v>
      </c>
      <c r="J166" s="3">
        <v>1803480</v>
      </c>
      <c r="K166" s="2">
        <v>26624</v>
      </c>
      <c r="L166" t="s">
        <v>51</v>
      </c>
      <c r="M166" t="s">
        <v>29</v>
      </c>
      <c r="N166">
        <v>2056</v>
      </c>
      <c r="O166" t="s">
        <v>33</v>
      </c>
      <c r="P166" t="s">
        <v>32</v>
      </c>
      <c r="Q166" t="s">
        <v>68</v>
      </c>
      <c r="R166" s="2">
        <v>42742</v>
      </c>
      <c r="S166" s="1" t="s">
        <v>35</v>
      </c>
      <c r="T166">
        <v>0</v>
      </c>
      <c r="U166" t="s">
        <v>36</v>
      </c>
      <c r="V166">
        <v>1</v>
      </c>
      <c r="W166" t="s">
        <v>36</v>
      </c>
      <c r="X166">
        <v>0</v>
      </c>
      <c r="Y166" t="s">
        <v>48</v>
      </c>
      <c r="Z166">
        <v>3</v>
      </c>
      <c r="AA166" t="s">
        <v>49</v>
      </c>
      <c r="AB166">
        <v>4.9400000000000004</v>
      </c>
      <c r="AC166" t="s">
        <v>932</v>
      </c>
      <c r="AD166">
        <v>5</v>
      </c>
      <c r="AE166" s="2">
        <v>43502</v>
      </c>
      <c r="AF166">
        <v>0</v>
      </c>
      <c r="AG166">
        <v>17</v>
      </c>
    </row>
    <row r="167" spans="1:33">
      <c r="A167">
        <v>10086</v>
      </c>
      <c r="B167" t="s">
        <v>1308</v>
      </c>
      <c r="C167" t="s">
        <v>42</v>
      </c>
      <c r="D167" t="s">
        <v>31</v>
      </c>
      <c r="E167" t="s">
        <v>929</v>
      </c>
      <c r="F167" t="s">
        <v>271</v>
      </c>
      <c r="G167" t="s">
        <v>269</v>
      </c>
      <c r="H167" t="s">
        <v>386</v>
      </c>
      <c r="I167">
        <v>116487</v>
      </c>
      <c r="J167" s="3">
        <v>1397844</v>
      </c>
      <c r="K167" s="2">
        <v>30962</v>
      </c>
      <c r="L167" t="s">
        <v>51</v>
      </c>
      <c r="M167" t="s">
        <v>80</v>
      </c>
      <c r="N167">
        <v>47921</v>
      </c>
      <c r="O167" t="s">
        <v>33</v>
      </c>
      <c r="P167" t="s">
        <v>32</v>
      </c>
      <c r="Q167" t="s">
        <v>34</v>
      </c>
      <c r="R167" s="2">
        <v>42866</v>
      </c>
      <c r="S167" s="1" t="s">
        <v>385</v>
      </c>
      <c r="T167">
        <v>0</v>
      </c>
      <c r="U167" t="s">
        <v>36</v>
      </c>
      <c r="V167">
        <v>2</v>
      </c>
      <c r="W167" t="s">
        <v>45</v>
      </c>
      <c r="X167">
        <v>1</v>
      </c>
      <c r="Y167" t="s">
        <v>280</v>
      </c>
      <c r="Z167">
        <v>1</v>
      </c>
      <c r="AA167" t="s">
        <v>49</v>
      </c>
      <c r="AB167">
        <v>3.8</v>
      </c>
      <c r="AC167" t="s">
        <v>937</v>
      </c>
      <c r="AD167">
        <v>4</v>
      </c>
      <c r="AE167" s="2">
        <v>45484</v>
      </c>
      <c r="AF167">
        <v>2</v>
      </c>
      <c r="AG167">
        <v>2</v>
      </c>
    </row>
    <row r="168" spans="1:33">
      <c r="A168">
        <v>10087</v>
      </c>
      <c r="B168" t="s">
        <v>1087</v>
      </c>
      <c r="C168" t="s">
        <v>31</v>
      </c>
      <c r="D168" t="s">
        <v>31</v>
      </c>
      <c r="E168" t="s">
        <v>934</v>
      </c>
      <c r="F168" t="s">
        <v>37</v>
      </c>
      <c r="G168" t="s">
        <v>28</v>
      </c>
      <c r="H168" t="s">
        <v>54</v>
      </c>
      <c r="I168">
        <v>63676</v>
      </c>
      <c r="J168" s="3">
        <v>764112</v>
      </c>
      <c r="K168" s="2">
        <v>28872</v>
      </c>
      <c r="L168" t="s">
        <v>51</v>
      </c>
      <c r="M168" t="s">
        <v>29</v>
      </c>
      <c r="N168">
        <v>1810</v>
      </c>
      <c r="O168" t="s">
        <v>33</v>
      </c>
      <c r="P168" t="s">
        <v>32</v>
      </c>
      <c r="Q168" t="s">
        <v>92</v>
      </c>
      <c r="R168" s="2">
        <v>40812</v>
      </c>
      <c r="S168" s="1" t="s">
        <v>155</v>
      </c>
      <c r="T168">
        <v>1</v>
      </c>
      <c r="U168" t="s">
        <v>58</v>
      </c>
      <c r="V168">
        <v>5</v>
      </c>
      <c r="W168" t="s">
        <v>45</v>
      </c>
      <c r="X168">
        <v>0</v>
      </c>
      <c r="Y168" t="s">
        <v>94</v>
      </c>
      <c r="Z168">
        <v>3</v>
      </c>
      <c r="AA168" t="s">
        <v>49</v>
      </c>
      <c r="AB168">
        <v>4.88</v>
      </c>
      <c r="AC168" t="s">
        <v>932</v>
      </c>
      <c r="AD168">
        <v>0</v>
      </c>
      <c r="AE168" s="2">
        <v>42918</v>
      </c>
      <c r="AF168">
        <v>0</v>
      </c>
      <c r="AG168">
        <v>17</v>
      </c>
    </row>
    <row r="169" spans="1:33">
      <c r="A169">
        <v>10087</v>
      </c>
      <c r="B169" t="s">
        <v>1309</v>
      </c>
      <c r="C169" t="s">
        <v>42</v>
      </c>
      <c r="D169" t="s">
        <v>31</v>
      </c>
      <c r="E169" t="s">
        <v>934</v>
      </c>
      <c r="F169" t="s">
        <v>278</v>
      </c>
      <c r="G169" t="s">
        <v>294</v>
      </c>
      <c r="H169" t="s">
        <v>387</v>
      </c>
      <c r="I169">
        <v>112553</v>
      </c>
      <c r="J169" s="3">
        <v>1350636</v>
      </c>
      <c r="K169" s="2">
        <v>33158</v>
      </c>
      <c r="L169" t="s">
        <v>51</v>
      </c>
      <c r="M169" t="s">
        <v>210</v>
      </c>
      <c r="N169">
        <v>97149</v>
      </c>
      <c r="O169" t="s">
        <v>33</v>
      </c>
      <c r="P169" t="s">
        <v>124</v>
      </c>
      <c r="Q169" t="s">
        <v>160</v>
      </c>
      <c r="R169" s="2">
        <v>45554</v>
      </c>
      <c r="S169" s="1" t="s">
        <v>35</v>
      </c>
      <c r="T169">
        <v>1</v>
      </c>
      <c r="U169" t="s">
        <v>36</v>
      </c>
      <c r="V169">
        <v>3</v>
      </c>
      <c r="W169" t="s">
        <v>45</v>
      </c>
      <c r="X169">
        <v>1</v>
      </c>
      <c r="Y169" t="s">
        <v>39</v>
      </c>
      <c r="Z169">
        <v>2</v>
      </c>
      <c r="AA169" t="s">
        <v>136</v>
      </c>
      <c r="AB169">
        <v>3.1</v>
      </c>
      <c r="AC169" t="s">
        <v>937</v>
      </c>
      <c r="AD169">
        <v>2</v>
      </c>
      <c r="AE169" s="2">
        <v>45944</v>
      </c>
      <c r="AF169">
        <v>1</v>
      </c>
      <c r="AG169">
        <v>10</v>
      </c>
    </row>
    <row r="170" spans="1:33">
      <c r="A170">
        <v>10088</v>
      </c>
      <c r="B170" t="s">
        <v>935</v>
      </c>
      <c r="C170" t="s">
        <v>42</v>
      </c>
      <c r="D170" t="s">
        <v>42</v>
      </c>
      <c r="E170" t="s">
        <v>934</v>
      </c>
      <c r="F170" t="s">
        <v>37</v>
      </c>
      <c r="G170" t="s">
        <v>28</v>
      </c>
      <c r="H170" t="s">
        <v>55</v>
      </c>
      <c r="I170">
        <v>64991</v>
      </c>
      <c r="J170" s="3">
        <v>779892</v>
      </c>
      <c r="K170" s="2">
        <v>32413</v>
      </c>
      <c r="L170" t="s">
        <v>51</v>
      </c>
      <c r="M170" t="s">
        <v>29</v>
      </c>
      <c r="N170">
        <v>1886</v>
      </c>
      <c r="O170" t="s">
        <v>33</v>
      </c>
      <c r="P170" t="s">
        <v>32</v>
      </c>
      <c r="Q170" t="s">
        <v>34</v>
      </c>
      <c r="R170" s="2">
        <v>39454</v>
      </c>
      <c r="S170" s="1" t="s">
        <v>35</v>
      </c>
      <c r="T170">
        <v>0</v>
      </c>
      <c r="U170" t="s">
        <v>36</v>
      </c>
      <c r="V170">
        <v>1</v>
      </c>
      <c r="W170" t="s">
        <v>36</v>
      </c>
      <c r="X170">
        <v>0</v>
      </c>
      <c r="Y170" t="s">
        <v>48</v>
      </c>
      <c r="Z170">
        <v>3</v>
      </c>
      <c r="AA170" t="s">
        <v>49</v>
      </c>
      <c r="AB170">
        <v>4.84</v>
      </c>
      <c r="AC170" t="s">
        <v>930</v>
      </c>
      <c r="AD170">
        <v>0</v>
      </c>
      <c r="AE170" s="2">
        <v>43468</v>
      </c>
      <c r="AF170">
        <v>0</v>
      </c>
      <c r="AG170">
        <v>15</v>
      </c>
    </row>
    <row r="171" spans="1:33">
      <c r="A171">
        <v>10088</v>
      </c>
      <c r="B171" t="s">
        <v>1310</v>
      </c>
      <c r="C171" t="s">
        <v>31</v>
      </c>
      <c r="D171" t="s">
        <v>56</v>
      </c>
      <c r="E171" t="s">
        <v>934</v>
      </c>
      <c r="F171" t="s">
        <v>113</v>
      </c>
      <c r="G171" t="s">
        <v>277</v>
      </c>
      <c r="H171" t="s">
        <v>389</v>
      </c>
      <c r="I171">
        <v>63068</v>
      </c>
      <c r="J171" s="3">
        <v>756816</v>
      </c>
      <c r="K171" s="2">
        <v>36428</v>
      </c>
      <c r="L171" t="s">
        <v>264</v>
      </c>
      <c r="M171" t="s">
        <v>80</v>
      </c>
      <c r="N171">
        <v>38595</v>
      </c>
      <c r="O171" t="s">
        <v>73</v>
      </c>
      <c r="P171" t="s">
        <v>32</v>
      </c>
      <c r="Q171" t="s">
        <v>270</v>
      </c>
      <c r="R171" s="2">
        <v>44258</v>
      </c>
      <c r="S171" s="1" t="s">
        <v>388</v>
      </c>
      <c r="T171">
        <v>0</v>
      </c>
      <c r="U171" t="s">
        <v>36</v>
      </c>
      <c r="V171">
        <v>3</v>
      </c>
      <c r="W171" t="s">
        <v>45</v>
      </c>
      <c r="X171">
        <v>0</v>
      </c>
      <c r="Y171" t="s">
        <v>268</v>
      </c>
      <c r="Z171">
        <v>2</v>
      </c>
      <c r="AA171" t="s">
        <v>49</v>
      </c>
      <c r="AB171">
        <v>2.8</v>
      </c>
      <c r="AC171" t="s">
        <v>962</v>
      </c>
      <c r="AD171">
        <v>3</v>
      </c>
      <c r="AE171" s="2">
        <v>45733</v>
      </c>
      <c r="AF171">
        <v>5</v>
      </c>
      <c r="AG171">
        <v>5</v>
      </c>
    </row>
    <row r="172" spans="1:33">
      <c r="A172">
        <v>10089</v>
      </c>
      <c r="B172" t="s">
        <v>107</v>
      </c>
      <c r="C172" t="s">
        <v>42</v>
      </c>
      <c r="D172" t="s">
        <v>42</v>
      </c>
      <c r="E172" t="s">
        <v>934</v>
      </c>
      <c r="F172" t="s">
        <v>188</v>
      </c>
      <c r="G172" t="s">
        <v>187</v>
      </c>
      <c r="H172" t="s">
        <v>159</v>
      </c>
      <c r="I172">
        <v>250000</v>
      </c>
      <c r="J172" s="3">
        <v>3000000</v>
      </c>
      <c r="K172" s="2">
        <v>19988</v>
      </c>
      <c r="L172" t="s">
        <v>51</v>
      </c>
      <c r="M172" t="s">
        <v>29</v>
      </c>
      <c r="N172">
        <v>1902</v>
      </c>
      <c r="O172" t="s">
        <v>73</v>
      </c>
      <c r="P172" t="s">
        <v>32</v>
      </c>
      <c r="Q172" t="s">
        <v>34</v>
      </c>
      <c r="R172" s="2">
        <v>41092</v>
      </c>
      <c r="S172" s="1" t="s">
        <v>35</v>
      </c>
      <c r="T172">
        <v>0</v>
      </c>
      <c r="U172" t="s">
        <v>36</v>
      </c>
      <c r="V172">
        <v>1</v>
      </c>
      <c r="W172" t="s">
        <v>36</v>
      </c>
      <c r="X172">
        <v>0</v>
      </c>
      <c r="Y172" t="s">
        <v>48</v>
      </c>
      <c r="Z172">
        <v>3</v>
      </c>
      <c r="AA172" t="s">
        <v>49</v>
      </c>
      <c r="AB172">
        <v>4.83</v>
      </c>
      <c r="AC172" t="s">
        <v>932</v>
      </c>
      <c r="AD172">
        <v>0</v>
      </c>
      <c r="AE172" s="2">
        <v>43482</v>
      </c>
      <c r="AF172">
        <v>0</v>
      </c>
      <c r="AG172">
        <v>10</v>
      </c>
    </row>
    <row r="173" spans="1:33">
      <c r="A173">
        <v>10089</v>
      </c>
      <c r="B173" t="s">
        <v>1311</v>
      </c>
      <c r="C173" t="s">
        <v>31</v>
      </c>
      <c r="D173" t="s">
        <v>56</v>
      </c>
      <c r="E173" t="s">
        <v>929</v>
      </c>
      <c r="F173" t="s">
        <v>278</v>
      </c>
      <c r="G173" t="s">
        <v>269</v>
      </c>
      <c r="H173" t="s">
        <v>391</v>
      </c>
      <c r="I173">
        <v>47460</v>
      </c>
      <c r="J173" s="3">
        <v>569520</v>
      </c>
      <c r="K173" s="2">
        <v>31829</v>
      </c>
      <c r="L173" t="s">
        <v>264</v>
      </c>
      <c r="M173" t="s">
        <v>80</v>
      </c>
      <c r="N173">
        <v>60202</v>
      </c>
      <c r="O173" t="s">
        <v>33</v>
      </c>
      <c r="P173" t="s">
        <v>124</v>
      </c>
      <c r="Q173" t="s">
        <v>204</v>
      </c>
      <c r="R173" s="2">
        <v>43690</v>
      </c>
      <c r="S173" s="1" t="s">
        <v>390</v>
      </c>
      <c r="T173">
        <v>0</v>
      </c>
      <c r="U173" t="s">
        <v>36</v>
      </c>
      <c r="V173">
        <v>1</v>
      </c>
      <c r="W173" t="s">
        <v>45</v>
      </c>
      <c r="X173">
        <v>1</v>
      </c>
      <c r="Y173" t="s">
        <v>39</v>
      </c>
      <c r="Z173">
        <v>2</v>
      </c>
      <c r="AA173" t="s">
        <v>95</v>
      </c>
      <c r="AB173">
        <v>3.9</v>
      </c>
      <c r="AC173" t="s">
        <v>930</v>
      </c>
      <c r="AD173">
        <v>3</v>
      </c>
      <c r="AE173" s="2">
        <v>45648</v>
      </c>
      <c r="AF173">
        <v>5</v>
      </c>
      <c r="AG173">
        <v>6</v>
      </c>
    </row>
    <row r="174" spans="1:33">
      <c r="A174">
        <v>10090</v>
      </c>
      <c r="B174" t="s">
        <v>82</v>
      </c>
      <c r="C174" t="s">
        <v>42</v>
      </c>
      <c r="D174" t="s">
        <v>42</v>
      </c>
      <c r="E174" t="s">
        <v>934</v>
      </c>
      <c r="F174" t="s">
        <v>37</v>
      </c>
      <c r="G174" t="s">
        <v>104</v>
      </c>
      <c r="H174" t="s">
        <v>107</v>
      </c>
      <c r="I174">
        <v>65714</v>
      </c>
      <c r="J174" s="3">
        <v>788568</v>
      </c>
      <c r="K174" s="2">
        <v>27667</v>
      </c>
      <c r="L174" t="s">
        <v>51</v>
      </c>
      <c r="M174" t="s">
        <v>29</v>
      </c>
      <c r="N174">
        <v>2451</v>
      </c>
      <c r="O174" t="s">
        <v>33</v>
      </c>
      <c r="P174" t="s">
        <v>32</v>
      </c>
      <c r="Q174" t="s">
        <v>34</v>
      </c>
      <c r="R174" s="2">
        <v>41184</v>
      </c>
      <c r="S174" s="1" t="s">
        <v>35</v>
      </c>
      <c r="T174">
        <v>0</v>
      </c>
      <c r="U174" t="s">
        <v>36</v>
      </c>
      <c r="V174">
        <v>1</v>
      </c>
      <c r="W174" t="s">
        <v>36</v>
      </c>
      <c r="X174">
        <v>0</v>
      </c>
      <c r="Y174" t="s">
        <v>39</v>
      </c>
      <c r="Z174">
        <v>3</v>
      </c>
      <c r="AA174" t="s">
        <v>49</v>
      </c>
      <c r="AB174">
        <v>4.83</v>
      </c>
      <c r="AC174" t="s">
        <v>930</v>
      </c>
      <c r="AD174">
        <v>0</v>
      </c>
      <c r="AE174" s="2">
        <v>43510</v>
      </c>
      <c r="AF174">
        <v>0</v>
      </c>
      <c r="AG174">
        <v>15</v>
      </c>
    </row>
    <row r="175" spans="1:33">
      <c r="A175">
        <v>10090</v>
      </c>
      <c r="B175" t="s">
        <v>1312</v>
      </c>
      <c r="C175" t="s">
        <v>31</v>
      </c>
      <c r="D175" t="s">
        <v>56</v>
      </c>
      <c r="E175" t="s">
        <v>934</v>
      </c>
      <c r="F175" t="s">
        <v>288</v>
      </c>
      <c r="G175" t="s">
        <v>269</v>
      </c>
      <c r="H175" t="s">
        <v>392</v>
      </c>
      <c r="I175">
        <v>108281</v>
      </c>
      <c r="J175" s="3">
        <v>1299372</v>
      </c>
      <c r="K175" s="2">
        <v>24589</v>
      </c>
      <c r="L175" t="s">
        <v>264</v>
      </c>
      <c r="M175" t="s">
        <v>191</v>
      </c>
      <c r="N175">
        <v>34287</v>
      </c>
      <c r="O175" t="s">
        <v>33</v>
      </c>
      <c r="P175" t="s">
        <v>32</v>
      </c>
      <c r="Q175" t="s">
        <v>92</v>
      </c>
      <c r="R175" s="2">
        <v>45929</v>
      </c>
      <c r="S175" s="1" t="s">
        <v>35</v>
      </c>
      <c r="T175">
        <v>1</v>
      </c>
      <c r="U175" t="s">
        <v>266</v>
      </c>
      <c r="V175">
        <v>1</v>
      </c>
      <c r="W175" t="s">
        <v>45</v>
      </c>
      <c r="X175">
        <v>0</v>
      </c>
      <c r="Y175" t="s">
        <v>268</v>
      </c>
      <c r="Z175">
        <v>4</v>
      </c>
      <c r="AA175" t="s">
        <v>136</v>
      </c>
      <c r="AB175">
        <v>3.1</v>
      </c>
      <c r="AC175" t="s">
        <v>937</v>
      </c>
      <c r="AD175">
        <v>1</v>
      </c>
      <c r="AE175" s="2">
        <v>45686</v>
      </c>
      <c r="AF175">
        <v>5</v>
      </c>
      <c r="AG175">
        <v>4</v>
      </c>
    </row>
    <row r="176" spans="1:33">
      <c r="A176">
        <v>10091</v>
      </c>
      <c r="B176" t="s">
        <v>1169</v>
      </c>
      <c r="C176" t="s">
        <v>42</v>
      </c>
      <c r="D176" t="s">
        <v>42</v>
      </c>
      <c r="E176" t="s">
        <v>934</v>
      </c>
      <c r="F176" t="s">
        <v>37</v>
      </c>
      <c r="G176" t="s">
        <v>28</v>
      </c>
      <c r="H176" t="s">
        <v>61</v>
      </c>
      <c r="I176">
        <v>52087</v>
      </c>
      <c r="J176" s="3">
        <v>625044</v>
      </c>
      <c r="K176" s="2">
        <v>31283</v>
      </c>
      <c r="L176" t="s">
        <v>51</v>
      </c>
      <c r="M176" t="s">
        <v>29</v>
      </c>
      <c r="N176">
        <v>2149</v>
      </c>
      <c r="O176" t="s">
        <v>33</v>
      </c>
      <c r="P176" t="s">
        <v>32</v>
      </c>
      <c r="Q176" t="s">
        <v>34</v>
      </c>
      <c r="R176" s="2">
        <v>41505</v>
      </c>
      <c r="S176" s="1" t="s">
        <v>35</v>
      </c>
      <c r="T176">
        <v>0</v>
      </c>
      <c r="U176" t="s">
        <v>36</v>
      </c>
      <c r="V176">
        <v>1</v>
      </c>
      <c r="W176" t="s">
        <v>36</v>
      </c>
      <c r="X176">
        <v>0</v>
      </c>
      <c r="Y176" t="s">
        <v>39</v>
      </c>
      <c r="Z176">
        <v>3</v>
      </c>
      <c r="AA176" t="s">
        <v>49</v>
      </c>
      <c r="AB176">
        <v>4.8099999999999996</v>
      </c>
      <c r="AC176" t="s">
        <v>937</v>
      </c>
      <c r="AD176">
        <v>0</v>
      </c>
      <c r="AE176" s="2">
        <v>43511</v>
      </c>
      <c r="AF176">
        <v>0</v>
      </c>
      <c r="AG176">
        <v>15</v>
      </c>
    </row>
    <row r="177" spans="1:33">
      <c r="A177">
        <v>10091</v>
      </c>
      <c r="B177" t="s">
        <v>1313</v>
      </c>
      <c r="C177" t="s">
        <v>42</v>
      </c>
      <c r="D177" t="s">
        <v>42</v>
      </c>
      <c r="E177" t="s">
        <v>929</v>
      </c>
      <c r="F177" t="s">
        <v>288</v>
      </c>
      <c r="G177" t="s">
        <v>269</v>
      </c>
      <c r="H177" t="s">
        <v>393</v>
      </c>
      <c r="I177">
        <v>112894</v>
      </c>
      <c r="J177" s="3">
        <v>1354728</v>
      </c>
      <c r="K177" s="2">
        <v>33304</v>
      </c>
      <c r="L177" t="s">
        <v>264</v>
      </c>
      <c r="M177" t="s">
        <v>191</v>
      </c>
      <c r="N177">
        <v>4873</v>
      </c>
      <c r="O177" t="s">
        <v>73</v>
      </c>
      <c r="P177" t="s">
        <v>32</v>
      </c>
      <c r="Q177" t="s">
        <v>34</v>
      </c>
      <c r="R177" s="2">
        <v>44665</v>
      </c>
      <c r="S177" s="1" t="s">
        <v>35</v>
      </c>
      <c r="T177">
        <v>1</v>
      </c>
      <c r="U177" t="s">
        <v>266</v>
      </c>
      <c r="V177">
        <v>2</v>
      </c>
      <c r="W177" t="s">
        <v>45</v>
      </c>
      <c r="X177">
        <v>1</v>
      </c>
      <c r="Y177" t="s">
        <v>142</v>
      </c>
      <c r="Z177">
        <v>4</v>
      </c>
      <c r="AA177" t="s">
        <v>136</v>
      </c>
      <c r="AB177">
        <v>3</v>
      </c>
      <c r="AC177" t="s">
        <v>932</v>
      </c>
      <c r="AD177">
        <v>2</v>
      </c>
      <c r="AE177" s="2">
        <v>45693</v>
      </c>
      <c r="AF177">
        <v>3</v>
      </c>
      <c r="AG177">
        <v>9</v>
      </c>
    </row>
    <row r="178" spans="1:33">
      <c r="A178">
        <v>10092</v>
      </c>
      <c r="B178" t="s">
        <v>1081</v>
      </c>
      <c r="C178" t="s">
        <v>42</v>
      </c>
      <c r="D178" t="s">
        <v>42</v>
      </c>
      <c r="E178" t="s">
        <v>929</v>
      </c>
      <c r="F178" t="s">
        <v>37</v>
      </c>
      <c r="G178" t="s">
        <v>104</v>
      </c>
      <c r="H178" t="s">
        <v>107</v>
      </c>
      <c r="I178">
        <v>82758</v>
      </c>
      <c r="J178" s="3">
        <v>993096</v>
      </c>
      <c r="K178" s="2">
        <v>26481</v>
      </c>
      <c r="L178" t="s">
        <v>30</v>
      </c>
      <c r="M178" t="s">
        <v>29</v>
      </c>
      <c r="N178">
        <v>1890</v>
      </c>
      <c r="O178" t="s">
        <v>33</v>
      </c>
      <c r="P178" t="s">
        <v>32</v>
      </c>
      <c r="Q178" t="s">
        <v>34</v>
      </c>
      <c r="R178" s="2">
        <v>40553</v>
      </c>
      <c r="S178" s="1" t="s">
        <v>192</v>
      </c>
      <c r="T178">
        <v>1</v>
      </c>
      <c r="U178" t="s">
        <v>86</v>
      </c>
      <c r="V178">
        <v>4</v>
      </c>
      <c r="W178" t="s">
        <v>87</v>
      </c>
      <c r="X178">
        <v>0</v>
      </c>
      <c r="Y178" t="s">
        <v>67</v>
      </c>
      <c r="Z178">
        <v>3</v>
      </c>
      <c r="AA178" t="s">
        <v>49</v>
      </c>
      <c r="AB178">
        <v>4.78</v>
      </c>
      <c r="AC178" t="s">
        <v>937</v>
      </c>
      <c r="AD178">
        <v>0</v>
      </c>
      <c r="AE178" s="2">
        <v>42050</v>
      </c>
      <c r="AF178">
        <v>0</v>
      </c>
      <c r="AG178">
        <v>9</v>
      </c>
    </row>
    <row r="179" spans="1:33">
      <c r="A179">
        <v>10092</v>
      </c>
      <c r="B179" t="s">
        <v>1314</v>
      </c>
      <c r="C179" t="s">
        <v>31</v>
      </c>
      <c r="D179" t="s">
        <v>31</v>
      </c>
      <c r="E179" t="s">
        <v>934</v>
      </c>
      <c r="F179" t="s">
        <v>278</v>
      </c>
      <c r="G179" t="s">
        <v>294</v>
      </c>
      <c r="H179" t="s">
        <v>394</v>
      </c>
      <c r="I179">
        <v>82567</v>
      </c>
      <c r="J179" s="3">
        <v>990804</v>
      </c>
      <c r="K179" s="2">
        <v>30591</v>
      </c>
      <c r="L179" t="s">
        <v>51</v>
      </c>
      <c r="M179" t="s">
        <v>210</v>
      </c>
      <c r="N179">
        <v>85455</v>
      </c>
      <c r="O179" t="s">
        <v>73</v>
      </c>
      <c r="P179" t="s">
        <v>32</v>
      </c>
      <c r="Q179" t="s">
        <v>34</v>
      </c>
      <c r="R179" s="2">
        <v>45714</v>
      </c>
      <c r="S179" s="1" t="s">
        <v>35</v>
      </c>
      <c r="T179">
        <v>1</v>
      </c>
      <c r="U179" t="s">
        <v>36</v>
      </c>
      <c r="V179">
        <v>3</v>
      </c>
      <c r="W179" t="s">
        <v>87</v>
      </c>
      <c r="X179">
        <v>1</v>
      </c>
      <c r="Y179" t="s">
        <v>39</v>
      </c>
      <c r="Z179">
        <v>1</v>
      </c>
      <c r="AA179" t="s">
        <v>276</v>
      </c>
      <c r="AB179">
        <v>3.8</v>
      </c>
      <c r="AC179" t="s">
        <v>962</v>
      </c>
      <c r="AD179">
        <v>1</v>
      </c>
      <c r="AE179" s="2">
        <v>45922</v>
      </c>
      <c r="AF179">
        <v>1</v>
      </c>
      <c r="AG179">
        <v>9</v>
      </c>
    </row>
    <row r="180" spans="1:33">
      <c r="A180">
        <v>10093</v>
      </c>
      <c r="B180" t="s">
        <v>1021</v>
      </c>
      <c r="C180" t="s">
        <v>31</v>
      </c>
      <c r="D180" t="s">
        <v>31</v>
      </c>
      <c r="E180" t="s">
        <v>929</v>
      </c>
      <c r="F180" t="s">
        <v>37</v>
      </c>
      <c r="G180" t="s">
        <v>50</v>
      </c>
      <c r="H180" t="s">
        <v>61</v>
      </c>
      <c r="I180">
        <v>72609</v>
      </c>
      <c r="J180" s="3">
        <v>871308</v>
      </c>
      <c r="K180" s="2">
        <v>29860</v>
      </c>
      <c r="L180" t="s">
        <v>30</v>
      </c>
      <c r="M180" t="s">
        <v>29</v>
      </c>
      <c r="N180">
        <v>2143</v>
      </c>
      <c r="O180" t="s">
        <v>73</v>
      </c>
      <c r="P180" t="s">
        <v>32</v>
      </c>
      <c r="Q180" t="s">
        <v>34</v>
      </c>
      <c r="R180" s="2">
        <v>40679</v>
      </c>
      <c r="S180" s="1" t="s">
        <v>153</v>
      </c>
      <c r="T180">
        <v>1</v>
      </c>
      <c r="U180" t="s">
        <v>53</v>
      </c>
      <c r="V180">
        <v>5</v>
      </c>
      <c r="W180" t="s">
        <v>45</v>
      </c>
      <c r="X180">
        <v>0</v>
      </c>
      <c r="Y180" t="s">
        <v>60</v>
      </c>
      <c r="Z180">
        <v>3</v>
      </c>
      <c r="AA180" t="s">
        <v>49</v>
      </c>
      <c r="AB180">
        <v>4.76</v>
      </c>
      <c r="AC180" t="s">
        <v>930</v>
      </c>
      <c r="AD180">
        <v>0</v>
      </c>
      <c r="AE180" s="2">
        <v>41369</v>
      </c>
      <c r="AF180">
        <v>0</v>
      </c>
      <c r="AG180">
        <v>20</v>
      </c>
    </row>
    <row r="181" spans="1:33">
      <c r="A181">
        <v>10093</v>
      </c>
      <c r="B181" t="s">
        <v>1315</v>
      </c>
      <c r="C181" t="s">
        <v>31</v>
      </c>
      <c r="D181" t="s">
        <v>31</v>
      </c>
      <c r="E181" t="s">
        <v>934</v>
      </c>
      <c r="F181" t="s">
        <v>283</v>
      </c>
      <c r="G181" t="s">
        <v>62</v>
      </c>
      <c r="H181" t="s">
        <v>395</v>
      </c>
      <c r="I181">
        <v>95972</v>
      </c>
      <c r="J181" s="3">
        <v>1151664</v>
      </c>
      <c r="K181" s="2">
        <v>37817</v>
      </c>
      <c r="L181" t="s">
        <v>51</v>
      </c>
      <c r="M181" t="s">
        <v>29</v>
      </c>
      <c r="N181">
        <v>45928</v>
      </c>
      <c r="O181" t="s">
        <v>33</v>
      </c>
      <c r="P181" t="s">
        <v>124</v>
      </c>
      <c r="Q181" t="s">
        <v>204</v>
      </c>
      <c r="R181" s="2">
        <v>45800</v>
      </c>
      <c r="S181" s="1" t="s">
        <v>35</v>
      </c>
      <c r="T181">
        <v>0</v>
      </c>
      <c r="U181" t="s">
        <v>36</v>
      </c>
      <c r="V181">
        <v>1</v>
      </c>
      <c r="W181" t="s">
        <v>87</v>
      </c>
      <c r="X181">
        <v>0</v>
      </c>
      <c r="Y181" t="s">
        <v>268</v>
      </c>
      <c r="Z181">
        <v>2</v>
      </c>
      <c r="AA181" t="s">
        <v>95</v>
      </c>
      <c r="AB181">
        <v>3</v>
      </c>
      <c r="AC181" t="s">
        <v>932</v>
      </c>
      <c r="AD181">
        <v>0</v>
      </c>
      <c r="AE181" s="2">
        <v>45779</v>
      </c>
      <c r="AF181">
        <v>1</v>
      </c>
      <c r="AG181">
        <v>8</v>
      </c>
    </row>
    <row r="182" spans="1:33">
      <c r="A182">
        <v>10094</v>
      </c>
      <c r="B182" t="s">
        <v>987</v>
      </c>
      <c r="C182" t="s">
        <v>42</v>
      </c>
      <c r="D182" t="s">
        <v>42</v>
      </c>
      <c r="E182" t="s">
        <v>934</v>
      </c>
      <c r="F182" t="s">
        <v>37</v>
      </c>
      <c r="G182" t="s">
        <v>28</v>
      </c>
      <c r="H182" t="s">
        <v>82</v>
      </c>
      <c r="I182">
        <v>63381</v>
      </c>
      <c r="J182" s="3">
        <v>760572</v>
      </c>
      <c r="K182" s="2">
        <v>28215</v>
      </c>
      <c r="L182" t="s">
        <v>51</v>
      </c>
      <c r="M182" t="s">
        <v>29</v>
      </c>
      <c r="N182">
        <v>2189</v>
      </c>
      <c r="O182" t="s">
        <v>73</v>
      </c>
      <c r="P182" t="s">
        <v>32</v>
      </c>
      <c r="Q182" t="s">
        <v>34</v>
      </c>
      <c r="R182" s="2">
        <v>42009</v>
      </c>
      <c r="S182" s="1" t="s">
        <v>35</v>
      </c>
      <c r="T182">
        <v>0</v>
      </c>
      <c r="U182" t="s">
        <v>36</v>
      </c>
      <c r="V182">
        <v>1</v>
      </c>
      <c r="W182" t="s">
        <v>36</v>
      </c>
      <c r="X182">
        <v>0</v>
      </c>
      <c r="Y182" t="s">
        <v>48</v>
      </c>
      <c r="Z182">
        <v>3</v>
      </c>
      <c r="AA182" t="s">
        <v>49</v>
      </c>
      <c r="AB182">
        <v>4.7300000000000004</v>
      </c>
      <c r="AC182" t="s">
        <v>930</v>
      </c>
      <c r="AD182">
        <v>0</v>
      </c>
      <c r="AE182" s="2">
        <v>43510</v>
      </c>
      <c r="AF182">
        <v>0</v>
      </c>
      <c r="AG182">
        <v>6</v>
      </c>
    </row>
    <row r="183" spans="1:33">
      <c r="A183">
        <v>10094</v>
      </c>
      <c r="B183" t="s">
        <v>1316</v>
      </c>
      <c r="C183" t="s">
        <v>42</v>
      </c>
      <c r="D183" t="s">
        <v>42</v>
      </c>
      <c r="E183" t="s">
        <v>929</v>
      </c>
      <c r="F183" t="s">
        <v>288</v>
      </c>
      <c r="G183" t="s">
        <v>269</v>
      </c>
      <c r="H183" t="s">
        <v>397</v>
      </c>
      <c r="I183">
        <v>114723</v>
      </c>
      <c r="J183" s="3">
        <v>1376676</v>
      </c>
      <c r="K183" s="2">
        <v>29842</v>
      </c>
      <c r="L183" t="s">
        <v>264</v>
      </c>
      <c r="M183" t="s">
        <v>210</v>
      </c>
      <c r="N183">
        <v>82668</v>
      </c>
      <c r="O183" t="s">
        <v>33</v>
      </c>
      <c r="P183" t="s">
        <v>32</v>
      </c>
      <c r="Q183" t="s">
        <v>34</v>
      </c>
      <c r="R183" s="2">
        <v>44179</v>
      </c>
      <c r="S183" s="1" t="s">
        <v>396</v>
      </c>
      <c r="T183">
        <v>1</v>
      </c>
      <c r="U183" t="s">
        <v>273</v>
      </c>
      <c r="V183">
        <v>1</v>
      </c>
      <c r="W183" t="s">
        <v>36</v>
      </c>
      <c r="X183">
        <v>1</v>
      </c>
      <c r="Y183" t="s">
        <v>268</v>
      </c>
      <c r="Z183">
        <v>1</v>
      </c>
      <c r="AA183" t="s">
        <v>49</v>
      </c>
      <c r="AB183">
        <v>2.5</v>
      </c>
      <c r="AC183" t="s">
        <v>1003</v>
      </c>
      <c r="AD183">
        <v>0</v>
      </c>
      <c r="AE183" s="2">
        <v>45660</v>
      </c>
      <c r="AF183">
        <v>3</v>
      </c>
      <c r="AG183">
        <v>0</v>
      </c>
    </row>
    <row r="184" spans="1:33">
      <c r="A184">
        <v>10095</v>
      </c>
      <c r="B184" t="s">
        <v>1172</v>
      </c>
      <c r="C184" t="s">
        <v>31</v>
      </c>
      <c r="D184" t="s">
        <v>31</v>
      </c>
      <c r="E184" t="s">
        <v>934</v>
      </c>
      <c r="F184" t="s">
        <v>37</v>
      </c>
      <c r="G184" t="s">
        <v>50</v>
      </c>
      <c r="H184" t="s">
        <v>38</v>
      </c>
      <c r="I184">
        <v>63878</v>
      </c>
      <c r="J184" s="3">
        <v>766536</v>
      </c>
      <c r="K184" s="2">
        <v>32106</v>
      </c>
      <c r="L184" t="s">
        <v>51</v>
      </c>
      <c r="M184" t="s">
        <v>29</v>
      </c>
      <c r="N184">
        <v>1851</v>
      </c>
      <c r="O184" t="s">
        <v>33</v>
      </c>
      <c r="P184" t="s">
        <v>32</v>
      </c>
      <c r="Q184" t="s">
        <v>34</v>
      </c>
      <c r="R184" s="2">
        <v>40112</v>
      </c>
      <c r="S184" s="1" t="s">
        <v>239</v>
      </c>
      <c r="T184">
        <v>1</v>
      </c>
      <c r="U184" t="s">
        <v>185</v>
      </c>
      <c r="V184">
        <v>5</v>
      </c>
      <c r="W184" t="s">
        <v>45</v>
      </c>
      <c r="X184">
        <v>0</v>
      </c>
      <c r="Y184" t="s">
        <v>94</v>
      </c>
      <c r="Z184">
        <v>3</v>
      </c>
      <c r="AA184" t="s">
        <v>49</v>
      </c>
      <c r="AB184">
        <v>4.68</v>
      </c>
      <c r="AC184" t="s">
        <v>937</v>
      </c>
      <c r="AD184">
        <v>0</v>
      </c>
      <c r="AE184" s="2">
        <v>42096</v>
      </c>
      <c r="AF184">
        <v>0</v>
      </c>
      <c r="AG184">
        <v>20</v>
      </c>
    </row>
    <row r="185" spans="1:33">
      <c r="A185">
        <v>10095</v>
      </c>
      <c r="B185" t="s">
        <v>1317</v>
      </c>
      <c r="C185" t="s">
        <v>31</v>
      </c>
      <c r="D185" t="s">
        <v>56</v>
      </c>
      <c r="E185" t="s">
        <v>934</v>
      </c>
      <c r="F185" t="s">
        <v>271</v>
      </c>
      <c r="G185" t="s">
        <v>269</v>
      </c>
      <c r="H185" t="s">
        <v>399</v>
      </c>
      <c r="I185">
        <v>36768</v>
      </c>
      <c r="J185" s="3">
        <v>441216</v>
      </c>
      <c r="K185" s="2">
        <v>32254</v>
      </c>
      <c r="L185" t="s">
        <v>51</v>
      </c>
      <c r="M185" t="s">
        <v>29</v>
      </c>
      <c r="N185">
        <v>47676</v>
      </c>
      <c r="O185" t="s">
        <v>33</v>
      </c>
      <c r="P185" t="s">
        <v>32</v>
      </c>
      <c r="Q185" t="s">
        <v>160</v>
      </c>
      <c r="R185" s="2">
        <v>43196</v>
      </c>
      <c r="S185" s="1" t="s">
        <v>398</v>
      </c>
      <c r="T185">
        <v>1</v>
      </c>
      <c r="U185" t="s">
        <v>266</v>
      </c>
      <c r="V185">
        <v>2</v>
      </c>
      <c r="W185" t="s">
        <v>45</v>
      </c>
      <c r="X185">
        <v>0</v>
      </c>
      <c r="Y185" t="s">
        <v>48</v>
      </c>
      <c r="Z185">
        <v>1</v>
      </c>
      <c r="AA185" t="s">
        <v>95</v>
      </c>
      <c r="AB185">
        <v>3.9</v>
      </c>
      <c r="AC185" t="s">
        <v>937</v>
      </c>
      <c r="AD185">
        <v>0</v>
      </c>
      <c r="AE185" s="2">
        <v>45890</v>
      </c>
      <c r="AF185">
        <v>2</v>
      </c>
      <c r="AG185">
        <v>1</v>
      </c>
    </row>
    <row r="186" spans="1:33">
      <c r="A186">
        <v>10096</v>
      </c>
      <c r="B186" t="s">
        <v>1094</v>
      </c>
      <c r="C186" t="s">
        <v>31</v>
      </c>
      <c r="D186" t="s">
        <v>65</v>
      </c>
      <c r="E186" t="s">
        <v>934</v>
      </c>
      <c r="F186" t="s">
        <v>37</v>
      </c>
      <c r="G186" t="s">
        <v>50</v>
      </c>
      <c r="H186" t="s">
        <v>38</v>
      </c>
      <c r="I186">
        <v>67237</v>
      </c>
      <c r="J186" s="3">
        <v>806844</v>
      </c>
      <c r="K186" s="2">
        <v>28120</v>
      </c>
      <c r="L186" t="s">
        <v>51</v>
      </c>
      <c r="M186" t="s">
        <v>29</v>
      </c>
      <c r="N186">
        <v>2122</v>
      </c>
      <c r="O186" t="s">
        <v>33</v>
      </c>
      <c r="P186" t="s">
        <v>32</v>
      </c>
      <c r="Q186" t="s">
        <v>34</v>
      </c>
      <c r="R186" s="2">
        <v>41463</v>
      </c>
      <c r="S186" s="1" t="s">
        <v>198</v>
      </c>
      <c r="T186">
        <v>1</v>
      </c>
      <c r="U186" t="s">
        <v>138</v>
      </c>
      <c r="V186">
        <v>5</v>
      </c>
      <c r="W186" t="s">
        <v>45</v>
      </c>
      <c r="X186">
        <v>0</v>
      </c>
      <c r="Y186" t="s">
        <v>39</v>
      </c>
      <c r="Z186">
        <v>3</v>
      </c>
      <c r="AA186" t="s">
        <v>49</v>
      </c>
      <c r="AB186">
        <v>4.6500000000000004</v>
      </c>
      <c r="AC186" t="s">
        <v>937</v>
      </c>
      <c r="AD186">
        <v>0</v>
      </c>
      <c r="AE186" s="2">
        <v>42531</v>
      </c>
      <c r="AF186">
        <v>0</v>
      </c>
      <c r="AG186">
        <v>15</v>
      </c>
    </row>
    <row r="187" spans="1:33">
      <c r="A187">
        <v>10096</v>
      </c>
      <c r="B187" t="s">
        <v>1318</v>
      </c>
      <c r="C187" t="s">
        <v>42</v>
      </c>
      <c r="D187" t="s">
        <v>31</v>
      </c>
      <c r="E187" t="s">
        <v>934</v>
      </c>
      <c r="F187" t="s">
        <v>271</v>
      </c>
      <c r="G187" t="s">
        <v>277</v>
      </c>
      <c r="H187" t="s">
        <v>401</v>
      </c>
      <c r="I187">
        <v>61006</v>
      </c>
      <c r="J187" s="3">
        <v>732072</v>
      </c>
      <c r="K187" s="2">
        <v>34670</v>
      </c>
      <c r="L187" t="s">
        <v>264</v>
      </c>
      <c r="M187" t="s">
        <v>144</v>
      </c>
      <c r="N187">
        <v>42921</v>
      </c>
      <c r="O187" t="s">
        <v>33</v>
      </c>
      <c r="P187" t="s">
        <v>124</v>
      </c>
      <c r="Q187" t="s">
        <v>204</v>
      </c>
      <c r="R187" s="2">
        <v>43160</v>
      </c>
      <c r="S187" s="1" t="s">
        <v>400</v>
      </c>
      <c r="T187">
        <v>0</v>
      </c>
      <c r="U187" t="s">
        <v>36</v>
      </c>
      <c r="V187">
        <v>3</v>
      </c>
      <c r="W187" t="s">
        <v>36</v>
      </c>
      <c r="X187">
        <v>1</v>
      </c>
      <c r="Y187" t="s">
        <v>268</v>
      </c>
      <c r="Z187">
        <v>2</v>
      </c>
      <c r="AA187" t="s">
        <v>49</v>
      </c>
      <c r="AB187">
        <v>3</v>
      </c>
      <c r="AC187" t="s">
        <v>937</v>
      </c>
      <c r="AD187">
        <v>5</v>
      </c>
      <c r="AE187" s="2">
        <v>45938</v>
      </c>
      <c r="AF187">
        <v>2</v>
      </c>
      <c r="AG187">
        <v>1</v>
      </c>
    </row>
    <row r="188" spans="1:33">
      <c r="A188">
        <v>10097</v>
      </c>
      <c r="B188" t="s">
        <v>1051</v>
      </c>
      <c r="C188" t="s">
        <v>31</v>
      </c>
      <c r="D188" t="s">
        <v>31</v>
      </c>
      <c r="E188" t="s">
        <v>934</v>
      </c>
      <c r="F188" t="s">
        <v>37</v>
      </c>
      <c r="G188" t="s">
        <v>28</v>
      </c>
      <c r="H188" t="s">
        <v>59</v>
      </c>
      <c r="I188">
        <v>52177</v>
      </c>
      <c r="J188" s="3">
        <v>626124</v>
      </c>
      <c r="K188" s="2">
        <v>19224</v>
      </c>
      <c r="L188" t="s">
        <v>51</v>
      </c>
      <c r="M188" t="s">
        <v>29</v>
      </c>
      <c r="N188">
        <v>2324</v>
      </c>
      <c r="O188" t="s">
        <v>33</v>
      </c>
      <c r="P188" t="s">
        <v>32</v>
      </c>
      <c r="Q188" t="s">
        <v>34</v>
      </c>
      <c r="R188" s="2">
        <v>40917</v>
      </c>
      <c r="S188" s="1" t="s">
        <v>172</v>
      </c>
      <c r="T188">
        <v>1</v>
      </c>
      <c r="U188" t="s">
        <v>106</v>
      </c>
      <c r="V188">
        <v>5</v>
      </c>
      <c r="W188" t="s">
        <v>45</v>
      </c>
      <c r="X188">
        <v>0</v>
      </c>
      <c r="Y188" t="s">
        <v>94</v>
      </c>
      <c r="Z188">
        <v>3</v>
      </c>
      <c r="AA188" t="s">
        <v>49</v>
      </c>
      <c r="AB188">
        <v>4.6399999999999997</v>
      </c>
      <c r="AC188" t="s">
        <v>937</v>
      </c>
      <c r="AD188">
        <v>0</v>
      </c>
      <c r="AE188" s="2">
        <v>42126</v>
      </c>
      <c r="AF188">
        <v>0</v>
      </c>
      <c r="AG188">
        <v>8</v>
      </c>
    </row>
    <row r="189" spans="1:33">
      <c r="A189">
        <v>10097</v>
      </c>
      <c r="B189" t="s">
        <v>1319</v>
      </c>
      <c r="C189" t="s">
        <v>31</v>
      </c>
      <c r="D189" t="s">
        <v>56</v>
      </c>
      <c r="E189" t="s">
        <v>934</v>
      </c>
      <c r="F189" t="s">
        <v>274</v>
      </c>
      <c r="G189" t="s">
        <v>277</v>
      </c>
      <c r="H189" t="s">
        <v>402</v>
      </c>
      <c r="I189">
        <v>115094</v>
      </c>
      <c r="J189" s="3">
        <v>1381128</v>
      </c>
      <c r="K189" s="2">
        <v>35118</v>
      </c>
      <c r="L189" t="s">
        <v>51</v>
      </c>
      <c r="M189" t="s">
        <v>191</v>
      </c>
      <c r="N189">
        <v>64552</v>
      </c>
      <c r="O189" t="s">
        <v>73</v>
      </c>
      <c r="P189" t="s">
        <v>32</v>
      </c>
      <c r="Q189" t="s">
        <v>160</v>
      </c>
      <c r="R189" s="2">
        <v>42592</v>
      </c>
      <c r="S189" s="1" t="s">
        <v>35</v>
      </c>
      <c r="T189">
        <v>0</v>
      </c>
      <c r="U189" t="s">
        <v>36</v>
      </c>
      <c r="V189">
        <v>1</v>
      </c>
      <c r="W189" t="s">
        <v>36</v>
      </c>
      <c r="X189">
        <v>0</v>
      </c>
      <c r="Y189" t="s">
        <v>268</v>
      </c>
      <c r="Z189">
        <v>3</v>
      </c>
      <c r="AA189" t="s">
        <v>136</v>
      </c>
      <c r="AB189">
        <v>4.9000000000000004</v>
      </c>
      <c r="AC189" t="s">
        <v>962</v>
      </c>
      <c r="AD189">
        <v>2</v>
      </c>
      <c r="AE189" s="2">
        <v>45625</v>
      </c>
      <c r="AF189">
        <v>5</v>
      </c>
      <c r="AG189">
        <v>0</v>
      </c>
    </row>
    <row r="190" spans="1:33">
      <c r="A190">
        <v>10098</v>
      </c>
      <c r="B190" t="s">
        <v>55</v>
      </c>
      <c r="C190" t="s">
        <v>31</v>
      </c>
      <c r="D190" t="s">
        <v>56</v>
      </c>
      <c r="E190" t="s">
        <v>929</v>
      </c>
      <c r="F190" t="s">
        <v>37</v>
      </c>
      <c r="G190" t="s">
        <v>104</v>
      </c>
      <c r="H190" t="s">
        <v>107</v>
      </c>
      <c r="I190">
        <v>62957</v>
      </c>
      <c r="J190" s="3">
        <v>755484</v>
      </c>
      <c r="K190" s="2">
        <v>29778</v>
      </c>
      <c r="L190" t="s">
        <v>30</v>
      </c>
      <c r="M190" t="s">
        <v>29</v>
      </c>
      <c r="N190">
        <v>1752</v>
      </c>
      <c r="O190" t="s">
        <v>33</v>
      </c>
      <c r="P190" t="s">
        <v>32</v>
      </c>
      <c r="Q190" t="s">
        <v>34</v>
      </c>
      <c r="R190" s="2">
        <v>42157</v>
      </c>
      <c r="S190" s="1" t="s">
        <v>35</v>
      </c>
      <c r="T190">
        <v>0</v>
      </c>
      <c r="U190" t="s">
        <v>36</v>
      </c>
      <c r="V190">
        <v>1</v>
      </c>
      <c r="W190" t="s">
        <v>36</v>
      </c>
      <c r="X190">
        <v>0</v>
      </c>
      <c r="Y190" t="s">
        <v>67</v>
      </c>
      <c r="Z190">
        <v>3</v>
      </c>
      <c r="AA190" t="s">
        <v>49</v>
      </c>
      <c r="AB190">
        <v>4.63</v>
      </c>
      <c r="AC190" t="s">
        <v>932</v>
      </c>
      <c r="AD190">
        <v>0</v>
      </c>
      <c r="AE190" s="2">
        <v>43469</v>
      </c>
      <c r="AF190">
        <v>0</v>
      </c>
      <c r="AG190">
        <v>2</v>
      </c>
    </row>
    <row r="191" spans="1:33">
      <c r="A191">
        <v>10098</v>
      </c>
      <c r="B191" t="s">
        <v>1320</v>
      </c>
      <c r="C191" t="s">
        <v>42</v>
      </c>
      <c r="D191" t="s">
        <v>42</v>
      </c>
      <c r="E191" t="s">
        <v>929</v>
      </c>
      <c r="F191" t="s">
        <v>113</v>
      </c>
      <c r="G191" t="s">
        <v>28</v>
      </c>
      <c r="H191" t="s">
        <v>403</v>
      </c>
      <c r="I191">
        <v>90083</v>
      </c>
      <c r="J191" s="3">
        <v>1080996</v>
      </c>
      <c r="K191" s="2">
        <v>26162</v>
      </c>
      <c r="L191" t="s">
        <v>264</v>
      </c>
      <c r="M191" t="s">
        <v>210</v>
      </c>
      <c r="N191">
        <v>93382</v>
      </c>
      <c r="O191" t="s">
        <v>33</v>
      </c>
      <c r="P191" t="s">
        <v>124</v>
      </c>
      <c r="Q191" t="s">
        <v>204</v>
      </c>
      <c r="R191" s="2">
        <v>42666</v>
      </c>
      <c r="S191" s="1" t="s">
        <v>35</v>
      </c>
      <c r="T191">
        <v>1</v>
      </c>
      <c r="U191" t="s">
        <v>36</v>
      </c>
      <c r="V191">
        <v>3</v>
      </c>
      <c r="W191" t="s">
        <v>45</v>
      </c>
      <c r="X191">
        <v>1</v>
      </c>
      <c r="Y191" t="s">
        <v>142</v>
      </c>
      <c r="Z191">
        <v>1</v>
      </c>
      <c r="AA191" t="s">
        <v>49</v>
      </c>
      <c r="AB191">
        <v>2.8</v>
      </c>
      <c r="AC191" t="s">
        <v>937</v>
      </c>
      <c r="AD191">
        <v>2</v>
      </c>
      <c r="AE191" s="2">
        <v>45855</v>
      </c>
      <c r="AF191">
        <v>1</v>
      </c>
      <c r="AG191">
        <v>10</v>
      </c>
    </row>
    <row r="192" spans="1:33">
      <c r="A192">
        <v>10099</v>
      </c>
      <c r="B192" t="s">
        <v>121</v>
      </c>
      <c r="C192" t="s">
        <v>31</v>
      </c>
      <c r="D192" t="s">
        <v>31</v>
      </c>
      <c r="E192" t="s">
        <v>934</v>
      </c>
      <c r="F192" t="s">
        <v>113</v>
      </c>
      <c r="G192" t="s">
        <v>132</v>
      </c>
      <c r="H192" t="s">
        <v>133</v>
      </c>
      <c r="I192">
        <v>65729</v>
      </c>
      <c r="J192" s="3">
        <v>788748</v>
      </c>
      <c r="K192" s="2">
        <v>32982</v>
      </c>
      <c r="L192" t="s">
        <v>51</v>
      </c>
      <c r="M192" t="s">
        <v>118</v>
      </c>
      <c r="N192">
        <v>5473</v>
      </c>
      <c r="O192" t="s">
        <v>33</v>
      </c>
      <c r="P192" t="s">
        <v>32</v>
      </c>
      <c r="Q192" t="s">
        <v>34</v>
      </c>
      <c r="R192" s="2">
        <v>41764</v>
      </c>
      <c r="S192" s="1" t="s">
        <v>35</v>
      </c>
      <c r="T192">
        <v>0</v>
      </c>
      <c r="U192" t="s">
        <v>36</v>
      </c>
      <c r="V192">
        <v>1</v>
      </c>
      <c r="W192" t="s">
        <v>36</v>
      </c>
      <c r="X192">
        <v>0</v>
      </c>
      <c r="Y192" t="s">
        <v>48</v>
      </c>
      <c r="Z192">
        <v>3</v>
      </c>
      <c r="AA192" t="s">
        <v>49</v>
      </c>
      <c r="AB192">
        <v>4.62</v>
      </c>
      <c r="AC192" t="s">
        <v>937</v>
      </c>
      <c r="AD192">
        <v>0</v>
      </c>
      <c r="AE192" s="2">
        <v>43489</v>
      </c>
      <c r="AF192">
        <v>0</v>
      </c>
      <c r="AG192">
        <v>8</v>
      </c>
    </row>
    <row r="193" spans="1:33">
      <c r="A193">
        <v>10099</v>
      </c>
      <c r="B193" t="s">
        <v>1321</v>
      </c>
      <c r="C193" t="s">
        <v>31</v>
      </c>
      <c r="D193" t="s">
        <v>42</v>
      </c>
      <c r="E193" t="s">
        <v>929</v>
      </c>
      <c r="F193" t="s">
        <v>274</v>
      </c>
      <c r="G193" t="s">
        <v>294</v>
      </c>
      <c r="H193" t="s">
        <v>404</v>
      </c>
      <c r="I193">
        <v>105586</v>
      </c>
      <c r="J193" s="3">
        <v>1267032</v>
      </c>
      <c r="K193" s="2">
        <v>29175</v>
      </c>
      <c r="L193" t="s">
        <v>264</v>
      </c>
      <c r="M193" t="s">
        <v>191</v>
      </c>
      <c r="N193">
        <v>21838</v>
      </c>
      <c r="O193" t="s">
        <v>33</v>
      </c>
      <c r="P193" t="s">
        <v>32</v>
      </c>
      <c r="Q193" t="s">
        <v>270</v>
      </c>
      <c r="R193" s="2">
        <v>45354</v>
      </c>
      <c r="S193" s="1" t="s">
        <v>35</v>
      </c>
      <c r="T193">
        <v>1</v>
      </c>
      <c r="U193" t="s">
        <v>290</v>
      </c>
      <c r="V193">
        <v>1</v>
      </c>
      <c r="W193" t="s">
        <v>87</v>
      </c>
      <c r="X193">
        <v>1</v>
      </c>
      <c r="Y193" t="s">
        <v>142</v>
      </c>
      <c r="Z193">
        <v>2</v>
      </c>
      <c r="AA193" t="s">
        <v>276</v>
      </c>
      <c r="AB193">
        <v>4.7</v>
      </c>
      <c r="AC193" t="s">
        <v>937</v>
      </c>
      <c r="AD193">
        <v>5</v>
      </c>
      <c r="AE193" s="2">
        <v>45792</v>
      </c>
      <c r="AF193">
        <v>0</v>
      </c>
      <c r="AG193">
        <v>10</v>
      </c>
    </row>
    <row r="194" spans="1:33">
      <c r="A194">
        <v>10100</v>
      </c>
      <c r="B194" t="s">
        <v>998</v>
      </c>
      <c r="C194" t="s">
        <v>31</v>
      </c>
      <c r="D194" t="s">
        <v>964</v>
      </c>
      <c r="E194" t="s">
        <v>934</v>
      </c>
      <c r="F194" t="s">
        <v>37</v>
      </c>
      <c r="G194" t="s">
        <v>50</v>
      </c>
      <c r="H194" t="s">
        <v>82</v>
      </c>
      <c r="I194">
        <v>58275</v>
      </c>
      <c r="J194" s="3">
        <v>699300</v>
      </c>
      <c r="K194" s="2">
        <v>18684</v>
      </c>
      <c r="L194" t="s">
        <v>51</v>
      </c>
      <c r="M194" t="s">
        <v>29</v>
      </c>
      <c r="N194">
        <v>2343</v>
      </c>
      <c r="O194" t="s">
        <v>33</v>
      </c>
      <c r="P194" t="s">
        <v>32</v>
      </c>
      <c r="Q194" t="s">
        <v>68</v>
      </c>
      <c r="R194" s="2">
        <v>40637</v>
      </c>
      <c r="S194" s="1" t="s">
        <v>137</v>
      </c>
      <c r="T194">
        <v>1</v>
      </c>
      <c r="U194" t="s">
        <v>138</v>
      </c>
      <c r="V194">
        <v>5</v>
      </c>
      <c r="W194" t="s">
        <v>45</v>
      </c>
      <c r="X194">
        <v>0</v>
      </c>
      <c r="Y194" t="s">
        <v>60</v>
      </c>
      <c r="Z194">
        <v>3</v>
      </c>
      <c r="AA194" t="s">
        <v>49</v>
      </c>
      <c r="AB194">
        <v>4.62</v>
      </c>
      <c r="AC194" t="s">
        <v>930</v>
      </c>
      <c r="AD194">
        <v>0</v>
      </c>
      <c r="AE194" s="2">
        <v>42130</v>
      </c>
      <c r="AF194">
        <v>0</v>
      </c>
      <c r="AG194">
        <v>1</v>
      </c>
    </row>
    <row r="195" spans="1:33">
      <c r="A195">
        <v>10100</v>
      </c>
      <c r="B195" t="s">
        <v>1322</v>
      </c>
      <c r="C195" t="s">
        <v>31</v>
      </c>
      <c r="D195" t="s">
        <v>56</v>
      </c>
      <c r="E195" t="s">
        <v>934</v>
      </c>
      <c r="F195" t="s">
        <v>283</v>
      </c>
      <c r="G195" t="s">
        <v>28</v>
      </c>
      <c r="H195" t="s">
        <v>405</v>
      </c>
      <c r="I195">
        <v>75305</v>
      </c>
      <c r="J195" s="3">
        <v>903660</v>
      </c>
      <c r="K195" s="2">
        <v>33754</v>
      </c>
      <c r="L195" t="s">
        <v>51</v>
      </c>
      <c r="M195" t="s">
        <v>80</v>
      </c>
      <c r="N195">
        <v>87079</v>
      </c>
      <c r="O195" t="s">
        <v>73</v>
      </c>
      <c r="P195" t="s">
        <v>32</v>
      </c>
      <c r="Q195" t="s">
        <v>204</v>
      </c>
      <c r="R195" s="2">
        <v>44631</v>
      </c>
      <c r="S195" s="1" t="s">
        <v>35</v>
      </c>
      <c r="T195">
        <v>0</v>
      </c>
      <c r="U195" t="s">
        <v>36</v>
      </c>
      <c r="V195">
        <v>2</v>
      </c>
      <c r="W195" t="s">
        <v>36</v>
      </c>
      <c r="X195">
        <v>1</v>
      </c>
      <c r="Y195" t="s">
        <v>48</v>
      </c>
      <c r="Z195">
        <v>2</v>
      </c>
      <c r="AA195" t="s">
        <v>49</v>
      </c>
      <c r="AB195">
        <v>2.7</v>
      </c>
      <c r="AC195" t="s">
        <v>962</v>
      </c>
      <c r="AD195">
        <v>1</v>
      </c>
      <c r="AE195" s="2">
        <v>45886</v>
      </c>
      <c r="AF195">
        <v>4</v>
      </c>
      <c r="AG195">
        <v>10</v>
      </c>
    </row>
    <row r="196" spans="1:33">
      <c r="A196">
        <v>10101</v>
      </c>
      <c r="B196" t="s">
        <v>1041</v>
      </c>
      <c r="C196" t="s">
        <v>31</v>
      </c>
      <c r="D196" t="s">
        <v>964</v>
      </c>
      <c r="E196" t="s">
        <v>934</v>
      </c>
      <c r="F196" t="s">
        <v>46</v>
      </c>
      <c r="G196" t="s">
        <v>71</v>
      </c>
      <c r="H196" t="s">
        <v>72</v>
      </c>
      <c r="I196">
        <v>61242</v>
      </c>
      <c r="J196" s="3">
        <v>734904</v>
      </c>
      <c r="K196" s="2">
        <v>29692</v>
      </c>
      <c r="L196" t="s">
        <v>51</v>
      </c>
      <c r="M196" t="s">
        <v>29</v>
      </c>
      <c r="N196">
        <v>2472</v>
      </c>
      <c r="O196" t="s">
        <v>73</v>
      </c>
      <c r="P196" t="s">
        <v>32</v>
      </c>
      <c r="Q196" t="s">
        <v>34</v>
      </c>
      <c r="R196" s="2">
        <v>42009</v>
      </c>
      <c r="S196" s="1" t="s">
        <v>35</v>
      </c>
      <c r="T196">
        <v>0</v>
      </c>
      <c r="U196" t="s">
        <v>36</v>
      </c>
      <c r="V196">
        <v>1</v>
      </c>
      <c r="W196" t="s">
        <v>36</v>
      </c>
      <c r="X196">
        <v>0</v>
      </c>
      <c r="Y196" t="s">
        <v>67</v>
      </c>
      <c r="Z196">
        <v>3</v>
      </c>
      <c r="AA196" t="s">
        <v>49</v>
      </c>
      <c r="AB196">
        <v>4.6100000000000003</v>
      </c>
      <c r="AC196" t="s">
        <v>937</v>
      </c>
      <c r="AD196">
        <v>5</v>
      </c>
      <c r="AE196" s="2">
        <v>43493</v>
      </c>
      <c r="AF196">
        <v>0</v>
      </c>
      <c r="AG196">
        <v>11</v>
      </c>
    </row>
    <row r="197" spans="1:33">
      <c r="A197">
        <v>10101</v>
      </c>
      <c r="B197" t="s">
        <v>1323</v>
      </c>
      <c r="C197" t="s">
        <v>31</v>
      </c>
      <c r="D197" t="s">
        <v>42</v>
      </c>
      <c r="E197" t="s">
        <v>934</v>
      </c>
      <c r="F197" t="s">
        <v>288</v>
      </c>
      <c r="G197" t="s">
        <v>294</v>
      </c>
      <c r="H197" t="s">
        <v>407</v>
      </c>
      <c r="I197">
        <v>83910</v>
      </c>
      <c r="J197" s="3">
        <v>1006920</v>
      </c>
      <c r="K197" s="2">
        <v>31918</v>
      </c>
      <c r="L197" t="s">
        <v>264</v>
      </c>
      <c r="M197" t="s">
        <v>144</v>
      </c>
      <c r="N197">
        <v>37762</v>
      </c>
      <c r="O197" t="s">
        <v>73</v>
      </c>
      <c r="P197" t="s">
        <v>32</v>
      </c>
      <c r="Q197" t="s">
        <v>160</v>
      </c>
      <c r="R197" s="2">
        <v>43374</v>
      </c>
      <c r="S197" s="1" t="s">
        <v>406</v>
      </c>
      <c r="T197">
        <v>0</v>
      </c>
      <c r="U197" t="s">
        <v>36</v>
      </c>
      <c r="V197">
        <v>3</v>
      </c>
      <c r="W197" t="s">
        <v>45</v>
      </c>
      <c r="X197">
        <v>0</v>
      </c>
      <c r="Y197" t="s">
        <v>268</v>
      </c>
      <c r="Z197">
        <v>4</v>
      </c>
      <c r="AA197" t="s">
        <v>276</v>
      </c>
      <c r="AB197">
        <v>5</v>
      </c>
      <c r="AC197" t="s">
        <v>1003</v>
      </c>
      <c r="AD197">
        <v>1</v>
      </c>
      <c r="AE197" s="2">
        <v>45798</v>
      </c>
      <c r="AF197">
        <v>1</v>
      </c>
      <c r="AG197">
        <v>0</v>
      </c>
    </row>
    <row r="198" spans="1:33">
      <c r="A198">
        <v>10102</v>
      </c>
      <c r="B198" t="s">
        <v>1198</v>
      </c>
      <c r="C198" t="s">
        <v>31</v>
      </c>
      <c r="D198" t="s">
        <v>31</v>
      </c>
      <c r="E198" t="s">
        <v>929</v>
      </c>
      <c r="F198" t="s">
        <v>63</v>
      </c>
      <c r="G198" t="s">
        <v>62</v>
      </c>
      <c r="H198" t="s">
        <v>64</v>
      </c>
      <c r="I198">
        <v>100416</v>
      </c>
      <c r="J198" s="3">
        <v>1204992</v>
      </c>
      <c r="K198" s="2">
        <v>30481</v>
      </c>
      <c r="L198" t="s">
        <v>30</v>
      </c>
      <c r="M198" t="s">
        <v>29</v>
      </c>
      <c r="N198">
        <v>2451</v>
      </c>
      <c r="O198" t="s">
        <v>33</v>
      </c>
      <c r="P198" t="s">
        <v>124</v>
      </c>
      <c r="Q198" t="s">
        <v>68</v>
      </c>
      <c r="R198" s="2">
        <v>41323</v>
      </c>
      <c r="S198" s="1" t="s">
        <v>249</v>
      </c>
      <c r="T198">
        <v>1</v>
      </c>
      <c r="U198" t="s">
        <v>218</v>
      </c>
      <c r="V198">
        <v>5</v>
      </c>
      <c r="W198" t="s">
        <v>45</v>
      </c>
      <c r="X198">
        <v>1</v>
      </c>
      <c r="Y198" t="s">
        <v>70</v>
      </c>
      <c r="Z198">
        <v>3</v>
      </c>
      <c r="AA198" t="s">
        <v>49</v>
      </c>
      <c r="AB198">
        <v>4.5999999999999996</v>
      </c>
      <c r="AC198" t="s">
        <v>932</v>
      </c>
      <c r="AD198">
        <v>4</v>
      </c>
      <c r="AE198" s="2">
        <v>42778</v>
      </c>
      <c r="AF198">
        <v>0</v>
      </c>
      <c r="AG198">
        <v>9</v>
      </c>
    </row>
    <row r="199" spans="1:33">
      <c r="A199">
        <v>10102</v>
      </c>
      <c r="B199" t="s">
        <v>1324</v>
      </c>
      <c r="C199" t="s">
        <v>42</v>
      </c>
      <c r="D199" t="s">
        <v>42</v>
      </c>
      <c r="E199" t="s">
        <v>934</v>
      </c>
      <c r="F199" t="s">
        <v>271</v>
      </c>
      <c r="G199" t="s">
        <v>269</v>
      </c>
      <c r="H199" t="s">
        <v>408</v>
      </c>
      <c r="I199">
        <v>68347</v>
      </c>
      <c r="J199" s="3">
        <v>820164</v>
      </c>
      <c r="K199" s="2">
        <v>24365</v>
      </c>
      <c r="L199" t="s">
        <v>264</v>
      </c>
      <c r="M199" t="s">
        <v>29</v>
      </c>
      <c r="N199">
        <v>11153</v>
      </c>
      <c r="O199" t="s">
        <v>73</v>
      </c>
      <c r="P199" t="s">
        <v>32</v>
      </c>
      <c r="Q199" t="s">
        <v>160</v>
      </c>
      <c r="R199" s="2">
        <v>45951</v>
      </c>
      <c r="S199" s="1" t="s">
        <v>35</v>
      </c>
      <c r="T199">
        <v>1</v>
      </c>
      <c r="U199" t="s">
        <v>290</v>
      </c>
      <c r="V199">
        <v>1</v>
      </c>
      <c r="W199" t="s">
        <v>36</v>
      </c>
      <c r="X199">
        <v>0</v>
      </c>
      <c r="Y199" t="s">
        <v>142</v>
      </c>
      <c r="Z199">
        <v>2</v>
      </c>
      <c r="AA199" t="s">
        <v>95</v>
      </c>
      <c r="AB199">
        <v>3.2</v>
      </c>
      <c r="AC199" t="s">
        <v>932</v>
      </c>
      <c r="AD199">
        <v>3</v>
      </c>
      <c r="AE199" s="2">
        <v>45872</v>
      </c>
      <c r="AF199">
        <v>1</v>
      </c>
      <c r="AG199">
        <v>1</v>
      </c>
    </row>
    <row r="200" spans="1:33">
      <c r="A200">
        <v>10103</v>
      </c>
      <c r="B200" t="s">
        <v>1090</v>
      </c>
      <c r="C200" t="s">
        <v>31</v>
      </c>
      <c r="D200" t="s">
        <v>964</v>
      </c>
      <c r="E200" t="s">
        <v>929</v>
      </c>
      <c r="F200" t="s">
        <v>113</v>
      </c>
      <c r="G200" t="s">
        <v>110</v>
      </c>
      <c r="H200" t="s">
        <v>114</v>
      </c>
      <c r="I200">
        <v>70468</v>
      </c>
      <c r="J200" s="3">
        <v>845616</v>
      </c>
      <c r="K200" s="2">
        <v>32504</v>
      </c>
      <c r="L200" t="s">
        <v>30</v>
      </c>
      <c r="M200" t="s">
        <v>196</v>
      </c>
      <c r="N200">
        <v>84111</v>
      </c>
      <c r="O200" t="s">
        <v>33</v>
      </c>
      <c r="P200" t="s">
        <v>32</v>
      </c>
      <c r="Q200" t="s">
        <v>68</v>
      </c>
      <c r="R200" s="2">
        <v>41029</v>
      </c>
      <c r="S200" s="1" t="s">
        <v>35</v>
      </c>
      <c r="T200">
        <v>0</v>
      </c>
      <c r="U200" t="s">
        <v>36</v>
      </c>
      <c r="V200">
        <v>1</v>
      </c>
      <c r="W200" t="s">
        <v>36</v>
      </c>
      <c r="X200">
        <v>0</v>
      </c>
      <c r="Y200" t="s">
        <v>142</v>
      </c>
      <c r="Z200">
        <v>3</v>
      </c>
      <c r="AA200" t="s">
        <v>49</v>
      </c>
      <c r="AB200">
        <v>4.53</v>
      </c>
      <c r="AC200" t="s">
        <v>932</v>
      </c>
      <c r="AD200">
        <v>0</v>
      </c>
      <c r="AE200" s="2">
        <v>43494</v>
      </c>
      <c r="AF200">
        <v>0</v>
      </c>
      <c r="AG200">
        <v>16</v>
      </c>
    </row>
    <row r="201" spans="1:33">
      <c r="A201">
        <v>10103</v>
      </c>
      <c r="B201" t="s">
        <v>1325</v>
      </c>
      <c r="C201" t="s">
        <v>42</v>
      </c>
      <c r="D201" t="s">
        <v>31</v>
      </c>
      <c r="E201" t="s">
        <v>929</v>
      </c>
      <c r="F201" t="s">
        <v>283</v>
      </c>
      <c r="G201" t="s">
        <v>62</v>
      </c>
      <c r="H201" t="s">
        <v>409</v>
      </c>
      <c r="I201">
        <v>117105</v>
      </c>
      <c r="J201" s="3">
        <v>1405260</v>
      </c>
      <c r="K201" s="2">
        <v>31812</v>
      </c>
      <c r="L201" t="s">
        <v>51</v>
      </c>
      <c r="M201" t="s">
        <v>80</v>
      </c>
      <c r="N201">
        <v>72576</v>
      </c>
      <c r="O201" t="s">
        <v>73</v>
      </c>
      <c r="P201" t="s">
        <v>32</v>
      </c>
      <c r="Q201" t="s">
        <v>92</v>
      </c>
      <c r="R201" s="2">
        <v>45369</v>
      </c>
      <c r="S201" s="1" t="s">
        <v>35</v>
      </c>
      <c r="T201">
        <v>0</v>
      </c>
      <c r="U201" t="s">
        <v>36</v>
      </c>
      <c r="V201">
        <v>2</v>
      </c>
      <c r="W201" t="s">
        <v>45</v>
      </c>
      <c r="X201">
        <v>0</v>
      </c>
      <c r="Y201" t="s">
        <v>280</v>
      </c>
      <c r="Z201">
        <v>3</v>
      </c>
      <c r="AA201" t="s">
        <v>49</v>
      </c>
      <c r="AB201">
        <v>4.7</v>
      </c>
      <c r="AC201" t="s">
        <v>1003</v>
      </c>
      <c r="AD201">
        <v>4</v>
      </c>
      <c r="AE201" s="2">
        <v>45887</v>
      </c>
      <c r="AF201">
        <v>3</v>
      </c>
      <c r="AG201">
        <v>10</v>
      </c>
    </row>
    <row r="202" spans="1:33">
      <c r="A202">
        <v>10104</v>
      </c>
      <c r="B202" t="s">
        <v>1123</v>
      </c>
      <c r="C202" t="s">
        <v>31</v>
      </c>
      <c r="D202" t="s">
        <v>31</v>
      </c>
      <c r="E202" t="s">
        <v>934</v>
      </c>
      <c r="F202" t="s">
        <v>37</v>
      </c>
      <c r="G202" t="s">
        <v>50</v>
      </c>
      <c r="H202" t="s">
        <v>55</v>
      </c>
      <c r="I202">
        <v>66738</v>
      </c>
      <c r="J202" s="3">
        <v>800856</v>
      </c>
      <c r="K202" s="2">
        <v>31374</v>
      </c>
      <c r="L202" t="s">
        <v>51</v>
      </c>
      <c r="M202" t="s">
        <v>29</v>
      </c>
      <c r="N202">
        <v>1040</v>
      </c>
      <c r="O202" t="s">
        <v>33</v>
      </c>
      <c r="P202" t="s">
        <v>32</v>
      </c>
      <c r="Q202" t="s">
        <v>34</v>
      </c>
      <c r="R202" s="2">
        <v>41953</v>
      </c>
      <c r="S202" s="1" t="s">
        <v>35</v>
      </c>
      <c r="T202">
        <v>0</v>
      </c>
      <c r="U202" t="s">
        <v>36</v>
      </c>
      <c r="V202">
        <v>1</v>
      </c>
      <c r="W202" t="s">
        <v>36</v>
      </c>
      <c r="X202">
        <v>0</v>
      </c>
      <c r="Y202" t="s">
        <v>48</v>
      </c>
      <c r="Z202">
        <v>3</v>
      </c>
      <c r="AA202" t="s">
        <v>49</v>
      </c>
      <c r="AB202">
        <v>4.53</v>
      </c>
      <c r="AC202" t="s">
        <v>930</v>
      </c>
      <c r="AD202">
        <v>0</v>
      </c>
      <c r="AE202" s="2">
        <v>43481</v>
      </c>
      <c r="AF202">
        <v>0</v>
      </c>
      <c r="AG202">
        <v>5</v>
      </c>
    </row>
    <row r="203" spans="1:33">
      <c r="A203">
        <v>10104</v>
      </c>
      <c r="B203" t="s">
        <v>1326</v>
      </c>
      <c r="C203" t="s">
        <v>31</v>
      </c>
      <c r="D203" t="s">
        <v>56</v>
      </c>
      <c r="E203" t="s">
        <v>929</v>
      </c>
      <c r="F203" t="s">
        <v>274</v>
      </c>
      <c r="G203" t="s">
        <v>269</v>
      </c>
      <c r="H203" t="s">
        <v>411</v>
      </c>
      <c r="I203">
        <v>43331</v>
      </c>
      <c r="J203" s="3">
        <v>519972</v>
      </c>
      <c r="K203" s="2">
        <v>26622</v>
      </c>
      <c r="L203" t="s">
        <v>264</v>
      </c>
      <c r="M203" t="s">
        <v>191</v>
      </c>
      <c r="N203">
        <v>28055</v>
      </c>
      <c r="O203" t="s">
        <v>33</v>
      </c>
      <c r="P203" t="s">
        <v>124</v>
      </c>
      <c r="Q203" t="s">
        <v>92</v>
      </c>
      <c r="R203" s="2">
        <v>45424</v>
      </c>
      <c r="S203" s="1" t="s">
        <v>410</v>
      </c>
      <c r="T203">
        <v>1</v>
      </c>
      <c r="U203" t="s">
        <v>36</v>
      </c>
      <c r="V203">
        <v>1</v>
      </c>
      <c r="W203" t="s">
        <v>45</v>
      </c>
      <c r="X203">
        <v>0</v>
      </c>
      <c r="Y203" t="s">
        <v>39</v>
      </c>
      <c r="Z203">
        <v>3</v>
      </c>
      <c r="AA203" t="s">
        <v>136</v>
      </c>
      <c r="AB203">
        <v>2.6</v>
      </c>
      <c r="AC203" t="s">
        <v>962</v>
      </c>
      <c r="AD203">
        <v>5</v>
      </c>
      <c r="AE203" s="2">
        <v>45948</v>
      </c>
      <c r="AF203">
        <v>0</v>
      </c>
      <c r="AG203">
        <v>2</v>
      </c>
    </row>
    <row r="204" spans="1:33">
      <c r="A204">
        <v>10105</v>
      </c>
      <c r="B204" t="s">
        <v>61</v>
      </c>
      <c r="C204" t="s">
        <v>31</v>
      </c>
      <c r="D204" t="s">
        <v>31</v>
      </c>
      <c r="E204" t="s">
        <v>934</v>
      </c>
      <c r="F204" t="s">
        <v>37</v>
      </c>
      <c r="G204" t="s">
        <v>104</v>
      </c>
      <c r="H204" t="s">
        <v>107</v>
      </c>
      <c r="I204">
        <v>75188</v>
      </c>
      <c r="J204" s="3">
        <v>902256</v>
      </c>
      <c r="K204" s="2">
        <v>26996</v>
      </c>
      <c r="L204" t="s">
        <v>51</v>
      </c>
      <c r="M204" t="s">
        <v>29</v>
      </c>
      <c r="N204">
        <v>1731</v>
      </c>
      <c r="O204" t="s">
        <v>33</v>
      </c>
      <c r="P204" t="s">
        <v>32</v>
      </c>
      <c r="Q204" t="s">
        <v>34</v>
      </c>
      <c r="R204" s="2">
        <v>41900</v>
      </c>
      <c r="S204" s="1" t="s">
        <v>35</v>
      </c>
      <c r="T204">
        <v>0</v>
      </c>
      <c r="U204" t="s">
        <v>36</v>
      </c>
      <c r="V204">
        <v>1</v>
      </c>
      <c r="W204" t="s">
        <v>36</v>
      </c>
      <c r="X204">
        <v>0</v>
      </c>
      <c r="Y204" t="s">
        <v>60</v>
      </c>
      <c r="Z204">
        <v>3</v>
      </c>
      <c r="AA204" t="s">
        <v>49</v>
      </c>
      <c r="AB204">
        <v>4.5199999999999996</v>
      </c>
      <c r="AC204" t="s">
        <v>937</v>
      </c>
      <c r="AD204">
        <v>0</v>
      </c>
      <c r="AE204" s="2">
        <v>43480</v>
      </c>
      <c r="AF204">
        <v>0</v>
      </c>
      <c r="AG204">
        <v>4</v>
      </c>
    </row>
    <row r="205" spans="1:33">
      <c r="A205">
        <v>10105</v>
      </c>
      <c r="B205" t="s">
        <v>1327</v>
      </c>
      <c r="C205" t="s">
        <v>31</v>
      </c>
      <c r="D205" t="s">
        <v>42</v>
      </c>
      <c r="E205" t="s">
        <v>929</v>
      </c>
      <c r="F205" t="s">
        <v>274</v>
      </c>
      <c r="G205" t="s">
        <v>269</v>
      </c>
      <c r="H205" t="s">
        <v>412</v>
      </c>
      <c r="I205">
        <v>40992</v>
      </c>
      <c r="J205" s="3">
        <v>491904</v>
      </c>
      <c r="K205" s="2">
        <v>26260</v>
      </c>
      <c r="L205" t="s">
        <v>264</v>
      </c>
      <c r="M205" t="s">
        <v>191</v>
      </c>
      <c r="N205">
        <v>36236</v>
      </c>
      <c r="O205" t="s">
        <v>33</v>
      </c>
      <c r="P205" t="s">
        <v>124</v>
      </c>
      <c r="Q205" t="s">
        <v>270</v>
      </c>
      <c r="R205" s="2">
        <v>43685</v>
      </c>
      <c r="S205" s="1" t="s">
        <v>35</v>
      </c>
      <c r="T205">
        <v>1</v>
      </c>
      <c r="U205" t="s">
        <v>298</v>
      </c>
      <c r="V205">
        <v>1</v>
      </c>
      <c r="W205" t="s">
        <v>45</v>
      </c>
      <c r="X205">
        <v>1</v>
      </c>
      <c r="Y205" t="s">
        <v>48</v>
      </c>
      <c r="Z205">
        <v>1</v>
      </c>
      <c r="AA205" t="s">
        <v>136</v>
      </c>
      <c r="AB205">
        <v>2.8</v>
      </c>
      <c r="AC205" t="s">
        <v>1003</v>
      </c>
      <c r="AD205">
        <v>5</v>
      </c>
      <c r="AE205" s="2">
        <v>45969</v>
      </c>
      <c r="AF205">
        <v>2</v>
      </c>
      <c r="AG205">
        <v>5</v>
      </c>
    </row>
    <row r="206" spans="1:33">
      <c r="A206">
        <v>10106</v>
      </c>
      <c r="B206" t="s">
        <v>1082</v>
      </c>
      <c r="C206" t="s">
        <v>31</v>
      </c>
      <c r="D206" t="s">
        <v>56</v>
      </c>
      <c r="E206" t="s">
        <v>934</v>
      </c>
      <c r="F206" t="s">
        <v>37</v>
      </c>
      <c r="G206" t="s">
        <v>50</v>
      </c>
      <c r="H206" t="s">
        <v>76</v>
      </c>
      <c r="I206">
        <v>66074</v>
      </c>
      <c r="J206" s="3">
        <v>792888</v>
      </c>
      <c r="K206" s="2">
        <v>29061</v>
      </c>
      <c r="L206" t="s">
        <v>51</v>
      </c>
      <c r="M206" t="s">
        <v>29</v>
      </c>
      <c r="N206">
        <v>2090</v>
      </c>
      <c r="O206" t="s">
        <v>33</v>
      </c>
      <c r="P206" t="s">
        <v>32</v>
      </c>
      <c r="Q206" t="s">
        <v>92</v>
      </c>
      <c r="R206" s="2">
        <v>41281</v>
      </c>
      <c r="S206" s="1" t="s">
        <v>117</v>
      </c>
      <c r="T206">
        <v>1</v>
      </c>
      <c r="U206" t="s">
        <v>75</v>
      </c>
      <c r="V206">
        <v>5</v>
      </c>
      <c r="W206" t="s">
        <v>45</v>
      </c>
      <c r="X206">
        <v>0</v>
      </c>
      <c r="Y206" t="s">
        <v>48</v>
      </c>
      <c r="Z206">
        <v>3</v>
      </c>
      <c r="AA206" t="s">
        <v>49</v>
      </c>
      <c r="AB206">
        <v>4.5199999999999996</v>
      </c>
      <c r="AC206" t="s">
        <v>932</v>
      </c>
      <c r="AD206">
        <v>0</v>
      </c>
      <c r="AE206" s="2">
        <v>41690</v>
      </c>
      <c r="AF206">
        <v>0</v>
      </c>
      <c r="AG206">
        <v>20</v>
      </c>
    </row>
    <row r="207" spans="1:33">
      <c r="A207">
        <v>10106</v>
      </c>
      <c r="B207" t="s">
        <v>1328</v>
      </c>
      <c r="C207" t="s">
        <v>31</v>
      </c>
      <c r="D207" t="s">
        <v>56</v>
      </c>
      <c r="E207" t="s">
        <v>934</v>
      </c>
      <c r="F207" t="s">
        <v>288</v>
      </c>
      <c r="G207" t="s">
        <v>294</v>
      </c>
      <c r="H207" t="s">
        <v>414</v>
      </c>
      <c r="I207">
        <v>111345</v>
      </c>
      <c r="J207" s="3">
        <v>1336140</v>
      </c>
      <c r="K207" s="2">
        <v>30709</v>
      </c>
      <c r="L207" t="s">
        <v>264</v>
      </c>
      <c r="M207" t="s">
        <v>210</v>
      </c>
      <c r="N207">
        <v>7655</v>
      </c>
      <c r="O207" t="s">
        <v>33</v>
      </c>
      <c r="P207" t="s">
        <v>124</v>
      </c>
      <c r="Q207" t="s">
        <v>204</v>
      </c>
      <c r="R207" s="2">
        <v>43207</v>
      </c>
      <c r="S207" s="1" t="s">
        <v>413</v>
      </c>
      <c r="T207">
        <v>1</v>
      </c>
      <c r="U207" t="s">
        <v>273</v>
      </c>
      <c r="V207">
        <v>3</v>
      </c>
      <c r="W207" t="s">
        <v>45</v>
      </c>
      <c r="X207">
        <v>1</v>
      </c>
      <c r="Y207" t="s">
        <v>39</v>
      </c>
      <c r="Z207">
        <v>1</v>
      </c>
      <c r="AA207" t="s">
        <v>276</v>
      </c>
      <c r="AB207">
        <v>4.5999999999999996</v>
      </c>
      <c r="AC207" t="s">
        <v>932</v>
      </c>
      <c r="AD207">
        <v>4</v>
      </c>
      <c r="AE207" s="2">
        <v>45831</v>
      </c>
      <c r="AF207">
        <v>3</v>
      </c>
      <c r="AG207">
        <v>6</v>
      </c>
    </row>
    <row r="208" spans="1:33">
      <c r="A208">
        <v>10107</v>
      </c>
      <c r="B208" t="s">
        <v>966</v>
      </c>
      <c r="C208" t="s">
        <v>31</v>
      </c>
      <c r="D208" t="s">
        <v>31</v>
      </c>
      <c r="E208" t="s">
        <v>934</v>
      </c>
      <c r="F208" t="s">
        <v>37</v>
      </c>
      <c r="G208" t="s">
        <v>50</v>
      </c>
      <c r="H208" t="s">
        <v>61</v>
      </c>
      <c r="I208">
        <v>63763</v>
      </c>
      <c r="J208" s="3">
        <v>765156</v>
      </c>
      <c r="K208" s="2">
        <v>29282</v>
      </c>
      <c r="L208" t="s">
        <v>51</v>
      </c>
      <c r="M208" t="s">
        <v>29</v>
      </c>
      <c r="N208">
        <v>2148</v>
      </c>
      <c r="O208" t="s">
        <v>33</v>
      </c>
      <c r="P208" t="s">
        <v>32</v>
      </c>
      <c r="Q208" t="s">
        <v>68</v>
      </c>
      <c r="R208" s="2">
        <v>40973</v>
      </c>
      <c r="S208" s="1" t="s">
        <v>35</v>
      </c>
      <c r="T208">
        <v>0</v>
      </c>
      <c r="U208" t="s">
        <v>36</v>
      </c>
      <c r="V208">
        <v>1</v>
      </c>
      <c r="W208" t="s">
        <v>36</v>
      </c>
      <c r="X208">
        <v>0</v>
      </c>
      <c r="Y208" t="s">
        <v>67</v>
      </c>
      <c r="Z208">
        <v>3</v>
      </c>
      <c r="AA208" t="s">
        <v>49</v>
      </c>
      <c r="AB208">
        <v>4.51</v>
      </c>
      <c r="AC208" t="s">
        <v>937</v>
      </c>
      <c r="AD208">
        <v>0</v>
      </c>
      <c r="AE208" s="2">
        <v>43517</v>
      </c>
      <c r="AF208">
        <v>0</v>
      </c>
      <c r="AG208">
        <v>3</v>
      </c>
    </row>
    <row r="209" spans="1:33">
      <c r="A209">
        <v>10107</v>
      </c>
      <c r="B209" t="s">
        <v>1329</v>
      </c>
      <c r="C209" t="s">
        <v>31</v>
      </c>
      <c r="D209" t="s">
        <v>42</v>
      </c>
      <c r="E209" t="s">
        <v>929</v>
      </c>
      <c r="F209" t="s">
        <v>288</v>
      </c>
      <c r="G209" t="s">
        <v>294</v>
      </c>
      <c r="H209" t="s">
        <v>417</v>
      </c>
      <c r="I209">
        <v>63998</v>
      </c>
      <c r="J209" s="3">
        <v>767976</v>
      </c>
      <c r="K209" s="2">
        <v>37136</v>
      </c>
      <c r="L209" t="s">
        <v>264</v>
      </c>
      <c r="M209" t="s">
        <v>191</v>
      </c>
      <c r="N209">
        <v>51998</v>
      </c>
      <c r="O209" t="s">
        <v>33</v>
      </c>
      <c r="P209" t="s">
        <v>32</v>
      </c>
      <c r="Q209" t="s">
        <v>204</v>
      </c>
      <c r="R209" s="2">
        <v>44924</v>
      </c>
      <c r="S209" s="1" t="s">
        <v>416</v>
      </c>
      <c r="T209">
        <v>1</v>
      </c>
      <c r="U209" t="s">
        <v>266</v>
      </c>
      <c r="V209">
        <v>1</v>
      </c>
      <c r="W209" t="s">
        <v>87</v>
      </c>
      <c r="X209">
        <v>1</v>
      </c>
      <c r="Y209" t="s">
        <v>268</v>
      </c>
      <c r="Z209">
        <v>3</v>
      </c>
      <c r="AA209" t="s">
        <v>276</v>
      </c>
      <c r="AB209">
        <v>4.4000000000000004</v>
      </c>
      <c r="AC209" t="s">
        <v>1003</v>
      </c>
      <c r="AD209">
        <v>2</v>
      </c>
      <c r="AE209" s="2">
        <v>45959</v>
      </c>
      <c r="AF209">
        <v>2</v>
      </c>
      <c r="AG209">
        <v>8</v>
      </c>
    </row>
    <row r="210" spans="1:33">
      <c r="A210">
        <v>10108</v>
      </c>
      <c r="B210" t="s">
        <v>140</v>
      </c>
      <c r="C210" t="s">
        <v>42</v>
      </c>
      <c r="D210" t="s">
        <v>42</v>
      </c>
      <c r="E210" t="s">
        <v>929</v>
      </c>
      <c r="F210" t="s">
        <v>46</v>
      </c>
      <c r="G210" t="s">
        <v>119</v>
      </c>
      <c r="H210" t="s">
        <v>116</v>
      </c>
      <c r="I210">
        <v>110929</v>
      </c>
      <c r="J210" s="3">
        <v>1331148</v>
      </c>
      <c r="K210" s="2">
        <v>26338</v>
      </c>
      <c r="L210" t="s">
        <v>30</v>
      </c>
      <c r="M210" t="s">
        <v>29</v>
      </c>
      <c r="N210">
        <v>2045</v>
      </c>
      <c r="O210" t="s">
        <v>33</v>
      </c>
      <c r="P210" t="s">
        <v>32</v>
      </c>
      <c r="Q210" t="s">
        <v>34</v>
      </c>
      <c r="R210" s="2">
        <v>42619</v>
      </c>
      <c r="S210" s="1" t="s">
        <v>35</v>
      </c>
      <c r="T210">
        <v>0</v>
      </c>
      <c r="U210" t="s">
        <v>36</v>
      </c>
      <c r="V210">
        <v>1</v>
      </c>
      <c r="W210" t="s">
        <v>36</v>
      </c>
      <c r="X210">
        <v>0</v>
      </c>
      <c r="Y210" t="s">
        <v>48</v>
      </c>
      <c r="Z210">
        <v>3</v>
      </c>
      <c r="AA210" t="s">
        <v>49</v>
      </c>
      <c r="AB210">
        <v>4.5</v>
      </c>
      <c r="AC210" t="s">
        <v>930</v>
      </c>
      <c r="AD210">
        <v>7</v>
      </c>
      <c r="AE210" s="2">
        <v>43480</v>
      </c>
      <c r="AF210">
        <v>0</v>
      </c>
      <c r="AG210">
        <v>8</v>
      </c>
    </row>
    <row r="211" spans="1:33">
      <c r="A211">
        <v>10108</v>
      </c>
      <c r="B211" t="s">
        <v>1330</v>
      </c>
      <c r="C211" t="s">
        <v>42</v>
      </c>
      <c r="D211" t="s">
        <v>42</v>
      </c>
      <c r="E211" t="s">
        <v>929</v>
      </c>
      <c r="F211" t="s">
        <v>278</v>
      </c>
      <c r="G211" t="s">
        <v>28</v>
      </c>
      <c r="H211" t="s">
        <v>418</v>
      </c>
      <c r="I211">
        <v>94543</v>
      </c>
      <c r="J211" s="3">
        <v>1134516</v>
      </c>
      <c r="K211" s="2">
        <v>24860</v>
      </c>
      <c r="L211" t="s">
        <v>264</v>
      </c>
      <c r="M211" t="s">
        <v>210</v>
      </c>
      <c r="N211">
        <v>49775</v>
      </c>
      <c r="O211" t="s">
        <v>33</v>
      </c>
      <c r="P211" t="s">
        <v>32</v>
      </c>
      <c r="Q211" t="s">
        <v>92</v>
      </c>
      <c r="R211" s="2">
        <v>45962</v>
      </c>
      <c r="S211" s="1" t="s">
        <v>35</v>
      </c>
      <c r="T211">
        <v>1</v>
      </c>
      <c r="U211" t="s">
        <v>266</v>
      </c>
      <c r="V211">
        <v>3</v>
      </c>
      <c r="W211" t="s">
        <v>36</v>
      </c>
      <c r="X211">
        <v>0</v>
      </c>
      <c r="Y211" t="s">
        <v>48</v>
      </c>
      <c r="Z211">
        <v>1</v>
      </c>
      <c r="AA211" t="s">
        <v>49</v>
      </c>
      <c r="AB211">
        <v>4.2</v>
      </c>
      <c r="AC211" t="s">
        <v>1003</v>
      </c>
      <c r="AD211">
        <v>0</v>
      </c>
      <c r="AE211" s="2">
        <v>45735</v>
      </c>
      <c r="AF211">
        <v>0</v>
      </c>
      <c r="AG211">
        <v>5</v>
      </c>
    </row>
    <row r="212" spans="1:33">
      <c r="A212">
        <v>10109</v>
      </c>
      <c r="B212" t="s">
        <v>1048</v>
      </c>
      <c r="C212" t="s">
        <v>31</v>
      </c>
      <c r="D212" t="s">
        <v>31</v>
      </c>
      <c r="E212" t="s">
        <v>929</v>
      </c>
      <c r="F212" t="s">
        <v>113</v>
      </c>
      <c r="G212" t="s">
        <v>110</v>
      </c>
      <c r="H212" t="s">
        <v>114</v>
      </c>
      <c r="I212">
        <v>71707</v>
      </c>
      <c r="J212" s="3">
        <v>860484</v>
      </c>
      <c r="K212" s="2">
        <v>25243</v>
      </c>
      <c r="L212" t="s">
        <v>30</v>
      </c>
      <c r="M212" t="s">
        <v>170</v>
      </c>
      <c r="N212">
        <v>37129</v>
      </c>
      <c r="O212" t="s">
        <v>33</v>
      </c>
      <c r="P212" t="s">
        <v>32</v>
      </c>
      <c r="Q212" t="s">
        <v>81</v>
      </c>
      <c r="R212" s="2">
        <v>40975</v>
      </c>
      <c r="S212" s="1" t="s">
        <v>171</v>
      </c>
      <c r="T212">
        <v>1</v>
      </c>
      <c r="U212" t="s">
        <v>123</v>
      </c>
      <c r="V212">
        <v>5</v>
      </c>
      <c r="W212" t="s">
        <v>45</v>
      </c>
      <c r="X212">
        <v>0</v>
      </c>
      <c r="Y212" t="s">
        <v>39</v>
      </c>
      <c r="Z212">
        <v>3</v>
      </c>
      <c r="AA212" t="s">
        <v>49</v>
      </c>
      <c r="AB212">
        <v>4.5</v>
      </c>
      <c r="AC212" t="s">
        <v>930</v>
      </c>
      <c r="AD212">
        <v>0</v>
      </c>
      <c r="AE212" s="2">
        <v>41306</v>
      </c>
      <c r="AF212">
        <v>0</v>
      </c>
      <c r="AG212">
        <v>20</v>
      </c>
    </row>
    <row r="213" spans="1:33">
      <c r="A213">
        <v>10109</v>
      </c>
      <c r="B213" t="s">
        <v>1331</v>
      </c>
      <c r="C213" t="s">
        <v>42</v>
      </c>
      <c r="D213" t="s">
        <v>56</v>
      </c>
      <c r="E213" t="s">
        <v>929</v>
      </c>
      <c r="F213" t="s">
        <v>274</v>
      </c>
      <c r="G213" t="s">
        <v>62</v>
      </c>
      <c r="H213" t="s">
        <v>419</v>
      </c>
      <c r="I213">
        <v>48043</v>
      </c>
      <c r="J213" s="3">
        <v>576516</v>
      </c>
      <c r="K213" s="2">
        <v>33062</v>
      </c>
      <c r="L213" t="s">
        <v>264</v>
      </c>
      <c r="M213" t="s">
        <v>210</v>
      </c>
      <c r="N213">
        <v>1499</v>
      </c>
      <c r="O213" t="s">
        <v>73</v>
      </c>
      <c r="P213" t="s">
        <v>124</v>
      </c>
      <c r="Q213" t="s">
        <v>92</v>
      </c>
      <c r="R213" s="2">
        <v>43383</v>
      </c>
      <c r="S213" s="1" t="s">
        <v>35</v>
      </c>
      <c r="T213">
        <v>0</v>
      </c>
      <c r="U213" t="s">
        <v>36</v>
      </c>
      <c r="V213">
        <v>3</v>
      </c>
      <c r="W213" t="s">
        <v>45</v>
      </c>
      <c r="X213">
        <v>1</v>
      </c>
      <c r="Y213" t="s">
        <v>280</v>
      </c>
      <c r="Z213">
        <v>1</v>
      </c>
      <c r="AA213" t="s">
        <v>95</v>
      </c>
      <c r="AB213">
        <v>4.9000000000000004</v>
      </c>
      <c r="AC213" t="s">
        <v>930</v>
      </c>
      <c r="AD213">
        <v>4</v>
      </c>
      <c r="AE213" s="2">
        <v>45841</v>
      </c>
      <c r="AF213">
        <v>1</v>
      </c>
      <c r="AG213">
        <v>2</v>
      </c>
    </row>
    <row r="214" spans="1:33">
      <c r="A214">
        <v>10110</v>
      </c>
      <c r="B214" t="s">
        <v>392</v>
      </c>
      <c r="C214" t="s">
        <v>31</v>
      </c>
      <c r="D214" t="s">
        <v>31</v>
      </c>
      <c r="E214" t="s">
        <v>934</v>
      </c>
      <c r="F214" t="s">
        <v>63</v>
      </c>
      <c r="G214" t="s">
        <v>62</v>
      </c>
      <c r="H214" t="s">
        <v>64</v>
      </c>
      <c r="I214">
        <v>105688</v>
      </c>
      <c r="J214" s="3">
        <v>1268256</v>
      </c>
      <c r="K214" s="2">
        <v>32088</v>
      </c>
      <c r="L214" t="s">
        <v>51</v>
      </c>
      <c r="M214" t="s">
        <v>29</v>
      </c>
      <c r="N214">
        <v>2135</v>
      </c>
      <c r="O214" t="s">
        <v>33</v>
      </c>
      <c r="P214" t="s">
        <v>32</v>
      </c>
      <c r="Q214" t="s">
        <v>92</v>
      </c>
      <c r="R214" s="2">
        <v>41589</v>
      </c>
      <c r="S214" s="1" t="s">
        <v>35</v>
      </c>
      <c r="T214">
        <v>0</v>
      </c>
      <c r="U214" t="s">
        <v>36</v>
      </c>
      <c r="V214">
        <v>1</v>
      </c>
      <c r="W214" t="s">
        <v>36</v>
      </c>
      <c r="X214">
        <v>0</v>
      </c>
      <c r="Y214" t="s">
        <v>60</v>
      </c>
      <c r="Z214">
        <v>3</v>
      </c>
      <c r="AA214" t="s">
        <v>49</v>
      </c>
      <c r="AB214">
        <v>4.5</v>
      </c>
      <c r="AC214" t="s">
        <v>930</v>
      </c>
      <c r="AD214">
        <v>4</v>
      </c>
      <c r="AE214" s="2">
        <v>43479</v>
      </c>
      <c r="AF214">
        <v>0</v>
      </c>
      <c r="AG214">
        <v>14</v>
      </c>
    </row>
    <row r="215" spans="1:33">
      <c r="A215">
        <v>10110</v>
      </c>
      <c r="B215" t="s">
        <v>1332</v>
      </c>
      <c r="C215" t="s">
        <v>31</v>
      </c>
      <c r="D215" t="s">
        <v>31</v>
      </c>
      <c r="E215" t="s">
        <v>929</v>
      </c>
      <c r="F215" t="s">
        <v>113</v>
      </c>
      <c r="G215" t="s">
        <v>269</v>
      </c>
      <c r="H215" t="s">
        <v>421</v>
      </c>
      <c r="I215">
        <v>78245</v>
      </c>
      <c r="J215" s="3">
        <v>938940</v>
      </c>
      <c r="K215" s="2">
        <v>34199</v>
      </c>
      <c r="L215" t="s">
        <v>264</v>
      </c>
      <c r="M215" t="s">
        <v>191</v>
      </c>
      <c r="N215">
        <v>8550</v>
      </c>
      <c r="O215" t="s">
        <v>33</v>
      </c>
      <c r="P215" t="s">
        <v>32</v>
      </c>
      <c r="Q215" t="s">
        <v>92</v>
      </c>
      <c r="R215" s="2">
        <v>43196</v>
      </c>
      <c r="S215" s="1" t="s">
        <v>420</v>
      </c>
      <c r="T215">
        <v>1</v>
      </c>
      <c r="U215" t="s">
        <v>273</v>
      </c>
      <c r="V215">
        <v>3</v>
      </c>
      <c r="W215" t="s">
        <v>87</v>
      </c>
      <c r="X215">
        <v>0</v>
      </c>
      <c r="Y215" t="s">
        <v>280</v>
      </c>
      <c r="Z215">
        <v>2</v>
      </c>
      <c r="AA215" t="s">
        <v>95</v>
      </c>
      <c r="AB215">
        <v>4.0999999999999996</v>
      </c>
      <c r="AC215" t="s">
        <v>937</v>
      </c>
      <c r="AD215">
        <v>0</v>
      </c>
      <c r="AE215" s="2">
        <v>45893</v>
      </c>
      <c r="AF215">
        <v>2</v>
      </c>
      <c r="AG215">
        <v>2</v>
      </c>
    </row>
    <row r="216" spans="1:33">
      <c r="A216">
        <v>10111</v>
      </c>
      <c r="B216" t="s">
        <v>1028</v>
      </c>
      <c r="C216" t="s">
        <v>31</v>
      </c>
      <c r="D216" t="s">
        <v>31</v>
      </c>
      <c r="E216" t="s">
        <v>929</v>
      </c>
      <c r="F216" t="s">
        <v>37</v>
      </c>
      <c r="G216" t="s">
        <v>28</v>
      </c>
      <c r="H216" t="s">
        <v>76</v>
      </c>
      <c r="I216">
        <v>52249</v>
      </c>
      <c r="J216" s="3">
        <v>626988</v>
      </c>
      <c r="K216" s="2">
        <v>31305</v>
      </c>
      <c r="L216" t="s">
        <v>30</v>
      </c>
      <c r="M216" t="s">
        <v>29</v>
      </c>
      <c r="N216">
        <v>1905</v>
      </c>
      <c r="O216" t="s">
        <v>73</v>
      </c>
      <c r="P216" t="s">
        <v>32</v>
      </c>
      <c r="Q216" t="s">
        <v>34</v>
      </c>
      <c r="R216" s="2">
        <v>42093</v>
      </c>
      <c r="S216" s="1" t="s">
        <v>35</v>
      </c>
      <c r="T216">
        <v>0</v>
      </c>
      <c r="U216" t="s">
        <v>36</v>
      </c>
      <c r="V216">
        <v>1</v>
      </c>
      <c r="W216" t="s">
        <v>36</v>
      </c>
      <c r="X216">
        <v>0</v>
      </c>
      <c r="Y216" t="s">
        <v>67</v>
      </c>
      <c r="Z216">
        <v>3</v>
      </c>
      <c r="AA216" t="s">
        <v>49</v>
      </c>
      <c r="AB216">
        <v>4.5</v>
      </c>
      <c r="AC216" t="s">
        <v>932</v>
      </c>
      <c r="AD216">
        <v>0</v>
      </c>
      <c r="AE216" s="2">
        <v>43514</v>
      </c>
      <c r="AF216">
        <v>0</v>
      </c>
      <c r="AG216">
        <v>5</v>
      </c>
    </row>
    <row r="217" spans="1:33">
      <c r="A217">
        <v>10111</v>
      </c>
      <c r="B217" t="s">
        <v>1333</v>
      </c>
      <c r="C217" t="s">
        <v>31</v>
      </c>
      <c r="D217" t="s">
        <v>31</v>
      </c>
      <c r="E217" t="s">
        <v>934</v>
      </c>
      <c r="F217" t="s">
        <v>283</v>
      </c>
      <c r="G217" t="s">
        <v>62</v>
      </c>
      <c r="H217" t="s">
        <v>422</v>
      </c>
      <c r="I217">
        <v>78219</v>
      </c>
      <c r="J217" s="3">
        <v>938628</v>
      </c>
      <c r="K217" s="2">
        <v>33569</v>
      </c>
      <c r="L217" t="s">
        <v>264</v>
      </c>
      <c r="M217" t="s">
        <v>191</v>
      </c>
      <c r="N217">
        <v>1718</v>
      </c>
      <c r="O217" t="s">
        <v>73</v>
      </c>
      <c r="P217" t="s">
        <v>32</v>
      </c>
      <c r="Q217" t="s">
        <v>160</v>
      </c>
      <c r="R217" s="2">
        <v>44745</v>
      </c>
      <c r="S217" s="1" t="s">
        <v>35</v>
      </c>
      <c r="T217">
        <v>0</v>
      </c>
      <c r="U217" t="s">
        <v>36</v>
      </c>
      <c r="V217">
        <v>1</v>
      </c>
      <c r="W217" t="s">
        <v>45</v>
      </c>
      <c r="X217">
        <v>0</v>
      </c>
      <c r="Y217" t="s">
        <v>48</v>
      </c>
      <c r="Z217">
        <v>4</v>
      </c>
      <c r="AA217" t="s">
        <v>136</v>
      </c>
      <c r="AB217">
        <v>2.6</v>
      </c>
      <c r="AC217" t="s">
        <v>1003</v>
      </c>
      <c r="AD217">
        <v>0</v>
      </c>
      <c r="AE217" s="2">
        <v>45864</v>
      </c>
      <c r="AF217">
        <v>5</v>
      </c>
      <c r="AG217">
        <v>7</v>
      </c>
    </row>
    <row r="218" spans="1:33">
      <c r="A218">
        <v>10112</v>
      </c>
      <c r="B218" t="s">
        <v>1057</v>
      </c>
      <c r="C218" t="s">
        <v>31</v>
      </c>
      <c r="D218" t="s">
        <v>31</v>
      </c>
      <c r="E218" t="s">
        <v>934</v>
      </c>
      <c r="F218" t="s">
        <v>46</v>
      </c>
      <c r="G218" t="s">
        <v>89</v>
      </c>
      <c r="H218" t="s">
        <v>47</v>
      </c>
      <c r="I218">
        <v>97999</v>
      </c>
      <c r="J218" s="3">
        <v>1175988</v>
      </c>
      <c r="K218" s="2">
        <v>30733</v>
      </c>
      <c r="L218" t="s">
        <v>51</v>
      </c>
      <c r="M218" t="s">
        <v>29</v>
      </c>
      <c r="N218">
        <v>2493</v>
      </c>
      <c r="O218" t="s">
        <v>33</v>
      </c>
      <c r="P218" t="s">
        <v>32</v>
      </c>
      <c r="Q218" t="s">
        <v>34</v>
      </c>
      <c r="R218" s="2">
        <v>42093</v>
      </c>
      <c r="S218" s="1" t="s">
        <v>35</v>
      </c>
      <c r="T218">
        <v>0</v>
      </c>
      <c r="U218" t="s">
        <v>36</v>
      </c>
      <c r="V218">
        <v>1</v>
      </c>
      <c r="W218" t="s">
        <v>36</v>
      </c>
      <c r="X218">
        <v>0</v>
      </c>
      <c r="Y218" t="s">
        <v>48</v>
      </c>
      <c r="Z218">
        <v>3</v>
      </c>
      <c r="AA218" t="s">
        <v>49</v>
      </c>
      <c r="AB218">
        <v>4.4800000000000004</v>
      </c>
      <c r="AC218" t="s">
        <v>930</v>
      </c>
      <c r="AD218">
        <v>6</v>
      </c>
      <c r="AE218" s="2">
        <v>43468</v>
      </c>
      <c r="AF218">
        <v>0</v>
      </c>
      <c r="AG218">
        <v>4</v>
      </c>
    </row>
    <row r="219" spans="1:33">
      <c r="A219">
        <v>10112</v>
      </c>
      <c r="B219" t="s">
        <v>1334</v>
      </c>
      <c r="C219" t="s">
        <v>42</v>
      </c>
      <c r="D219" t="s">
        <v>56</v>
      </c>
      <c r="E219" t="s">
        <v>929</v>
      </c>
      <c r="F219" t="s">
        <v>283</v>
      </c>
      <c r="G219" t="s">
        <v>28</v>
      </c>
      <c r="H219" t="s">
        <v>423</v>
      </c>
      <c r="I219">
        <v>98795</v>
      </c>
      <c r="J219" s="3">
        <v>1185540</v>
      </c>
      <c r="K219" s="2">
        <v>37328</v>
      </c>
      <c r="L219" t="s">
        <v>264</v>
      </c>
      <c r="M219" t="s">
        <v>191</v>
      </c>
      <c r="N219">
        <v>43163</v>
      </c>
      <c r="O219" t="s">
        <v>33</v>
      </c>
      <c r="P219" t="s">
        <v>32</v>
      </c>
      <c r="Q219" t="s">
        <v>34</v>
      </c>
      <c r="R219" s="2">
        <v>44439</v>
      </c>
      <c r="S219" s="1" t="s">
        <v>35</v>
      </c>
      <c r="T219">
        <v>1</v>
      </c>
      <c r="U219" t="s">
        <v>290</v>
      </c>
      <c r="V219">
        <v>1</v>
      </c>
      <c r="W219" t="s">
        <v>45</v>
      </c>
      <c r="X219">
        <v>0</v>
      </c>
      <c r="Y219" t="s">
        <v>142</v>
      </c>
      <c r="Z219">
        <v>2</v>
      </c>
      <c r="AA219" t="s">
        <v>136</v>
      </c>
      <c r="AB219">
        <v>4.7</v>
      </c>
      <c r="AC219" t="s">
        <v>937</v>
      </c>
      <c r="AD219">
        <v>1</v>
      </c>
      <c r="AE219" s="2">
        <v>45996</v>
      </c>
      <c r="AF219">
        <v>1</v>
      </c>
      <c r="AG219">
        <v>9</v>
      </c>
    </row>
    <row r="220" spans="1:33">
      <c r="A220">
        <v>10113</v>
      </c>
      <c r="B220" t="s">
        <v>1080</v>
      </c>
      <c r="C220" t="s">
        <v>42</v>
      </c>
      <c r="D220" t="s">
        <v>42</v>
      </c>
      <c r="E220" t="s">
        <v>929</v>
      </c>
      <c r="F220" t="s">
        <v>46</v>
      </c>
      <c r="G220" t="s">
        <v>131</v>
      </c>
      <c r="H220" t="s">
        <v>72</v>
      </c>
      <c r="I220">
        <v>93206</v>
      </c>
      <c r="J220" s="3">
        <v>1118472</v>
      </c>
      <c r="K220" s="2">
        <v>31525</v>
      </c>
      <c r="L220" t="s">
        <v>30</v>
      </c>
      <c r="M220" t="s">
        <v>29</v>
      </c>
      <c r="N220">
        <v>2169</v>
      </c>
      <c r="O220" t="s">
        <v>33</v>
      </c>
      <c r="P220" t="s">
        <v>32</v>
      </c>
      <c r="Q220" t="s">
        <v>34</v>
      </c>
      <c r="R220" s="2">
        <v>41953</v>
      </c>
      <c r="S220" s="1" t="s">
        <v>35</v>
      </c>
      <c r="T220">
        <v>0</v>
      </c>
      <c r="U220" t="s">
        <v>36</v>
      </c>
      <c r="V220">
        <v>3</v>
      </c>
      <c r="W220" t="s">
        <v>36</v>
      </c>
      <c r="X220">
        <v>0</v>
      </c>
      <c r="Y220" t="s">
        <v>67</v>
      </c>
      <c r="Z220">
        <v>3</v>
      </c>
      <c r="AA220" t="s">
        <v>49</v>
      </c>
      <c r="AB220">
        <v>4.46</v>
      </c>
      <c r="AC220" t="s">
        <v>930</v>
      </c>
      <c r="AD220">
        <v>6</v>
      </c>
      <c r="AE220" s="2">
        <v>43472</v>
      </c>
      <c r="AF220">
        <v>0</v>
      </c>
      <c r="AG220">
        <v>7</v>
      </c>
    </row>
    <row r="221" spans="1:33">
      <c r="A221">
        <v>10113</v>
      </c>
      <c r="B221" t="s">
        <v>1335</v>
      </c>
      <c r="C221" t="s">
        <v>42</v>
      </c>
      <c r="D221" t="s">
        <v>56</v>
      </c>
      <c r="E221" t="s">
        <v>934</v>
      </c>
      <c r="F221" t="s">
        <v>274</v>
      </c>
      <c r="G221" t="s">
        <v>269</v>
      </c>
      <c r="H221" t="s">
        <v>424</v>
      </c>
      <c r="I221">
        <v>82672</v>
      </c>
      <c r="J221" s="3">
        <v>992064</v>
      </c>
      <c r="K221" s="2">
        <v>26335</v>
      </c>
      <c r="L221" t="s">
        <v>264</v>
      </c>
      <c r="M221" t="s">
        <v>80</v>
      </c>
      <c r="N221">
        <v>94286</v>
      </c>
      <c r="O221" t="s">
        <v>73</v>
      </c>
      <c r="P221" t="s">
        <v>124</v>
      </c>
      <c r="Q221" t="s">
        <v>270</v>
      </c>
      <c r="R221" s="2">
        <v>44755</v>
      </c>
      <c r="S221" s="1" t="s">
        <v>35</v>
      </c>
      <c r="T221">
        <v>1</v>
      </c>
      <c r="U221" t="s">
        <v>298</v>
      </c>
      <c r="V221">
        <v>1</v>
      </c>
      <c r="W221" t="s">
        <v>45</v>
      </c>
      <c r="X221">
        <v>1</v>
      </c>
      <c r="Y221" t="s">
        <v>268</v>
      </c>
      <c r="Z221">
        <v>2</v>
      </c>
      <c r="AA221" t="s">
        <v>276</v>
      </c>
      <c r="AB221">
        <v>3.4</v>
      </c>
      <c r="AC221" t="s">
        <v>1003</v>
      </c>
      <c r="AD221">
        <v>0</v>
      </c>
      <c r="AE221" s="2">
        <v>45576</v>
      </c>
      <c r="AF221">
        <v>1</v>
      </c>
      <c r="AG221">
        <v>5</v>
      </c>
    </row>
    <row r="222" spans="1:33">
      <c r="A222">
        <v>10114</v>
      </c>
      <c r="B222" t="s">
        <v>941</v>
      </c>
      <c r="C222" t="s">
        <v>31</v>
      </c>
      <c r="D222" t="s">
        <v>31</v>
      </c>
      <c r="E222" t="s">
        <v>934</v>
      </c>
      <c r="F222" t="s">
        <v>37</v>
      </c>
      <c r="G222" t="s">
        <v>28</v>
      </c>
      <c r="H222" t="s">
        <v>69</v>
      </c>
      <c r="I222">
        <v>47837</v>
      </c>
      <c r="J222" s="3">
        <v>574044</v>
      </c>
      <c r="K222" s="2">
        <v>25610</v>
      </c>
      <c r="L222" t="s">
        <v>51</v>
      </c>
      <c r="M222" t="s">
        <v>29</v>
      </c>
      <c r="N222">
        <v>1902</v>
      </c>
      <c r="O222" t="s">
        <v>33</v>
      </c>
      <c r="P222" t="s">
        <v>32</v>
      </c>
      <c r="Q222" t="s">
        <v>68</v>
      </c>
      <c r="R222" s="2">
        <v>40000</v>
      </c>
      <c r="S222" s="1" t="s">
        <v>35</v>
      </c>
      <c r="T222">
        <v>0</v>
      </c>
      <c r="U222" t="s">
        <v>36</v>
      </c>
      <c r="V222">
        <v>3</v>
      </c>
      <c r="W222" t="s">
        <v>36</v>
      </c>
      <c r="X222">
        <v>1</v>
      </c>
      <c r="Y222" t="s">
        <v>70</v>
      </c>
      <c r="Z222">
        <v>3</v>
      </c>
      <c r="AA222" t="s">
        <v>49</v>
      </c>
      <c r="AB222">
        <v>4.46</v>
      </c>
      <c r="AC222" t="s">
        <v>932</v>
      </c>
      <c r="AD222">
        <v>0</v>
      </c>
      <c r="AE222" s="2">
        <v>43490</v>
      </c>
      <c r="AF222">
        <v>0</v>
      </c>
      <c r="AG222">
        <v>4</v>
      </c>
    </row>
    <row r="223" spans="1:33">
      <c r="A223">
        <v>10114</v>
      </c>
      <c r="B223" t="s">
        <v>1336</v>
      </c>
      <c r="C223" t="s">
        <v>42</v>
      </c>
      <c r="D223" t="s">
        <v>42</v>
      </c>
      <c r="E223" t="s">
        <v>929</v>
      </c>
      <c r="F223" t="s">
        <v>271</v>
      </c>
      <c r="G223" t="s">
        <v>269</v>
      </c>
      <c r="H223" t="s">
        <v>426</v>
      </c>
      <c r="I223">
        <v>93988</v>
      </c>
      <c r="J223" s="3">
        <v>1127856</v>
      </c>
      <c r="K223" s="2">
        <v>33065</v>
      </c>
      <c r="L223" t="s">
        <v>264</v>
      </c>
      <c r="M223" t="s">
        <v>191</v>
      </c>
      <c r="N223">
        <v>61428</v>
      </c>
      <c r="O223" t="s">
        <v>33</v>
      </c>
      <c r="P223" t="s">
        <v>124</v>
      </c>
      <c r="Q223" t="s">
        <v>204</v>
      </c>
      <c r="R223" s="2">
        <v>42394</v>
      </c>
      <c r="S223" s="1" t="s">
        <v>425</v>
      </c>
      <c r="T223">
        <v>1</v>
      </c>
      <c r="U223" t="s">
        <v>298</v>
      </c>
      <c r="V223">
        <v>1</v>
      </c>
      <c r="W223" t="s">
        <v>45</v>
      </c>
      <c r="X223">
        <v>0</v>
      </c>
      <c r="Y223" t="s">
        <v>142</v>
      </c>
      <c r="Z223">
        <v>2</v>
      </c>
      <c r="AA223" t="s">
        <v>49</v>
      </c>
      <c r="AB223">
        <v>3.9</v>
      </c>
      <c r="AC223" t="s">
        <v>962</v>
      </c>
      <c r="AD223">
        <v>5</v>
      </c>
      <c r="AE223" s="2">
        <v>45771</v>
      </c>
      <c r="AF223">
        <v>2</v>
      </c>
      <c r="AG223">
        <v>2</v>
      </c>
    </row>
    <row r="224" spans="1:33">
      <c r="A224">
        <v>10115</v>
      </c>
      <c r="B224" t="s">
        <v>971</v>
      </c>
      <c r="C224" t="s">
        <v>31</v>
      </c>
      <c r="D224" t="s">
        <v>31</v>
      </c>
      <c r="E224" t="s">
        <v>929</v>
      </c>
      <c r="F224" t="s">
        <v>37</v>
      </c>
      <c r="G224" t="s">
        <v>28</v>
      </c>
      <c r="H224" t="s">
        <v>82</v>
      </c>
      <c r="I224">
        <v>52846</v>
      </c>
      <c r="J224" s="3">
        <v>634152</v>
      </c>
      <c r="K224" s="2">
        <v>30349</v>
      </c>
      <c r="L224" t="s">
        <v>30</v>
      </c>
      <c r="M224" t="s">
        <v>29</v>
      </c>
      <c r="N224">
        <v>1701</v>
      </c>
      <c r="O224" t="s">
        <v>33</v>
      </c>
      <c r="P224" t="s">
        <v>32</v>
      </c>
      <c r="Q224" t="s">
        <v>68</v>
      </c>
      <c r="R224" s="2">
        <v>41729</v>
      </c>
      <c r="S224" s="1" t="s">
        <v>35</v>
      </c>
      <c r="T224">
        <v>0</v>
      </c>
      <c r="U224" t="s">
        <v>36</v>
      </c>
      <c r="V224">
        <v>1</v>
      </c>
      <c r="W224" t="s">
        <v>36</v>
      </c>
      <c r="X224">
        <v>0</v>
      </c>
      <c r="Y224" t="s">
        <v>39</v>
      </c>
      <c r="Z224">
        <v>3</v>
      </c>
      <c r="AA224" t="s">
        <v>49</v>
      </c>
      <c r="AB224">
        <v>4.43</v>
      </c>
      <c r="AC224" t="s">
        <v>932</v>
      </c>
      <c r="AD224">
        <v>0</v>
      </c>
      <c r="AE224" s="2">
        <v>43497</v>
      </c>
      <c r="AF224">
        <v>0</v>
      </c>
      <c r="AG224">
        <v>14</v>
      </c>
    </row>
    <row r="225" spans="1:33">
      <c r="A225">
        <v>10115</v>
      </c>
      <c r="B225" t="s">
        <v>1337</v>
      </c>
      <c r="C225" t="s">
        <v>42</v>
      </c>
      <c r="D225" t="s">
        <v>56</v>
      </c>
      <c r="E225" t="s">
        <v>934</v>
      </c>
      <c r="F225" t="s">
        <v>271</v>
      </c>
      <c r="G225" t="s">
        <v>28</v>
      </c>
      <c r="H225" t="s">
        <v>427</v>
      </c>
      <c r="I225">
        <v>35287</v>
      </c>
      <c r="J225" s="3">
        <v>423444</v>
      </c>
      <c r="K225" s="2">
        <v>24420</v>
      </c>
      <c r="L225" t="s">
        <v>51</v>
      </c>
      <c r="M225" t="s">
        <v>191</v>
      </c>
      <c r="N225">
        <v>32826</v>
      </c>
      <c r="O225" t="s">
        <v>33</v>
      </c>
      <c r="P225" t="s">
        <v>32</v>
      </c>
      <c r="Q225" t="s">
        <v>92</v>
      </c>
      <c r="R225" s="2">
        <v>44146</v>
      </c>
      <c r="S225" s="1" t="s">
        <v>35</v>
      </c>
      <c r="T225">
        <v>0</v>
      </c>
      <c r="U225" t="s">
        <v>36</v>
      </c>
      <c r="V225">
        <v>2</v>
      </c>
      <c r="W225" t="s">
        <v>87</v>
      </c>
      <c r="X225">
        <v>1</v>
      </c>
      <c r="Y225" t="s">
        <v>39</v>
      </c>
      <c r="Z225">
        <v>2</v>
      </c>
      <c r="AA225" t="s">
        <v>136</v>
      </c>
      <c r="AB225">
        <v>3.7</v>
      </c>
      <c r="AC225" t="s">
        <v>937</v>
      </c>
      <c r="AD225">
        <v>0</v>
      </c>
      <c r="AE225" s="2">
        <v>45790</v>
      </c>
      <c r="AF225">
        <v>2</v>
      </c>
      <c r="AG225">
        <v>8</v>
      </c>
    </row>
    <row r="226" spans="1:33">
      <c r="A226">
        <v>10116</v>
      </c>
      <c r="B226" t="s">
        <v>69</v>
      </c>
      <c r="C226" t="s">
        <v>31</v>
      </c>
      <c r="D226" t="s">
        <v>31</v>
      </c>
      <c r="E226" t="s">
        <v>929</v>
      </c>
      <c r="F226" t="s">
        <v>37</v>
      </c>
      <c r="G226" t="s">
        <v>104</v>
      </c>
      <c r="H226" t="s">
        <v>107</v>
      </c>
      <c r="I226">
        <v>83667</v>
      </c>
      <c r="J226" s="3">
        <v>1004004</v>
      </c>
      <c r="K226" s="2">
        <v>29808</v>
      </c>
      <c r="L226" t="s">
        <v>30</v>
      </c>
      <c r="M226" t="s">
        <v>29</v>
      </c>
      <c r="N226">
        <v>2045</v>
      </c>
      <c r="O226" t="s">
        <v>203</v>
      </c>
      <c r="P226" t="s">
        <v>32</v>
      </c>
      <c r="Q226" t="s">
        <v>204</v>
      </c>
      <c r="R226" s="2">
        <v>41137</v>
      </c>
      <c r="S226" s="1" t="s">
        <v>35</v>
      </c>
      <c r="T226">
        <v>0</v>
      </c>
      <c r="U226" t="s">
        <v>36</v>
      </c>
      <c r="V226">
        <v>1</v>
      </c>
      <c r="W226" t="s">
        <v>36</v>
      </c>
      <c r="X226">
        <v>0</v>
      </c>
      <c r="Y226" t="s">
        <v>48</v>
      </c>
      <c r="Z226">
        <v>3</v>
      </c>
      <c r="AA226" t="s">
        <v>49</v>
      </c>
      <c r="AB226">
        <v>4.37</v>
      </c>
      <c r="AC226" t="s">
        <v>932</v>
      </c>
      <c r="AD226">
        <v>0</v>
      </c>
      <c r="AE226" s="2">
        <v>43479</v>
      </c>
      <c r="AF226">
        <v>0</v>
      </c>
      <c r="AG226">
        <v>2</v>
      </c>
    </row>
    <row r="227" spans="1:33">
      <c r="A227">
        <v>10116</v>
      </c>
      <c r="B227" t="s">
        <v>1338</v>
      </c>
      <c r="C227" t="s">
        <v>42</v>
      </c>
      <c r="D227" t="s">
        <v>56</v>
      </c>
      <c r="E227" t="s">
        <v>934</v>
      </c>
      <c r="F227" t="s">
        <v>288</v>
      </c>
      <c r="G227" t="s">
        <v>277</v>
      </c>
      <c r="H227" t="s">
        <v>428</v>
      </c>
      <c r="I227">
        <v>107101</v>
      </c>
      <c r="J227" s="3">
        <v>1285212</v>
      </c>
      <c r="K227" s="2">
        <v>26789</v>
      </c>
      <c r="L227" t="s">
        <v>51</v>
      </c>
      <c r="M227" t="s">
        <v>191</v>
      </c>
      <c r="N227">
        <v>38395</v>
      </c>
      <c r="O227" t="s">
        <v>33</v>
      </c>
      <c r="P227" t="s">
        <v>32</v>
      </c>
      <c r="Q227" t="s">
        <v>92</v>
      </c>
      <c r="R227" s="2">
        <v>43595</v>
      </c>
      <c r="S227" s="1" t="s">
        <v>35</v>
      </c>
      <c r="T227">
        <v>0</v>
      </c>
      <c r="U227" t="s">
        <v>36</v>
      </c>
      <c r="V227">
        <v>1</v>
      </c>
      <c r="W227" t="s">
        <v>45</v>
      </c>
      <c r="X227">
        <v>0</v>
      </c>
      <c r="Y227" t="s">
        <v>268</v>
      </c>
      <c r="Z227">
        <v>3</v>
      </c>
      <c r="AA227" t="s">
        <v>136</v>
      </c>
      <c r="AB227">
        <v>3.1</v>
      </c>
      <c r="AC227" t="s">
        <v>932</v>
      </c>
      <c r="AD227">
        <v>2</v>
      </c>
      <c r="AE227" s="2">
        <v>45617</v>
      </c>
      <c r="AF227">
        <v>5</v>
      </c>
      <c r="AG227">
        <v>10</v>
      </c>
    </row>
    <row r="228" spans="1:33">
      <c r="A228">
        <v>10117</v>
      </c>
      <c r="B228" t="s">
        <v>1185</v>
      </c>
      <c r="C228" t="s">
        <v>42</v>
      </c>
      <c r="D228" t="s">
        <v>42</v>
      </c>
      <c r="E228" t="s">
        <v>929</v>
      </c>
      <c r="F228" t="s">
        <v>37</v>
      </c>
      <c r="G228" t="s">
        <v>28</v>
      </c>
      <c r="H228" t="s">
        <v>38</v>
      </c>
      <c r="I228">
        <v>63025</v>
      </c>
      <c r="J228" s="3">
        <v>756300</v>
      </c>
      <c r="K228" s="2">
        <v>30231</v>
      </c>
      <c r="L228" t="s">
        <v>30</v>
      </c>
      <c r="M228" t="s">
        <v>29</v>
      </c>
      <c r="N228">
        <v>2747</v>
      </c>
      <c r="O228" t="s">
        <v>73</v>
      </c>
      <c r="P228" t="s">
        <v>32</v>
      </c>
      <c r="Q228" t="s">
        <v>34</v>
      </c>
      <c r="R228" s="2">
        <v>42009</v>
      </c>
      <c r="S228" s="1" t="s">
        <v>35</v>
      </c>
      <c r="T228">
        <v>0</v>
      </c>
      <c r="U228" t="s">
        <v>36</v>
      </c>
      <c r="V228">
        <v>1</v>
      </c>
      <c r="W228" t="s">
        <v>36</v>
      </c>
      <c r="X228">
        <v>0</v>
      </c>
      <c r="Y228" t="s">
        <v>60</v>
      </c>
      <c r="Z228">
        <v>3</v>
      </c>
      <c r="AA228" t="s">
        <v>49</v>
      </c>
      <c r="AB228">
        <v>4.3600000000000003</v>
      </c>
      <c r="AC228" t="s">
        <v>930</v>
      </c>
      <c r="AD228">
        <v>0</v>
      </c>
      <c r="AE228" s="2">
        <v>43489</v>
      </c>
      <c r="AF228">
        <v>0</v>
      </c>
      <c r="AG228">
        <v>10</v>
      </c>
    </row>
    <row r="229" spans="1:33">
      <c r="A229">
        <v>10117</v>
      </c>
      <c r="B229" t="s">
        <v>1339</v>
      </c>
      <c r="C229" t="s">
        <v>31</v>
      </c>
      <c r="D229" t="s">
        <v>31</v>
      </c>
      <c r="E229" t="s">
        <v>934</v>
      </c>
      <c r="F229" t="s">
        <v>271</v>
      </c>
      <c r="G229" t="s">
        <v>277</v>
      </c>
      <c r="H229" t="s">
        <v>429</v>
      </c>
      <c r="I229">
        <v>97976</v>
      </c>
      <c r="J229" s="3">
        <v>1175712</v>
      </c>
      <c r="K229" s="2">
        <v>27948</v>
      </c>
      <c r="L229" t="s">
        <v>264</v>
      </c>
      <c r="M229" t="s">
        <v>144</v>
      </c>
      <c r="N229">
        <v>36276</v>
      </c>
      <c r="O229" t="s">
        <v>73</v>
      </c>
      <c r="P229" t="s">
        <v>124</v>
      </c>
      <c r="Q229" t="s">
        <v>204</v>
      </c>
      <c r="R229" s="2">
        <v>43388</v>
      </c>
      <c r="S229" s="1" t="s">
        <v>35</v>
      </c>
      <c r="T229">
        <v>1</v>
      </c>
      <c r="U229" t="s">
        <v>298</v>
      </c>
      <c r="V229">
        <v>1</v>
      </c>
      <c r="W229" t="s">
        <v>45</v>
      </c>
      <c r="X229">
        <v>0</v>
      </c>
      <c r="Y229" t="s">
        <v>39</v>
      </c>
      <c r="Z229">
        <v>3</v>
      </c>
      <c r="AA229" t="s">
        <v>276</v>
      </c>
      <c r="AB229">
        <v>2.9</v>
      </c>
      <c r="AC229" t="s">
        <v>962</v>
      </c>
      <c r="AD229">
        <v>2</v>
      </c>
      <c r="AE229" s="2">
        <v>45865</v>
      </c>
      <c r="AF229">
        <v>2</v>
      </c>
      <c r="AG229">
        <v>3</v>
      </c>
    </row>
    <row r="230" spans="1:33">
      <c r="A230">
        <v>10118</v>
      </c>
      <c r="B230" t="s">
        <v>1205</v>
      </c>
      <c r="C230" t="s">
        <v>42</v>
      </c>
      <c r="D230" t="s">
        <v>42</v>
      </c>
      <c r="E230" t="s">
        <v>929</v>
      </c>
      <c r="F230" t="s">
        <v>46</v>
      </c>
      <c r="G230" t="s">
        <v>89</v>
      </c>
      <c r="H230" t="s">
        <v>47</v>
      </c>
      <c r="I230">
        <v>113999</v>
      </c>
      <c r="J230" s="3">
        <v>1367988</v>
      </c>
      <c r="K230" s="2">
        <v>31631</v>
      </c>
      <c r="L230" t="s">
        <v>30</v>
      </c>
      <c r="M230" t="s">
        <v>29</v>
      </c>
      <c r="N230">
        <v>1960</v>
      </c>
      <c r="O230" t="s">
        <v>33</v>
      </c>
      <c r="P230" t="s">
        <v>32</v>
      </c>
      <c r="Q230" t="s">
        <v>68</v>
      </c>
      <c r="R230" s="2">
        <v>42051</v>
      </c>
      <c r="S230" s="1" t="s">
        <v>254</v>
      </c>
      <c r="T230">
        <v>1</v>
      </c>
      <c r="U230" t="s">
        <v>149</v>
      </c>
      <c r="V230">
        <v>4</v>
      </c>
      <c r="W230" t="s">
        <v>87</v>
      </c>
      <c r="X230">
        <v>0</v>
      </c>
      <c r="Y230" t="s">
        <v>67</v>
      </c>
      <c r="Z230">
        <v>3</v>
      </c>
      <c r="AA230" t="s">
        <v>49</v>
      </c>
      <c r="AB230">
        <v>4.33</v>
      </c>
      <c r="AC230" t="s">
        <v>932</v>
      </c>
      <c r="AD230">
        <v>7</v>
      </c>
      <c r="AE230" s="2">
        <v>42781</v>
      </c>
      <c r="AF230">
        <v>0</v>
      </c>
      <c r="AG230">
        <v>9</v>
      </c>
    </row>
    <row r="231" spans="1:33">
      <c r="A231">
        <v>10118</v>
      </c>
      <c r="B231" t="s">
        <v>1340</v>
      </c>
      <c r="C231" t="s">
        <v>42</v>
      </c>
      <c r="D231" t="s">
        <v>42</v>
      </c>
      <c r="E231" t="s">
        <v>929</v>
      </c>
      <c r="F231" t="s">
        <v>113</v>
      </c>
      <c r="G231" t="s">
        <v>62</v>
      </c>
      <c r="H231" t="s">
        <v>431</v>
      </c>
      <c r="I231">
        <v>92441</v>
      </c>
      <c r="J231" s="3">
        <v>1109292</v>
      </c>
      <c r="K231" s="2">
        <v>26007</v>
      </c>
      <c r="L231" t="s">
        <v>51</v>
      </c>
      <c r="M231" t="s">
        <v>144</v>
      </c>
      <c r="N231">
        <v>71695</v>
      </c>
      <c r="O231" t="s">
        <v>73</v>
      </c>
      <c r="P231" t="s">
        <v>32</v>
      </c>
      <c r="Q231" t="s">
        <v>92</v>
      </c>
      <c r="R231" s="2">
        <v>44284</v>
      </c>
      <c r="S231" s="1" t="s">
        <v>430</v>
      </c>
      <c r="T231">
        <v>1</v>
      </c>
      <c r="U231" t="s">
        <v>298</v>
      </c>
      <c r="V231">
        <v>2</v>
      </c>
      <c r="W231" t="s">
        <v>36</v>
      </c>
      <c r="X231">
        <v>1</v>
      </c>
      <c r="Y231" t="s">
        <v>280</v>
      </c>
      <c r="Z231">
        <v>1</v>
      </c>
      <c r="AA231" t="s">
        <v>136</v>
      </c>
      <c r="AB231">
        <v>3.4</v>
      </c>
      <c r="AC231" t="s">
        <v>930</v>
      </c>
      <c r="AD231">
        <v>0</v>
      </c>
      <c r="AE231" s="2">
        <v>45962</v>
      </c>
      <c r="AF231">
        <v>4</v>
      </c>
      <c r="AG231">
        <v>7</v>
      </c>
    </row>
    <row r="232" spans="1:33">
      <c r="A232">
        <v>10119</v>
      </c>
      <c r="B232" t="s">
        <v>1176</v>
      </c>
      <c r="C232" t="s">
        <v>42</v>
      </c>
      <c r="D232" t="s">
        <v>42</v>
      </c>
      <c r="E232" t="s">
        <v>934</v>
      </c>
      <c r="F232" t="s">
        <v>46</v>
      </c>
      <c r="G232" t="s">
        <v>71</v>
      </c>
      <c r="H232" t="s">
        <v>125</v>
      </c>
      <c r="I232">
        <v>66593</v>
      </c>
      <c r="J232" s="3">
        <v>799116</v>
      </c>
      <c r="K232" s="2">
        <v>26735</v>
      </c>
      <c r="L232" t="s">
        <v>51</v>
      </c>
      <c r="M232" t="s">
        <v>29</v>
      </c>
      <c r="N232">
        <v>2360</v>
      </c>
      <c r="O232" t="s">
        <v>33</v>
      </c>
      <c r="P232" t="s">
        <v>32</v>
      </c>
      <c r="Q232" t="s">
        <v>68</v>
      </c>
      <c r="R232" s="2">
        <v>40704</v>
      </c>
      <c r="S232" s="1" t="s">
        <v>35</v>
      </c>
      <c r="T232">
        <v>0</v>
      </c>
      <c r="U232" t="s">
        <v>36</v>
      </c>
      <c r="V232">
        <v>1</v>
      </c>
      <c r="W232" t="s">
        <v>36</v>
      </c>
      <c r="X232">
        <v>0</v>
      </c>
      <c r="Y232" t="s">
        <v>39</v>
      </c>
      <c r="Z232">
        <v>3</v>
      </c>
      <c r="AA232" t="s">
        <v>49</v>
      </c>
      <c r="AB232">
        <v>4.3</v>
      </c>
      <c r="AC232" t="s">
        <v>932</v>
      </c>
      <c r="AD232">
        <v>5</v>
      </c>
      <c r="AE232" s="2">
        <v>43504</v>
      </c>
      <c r="AF232">
        <v>0</v>
      </c>
      <c r="AG232">
        <v>19</v>
      </c>
    </row>
    <row r="233" spans="1:33">
      <c r="A233">
        <v>10119</v>
      </c>
      <c r="B233" t="s">
        <v>1341</v>
      </c>
      <c r="C233" t="s">
        <v>42</v>
      </c>
      <c r="D233" t="s">
        <v>31</v>
      </c>
      <c r="E233" t="s">
        <v>929</v>
      </c>
      <c r="F233" t="s">
        <v>288</v>
      </c>
      <c r="G233" t="s">
        <v>294</v>
      </c>
      <c r="H233" t="s">
        <v>432</v>
      </c>
      <c r="I233">
        <v>32102</v>
      </c>
      <c r="J233" s="3">
        <v>385224</v>
      </c>
      <c r="K233" s="2">
        <v>28644</v>
      </c>
      <c r="L233" t="s">
        <v>51</v>
      </c>
      <c r="M233" t="s">
        <v>210</v>
      </c>
      <c r="N233">
        <v>50558</v>
      </c>
      <c r="O233" t="s">
        <v>73</v>
      </c>
      <c r="P233" t="s">
        <v>32</v>
      </c>
      <c r="Q233" t="s">
        <v>160</v>
      </c>
      <c r="R233" s="2">
        <v>45225</v>
      </c>
      <c r="S233" s="1" t="s">
        <v>35</v>
      </c>
      <c r="T233">
        <v>1</v>
      </c>
      <c r="U233" t="s">
        <v>273</v>
      </c>
      <c r="V233">
        <v>3</v>
      </c>
      <c r="W233" t="s">
        <v>36</v>
      </c>
      <c r="X233">
        <v>0</v>
      </c>
      <c r="Y233" t="s">
        <v>280</v>
      </c>
      <c r="Z233">
        <v>1</v>
      </c>
      <c r="AA233" t="s">
        <v>276</v>
      </c>
      <c r="AB233">
        <v>4</v>
      </c>
      <c r="AC233" t="s">
        <v>1003</v>
      </c>
      <c r="AD233">
        <v>5</v>
      </c>
      <c r="AE233" s="2">
        <v>45303</v>
      </c>
      <c r="AF233">
        <v>0</v>
      </c>
      <c r="AG233">
        <v>9</v>
      </c>
    </row>
    <row r="234" spans="1:33">
      <c r="A234">
        <v>10120</v>
      </c>
      <c r="B234" t="s">
        <v>1114</v>
      </c>
      <c r="C234" t="s">
        <v>31</v>
      </c>
      <c r="D234" t="s">
        <v>964</v>
      </c>
      <c r="E234" t="s">
        <v>929</v>
      </c>
      <c r="F234" t="s">
        <v>37</v>
      </c>
      <c r="G234" t="s">
        <v>50</v>
      </c>
      <c r="H234" t="s">
        <v>38</v>
      </c>
      <c r="I234">
        <v>74417</v>
      </c>
      <c r="J234" s="3">
        <v>893004</v>
      </c>
      <c r="K234" s="2">
        <v>27364</v>
      </c>
      <c r="L234" t="s">
        <v>30</v>
      </c>
      <c r="M234" t="s">
        <v>29</v>
      </c>
      <c r="N234">
        <v>1460</v>
      </c>
      <c r="O234" t="s">
        <v>33</v>
      </c>
      <c r="P234" t="s">
        <v>32</v>
      </c>
      <c r="Q234" t="s">
        <v>68</v>
      </c>
      <c r="R234" s="2">
        <v>41407</v>
      </c>
      <c r="S234" s="1" t="s">
        <v>35</v>
      </c>
      <c r="T234">
        <v>0</v>
      </c>
      <c r="U234" t="s">
        <v>36</v>
      </c>
      <c r="V234">
        <v>1</v>
      </c>
      <c r="W234" t="s">
        <v>36</v>
      </c>
      <c r="X234">
        <v>0</v>
      </c>
      <c r="Y234" t="s">
        <v>39</v>
      </c>
      <c r="Z234">
        <v>3</v>
      </c>
      <c r="AA234" t="s">
        <v>49</v>
      </c>
      <c r="AB234">
        <v>4.29</v>
      </c>
      <c r="AC234" t="s">
        <v>930</v>
      </c>
      <c r="AD234">
        <v>0</v>
      </c>
      <c r="AE234" s="2">
        <v>43493</v>
      </c>
      <c r="AF234">
        <v>0</v>
      </c>
      <c r="AG234">
        <v>11</v>
      </c>
    </row>
    <row r="235" spans="1:33">
      <c r="A235">
        <v>10120</v>
      </c>
      <c r="B235" t="s">
        <v>1342</v>
      </c>
      <c r="C235" t="s">
        <v>42</v>
      </c>
      <c r="D235" t="s">
        <v>31</v>
      </c>
      <c r="E235" t="s">
        <v>934</v>
      </c>
      <c r="F235" t="s">
        <v>271</v>
      </c>
      <c r="G235" t="s">
        <v>294</v>
      </c>
      <c r="H235" t="s">
        <v>433</v>
      </c>
      <c r="I235">
        <v>85322</v>
      </c>
      <c r="J235" s="3">
        <v>1023864</v>
      </c>
      <c r="K235" s="2">
        <v>28482</v>
      </c>
      <c r="L235" t="s">
        <v>51</v>
      </c>
      <c r="M235" t="s">
        <v>144</v>
      </c>
      <c r="N235">
        <v>74796</v>
      </c>
      <c r="O235" t="s">
        <v>33</v>
      </c>
      <c r="P235" t="s">
        <v>32</v>
      </c>
      <c r="Q235" t="s">
        <v>160</v>
      </c>
      <c r="R235" s="2">
        <v>44768</v>
      </c>
      <c r="S235" s="1" t="s">
        <v>398</v>
      </c>
      <c r="T235">
        <v>1</v>
      </c>
      <c r="U235" t="s">
        <v>273</v>
      </c>
      <c r="V235">
        <v>1</v>
      </c>
      <c r="W235" t="s">
        <v>36</v>
      </c>
      <c r="X235">
        <v>1</v>
      </c>
      <c r="Y235" t="s">
        <v>142</v>
      </c>
      <c r="Z235">
        <v>4</v>
      </c>
      <c r="AA235" t="s">
        <v>136</v>
      </c>
      <c r="AB235">
        <v>4.5999999999999996</v>
      </c>
      <c r="AC235" t="s">
        <v>932</v>
      </c>
      <c r="AD235">
        <v>0</v>
      </c>
      <c r="AE235" s="2">
        <v>45738</v>
      </c>
      <c r="AF235">
        <v>0</v>
      </c>
      <c r="AG235">
        <v>0</v>
      </c>
    </row>
    <row r="236" spans="1:33">
      <c r="A236">
        <v>10121</v>
      </c>
      <c r="B236" t="s">
        <v>1126</v>
      </c>
      <c r="C236" t="s">
        <v>31</v>
      </c>
      <c r="D236" t="s">
        <v>31</v>
      </c>
      <c r="E236" t="s">
        <v>934</v>
      </c>
      <c r="F236" t="s">
        <v>113</v>
      </c>
      <c r="G236" t="s">
        <v>110</v>
      </c>
      <c r="H236" t="s">
        <v>121</v>
      </c>
      <c r="I236">
        <v>63051</v>
      </c>
      <c r="J236" s="3">
        <v>756612</v>
      </c>
      <c r="K236" s="2">
        <v>33004</v>
      </c>
      <c r="L236" t="s">
        <v>51</v>
      </c>
      <c r="M236" t="s">
        <v>210</v>
      </c>
      <c r="N236">
        <v>33174</v>
      </c>
      <c r="O236" t="s">
        <v>73</v>
      </c>
      <c r="P236" t="s">
        <v>32</v>
      </c>
      <c r="Q236" t="s">
        <v>34</v>
      </c>
      <c r="R236" s="2">
        <v>41547</v>
      </c>
      <c r="S236" s="1" t="s">
        <v>35</v>
      </c>
      <c r="T236">
        <v>0</v>
      </c>
      <c r="U236" t="s">
        <v>36</v>
      </c>
      <c r="V236">
        <v>1</v>
      </c>
      <c r="W236" t="s">
        <v>36</v>
      </c>
      <c r="X236">
        <v>0</v>
      </c>
      <c r="Y236" t="s">
        <v>48</v>
      </c>
      <c r="Z236">
        <v>3</v>
      </c>
      <c r="AA236" t="s">
        <v>49</v>
      </c>
      <c r="AB236">
        <v>4.28</v>
      </c>
      <c r="AC236" t="s">
        <v>932</v>
      </c>
      <c r="AD236">
        <v>0</v>
      </c>
      <c r="AE236" s="2">
        <v>43490</v>
      </c>
      <c r="AF236">
        <v>0</v>
      </c>
      <c r="AG236">
        <v>1</v>
      </c>
    </row>
    <row r="237" spans="1:33">
      <c r="A237">
        <v>10121</v>
      </c>
      <c r="B237" t="s">
        <v>1343</v>
      </c>
      <c r="C237" t="s">
        <v>31</v>
      </c>
      <c r="D237" t="s">
        <v>42</v>
      </c>
      <c r="E237" t="s">
        <v>934</v>
      </c>
      <c r="F237" t="s">
        <v>288</v>
      </c>
      <c r="G237" t="s">
        <v>62</v>
      </c>
      <c r="H237" t="s">
        <v>434</v>
      </c>
      <c r="I237">
        <v>86729</v>
      </c>
      <c r="J237" s="3">
        <v>1040748</v>
      </c>
      <c r="K237" s="2">
        <v>23750</v>
      </c>
      <c r="L237" t="s">
        <v>51</v>
      </c>
      <c r="M237" t="s">
        <v>80</v>
      </c>
      <c r="N237">
        <v>87992</v>
      </c>
      <c r="O237" t="s">
        <v>73</v>
      </c>
      <c r="P237" t="s">
        <v>32</v>
      </c>
      <c r="Q237" t="s">
        <v>34</v>
      </c>
      <c r="R237" s="2">
        <v>44168</v>
      </c>
      <c r="S237" s="1" t="s">
        <v>35</v>
      </c>
      <c r="T237">
        <v>1</v>
      </c>
      <c r="U237" t="s">
        <v>290</v>
      </c>
      <c r="V237">
        <v>3</v>
      </c>
      <c r="W237" t="s">
        <v>87</v>
      </c>
      <c r="X237">
        <v>1</v>
      </c>
      <c r="Y237" t="s">
        <v>142</v>
      </c>
      <c r="Z237">
        <v>4</v>
      </c>
      <c r="AA237" t="s">
        <v>49</v>
      </c>
      <c r="AB237">
        <v>4.5999999999999996</v>
      </c>
      <c r="AC237" t="s">
        <v>932</v>
      </c>
      <c r="AD237">
        <v>2</v>
      </c>
      <c r="AE237" s="2">
        <v>45660</v>
      </c>
      <c r="AF237">
        <v>4</v>
      </c>
      <c r="AG237">
        <v>2</v>
      </c>
    </row>
    <row r="238" spans="1:33">
      <c r="A238">
        <v>10122</v>
      </c>
      <c r="B238" t="s">
        <v>1031</v>
      </c>
      <c r="C238" t="s">
        <v>31</v>
      </c>
      <c r="D238" t="s">
        <v>56</v>
      </c>
      <c r="E238" t="s">
        <v>934</v>
      </c>
      <c r="F238" t="s">
        <v>37</v>
      </c>
      <c r="G238" t="s">
        <v>28</v>
      </c>
      <c r="H238" t="s">
        <v>55</v>
      </c>
      <c r="I238">
        <v>51505</v>
      </c>
      <c r="J238" s="3">
        <v>618060</v>
      </c>
      <c r="K238" s="2">
        <v>25703</v>
      </c>
      <c r="L238" t="s">
        <v>51</v>
      </c>
      <c r="M238" t="s">
        <v>29</v>
      </c>
      <c r="N238">
        <v>2330</v>
      </c>
      <c r="O238" t="s">
        <v>33</v>
      </c>
      <c r="P238" t="s">
        <v>32</v>
      </c>
      <c r="Q238" t="s">
        <v>68</v>
      </c>
      <c r="R238" s="2">
        <v>40854</v>
      </c>
      <c r="S238" s="1" t="s">
        <v>161</v>
      </c>
      <c r="T238">
        <v>1</v>
      </c>
      <c r="U238" t="s">
        <v>53</v>
      </c>
      <c r="V238">
        <v>5</v>
      </c>
      <c r="W238" t="s">
        <v>45</v>
      </c>
      <c r="X238">
        <v>1</v>
      </c>
      <c r="Y238" t="s">
        <v>70</v>
      </c>
      <c r="Z238">
        <v>3</v>
      </c>
      <c r="AA238" t="s">
        <v>49</v>
      </c>
      <c r="AB238">
        <v>4.24</v>
      </c>
      <c r="AC238" t="s">
        <v>937</v>
      </c>
      <c r="AD238">
        <v>0</v>
      </c>
      <c r="AE238" s="2">
        <v>42489</v>
      </c>
      <c r="AF238">
        <v>0</v>
      </c>
      <c r="AG238">
        <v>2</v>
      </c>
    </row>
    <row r="239" spans="1:33">
      <c r="A239">
        <v>10122</v>
      </c>
      <c r="B239" t="s">
        <v>1344</v>
      </c>
      <c r="C239" t="s">
        <v>42</v>
      </c>
      <c r="D239" t="s">
        <v>42</v>
      </c>
      <c r="E239" t="s">
        <v>934</v>
      </c>
      <c r="F239" t="s">
        <v>274</v>
      </c>
      <c r="G239" t="s">
        <v>277</v>
      </c>
      <c r="H239" t="s">
        <v>436</v>
      </c>
      <c r="I239">
        <v>109096</v>
      </c>
      <c r="J239" s="3">
        <v>1309152</v>
      </c>
      <c r="K239" s="2">
        <v>25568</v>
      </c>
      <c r="L239" t="s">
        <v>51</v>
      </c>
      <c r="M239" t="s">
        <v>144</v>
      </c>
      <c r="N239">
        <v>54980</v>
      </c>
      <c r="O239" t="s">
        <v>33</v>
      </c>
      <c r="P239" t="s">
        <v>124</v>
      </c>
      <c r="Q239" t="s">
        <v>34</v>
      </c>
      <c r="R239" s="2">
        <v>43717</v>
      </c>
      <c r="S239" s="1" t="s">
        <v>435</v>
      </c>
      <c r="T239">
        <v>1</v>
      </c>
      <c r="U239" t="s">
        <v>36</v>
      </c>
      <c r="V239">
        <v>2</v>
      </c>
      <c r="W239" t="s">
        <v>45</v>
      </c>
      <c r="X239">
        <v>1</v>
      </c>
      <c r="Y239" t="s">
        <v>48</v>
      </c>
      <c r="Z239">
        <v>1</v>
      </c>
      <c r="AA239" t="s">
        <v>136</v>
      </c>
      <c r="AB239">
        <v>3.1</v>
      </c>
      <c r="AC239" t="s">
        <v>932</v>
      </c>
      <c r="AD239">
        <v>3</v>
      </c>
      <c r="AE239" s="2">
        <v>45835</v>
      </c>
      <c r="AF239">
        <v>2</v>
      </c>
      <c r="AG239">
        <v>9</v>
      </c>
    </row>
    <row r="240" spans="1:33">
      <c r="A240">
        <v>10123</v>
      </c>
      <c r="B240" t="s">
        <v>1194</v>
      </c>
      <c r="C240" t="s">
        <v>31</v>
      </c>
      <c r="D240" t="s">
        <v>56</v>
      </c>
      <c r="E240" t="s">
        <v>934</v>
      </c>
      <c r="F240" t="s">
        <v>37</v>
      </c>
      <c r="G240" t="s">
        <v>28</v>
      </c>
      <c r="H240" t="s">
        <v>69</v>
      </c>
      <c r="I240">
        <v>56339</v>
      </c>
      <c r="J240" s="3">
        <v>676068</v>
      </c>
      <c r="K240" s="2">
        <v>24628</v>
      </c>
      <c r="L240" t="s">
        <v>51</v>
      </c>
      <c r="M240" t="s">
        <v>29</v>
      </c>
      <c r="N240">
        <v>2093</v>
      </c>
      <c r="O240" t="s">
        <v>33</v>
      </c>
      <c r="P240" t="s">
        <v>32</v>
      </c>
      <c r="Q240" t="s">
        <v>68</v>
      </c>
      <c r="R240" s="2">
        <v>41323</v>
      </c>
      <c r="S240" s="1" t="s">
        <v>35</v>
      </c>
      <c r="T240">
        <v>0</v>
      </c>
      <c r="U240" t="s">
        <v>36</v>
      </c>
      <c r="V240">
        <v>1</v>
      </c>
      <c r="W240" t="s">
        <v>36</v>
      </c>
      <c r="X240">
        <v>0</v>
      </c>
      <c r="Y240" t="s">
        <v>48</v>
      </c>
      <c r="Z240">
        <v>3</v>
      </c>
      <c r="AA240" t="s">
        <v>49</v>
      </c>
      <c r="AB240">
        <v>4.21</v>
      </c>
      <c r="AC240" t="s">
        <v>930</v>
      </c>
      <c r="AD240">
        <v>0</v>
      </c>
      <c r="AE240" s="2">
        <v>43479</v>
      </c>
      <c r="AF240">
        <v>0</v>
      </c>
      <c r="AG240">
        <v>4</v>
      </c>
    </row>
    <row r="241" spans="1:33">
      <c r="A241">
        <v>10123</v>
      </c>
      <c r="B241" t="s">
        <v>1345</v>
      </c>
      <c r="C241" t="s">
        <v>42</v>
      </c>
      <c r="D241" t="s">
        <v>31</v>
      </c>
      <c r="E241" t="s">
        <v>934</v>
      </c>
      <c r="F241" t="s">
        <v>271</v>
      </c>
      <c r="G241" t="s">
        <v>277</v>
      </c>
      <c r="H241" t="s">
        <v>439</v>
      </c>
      <c r="I241">
        <v>79023</v>
      </c>
      <c r="J241" s="3">
        <v>948276</v>
      </c>
      <c r="K241" s="2">
        <v>36012</v>
      </c>
      <c r="L241" t="s">
        <v>264</v>
      </c>
      <c r="M241" t="s">
        <v>29</v>
      </c>
      <c r="N241">
        <v>67503</v>
      </c>
      <c r="O241" t="s">
        <v>73</v>
      </c>
      <c r="P241" t="s">
        <v>124</v>
      </c>
      <c r="Q241" t="s">
        <v>92</v>
      </c>
      <c r="R241" s="2">
        <v>44683</v>
      </c>
      <c r="S241" s="1" t="s">
        <v>438</v>
      </c>
      <c r="T241">
        <v>0</v>
      </c>
      <c r="U241" t="s">
        <v>36</v>
      </c>
      <c r="V241">
        <v>3</v>
      </c>
      <c r="W241" t="s">
        <v>87</v>
      </c>
      <c r="X241">
        <v>1</v>
      </c>
      <c r="Y241" t="s">
        <v>39</v>
      </c>
      <c r="Z241">
        <v>4</v>
      </c>
      <c r="AA241" t="s">
        <v>276</v>
      </c>
      <c r="AB241">
        <v>3.1</v>
      </c>
      <c r="AC241" t="s">
        <v>937</v>
      </c>
      <c r="AD241">
        <v>0</v>
      </c>
      <c r="AE241" s="2">
        <v>45913</v>
      </c>
      <c r="AF241">
        <v>4</v>
      </c>
      <c r="AG241">
        <v>6</v>
      </c>
    </row>
    <row r="242" spans="1:33">
      <c r="A242">
        <v>10124</v>
      </c>
      <c r="B242" t="s">
        <v>1142</v>
      </c>
      <c r="C242" t="s">
        <v>42</v>
      </c>
      <c r="D242" t="s">
        <v>42</v>
      </c>
      <c r="E242" t="s">
        <v>934</v>
      </c>
      <c r="F242" t="s">
        <v>113</v>
      </c>
      <c r="G242" t="s">
        <v>110</v>
      </c>
      <c r="H242" t="s">
        <v>121</v>
      </c>
      <c r="I242">
        <v>61844</v>
      </c>
      <c r="J242" s="3">
        <v>742128</v>
      </c>
      <c r="K242" s="2">
        <v>32384</v>
      </c>
      <c r="L242" t="s">
        <v>51</v>
      </c>
      <c r="M242" t="s">
        <v>222</v>
      </c>
      <c r="N242">
        <v>40220</v>
      </c>
      <c r="O242" t="s">
        <v>33</v>
      </c>
      <c r="P242" t="s">
        <v>32</v>
      </c>
      <c r="Q242" t="s">
        <v>68</v>
      </c>
      <c r="R242" s="2">
        <v>40917</v>
      </c>
      <c r="S242" s="1" t="s">
        <v>35</v>
      </c>
      <c r="T242">
        <v>0</v>
      </c>
      <c r="U242" t="s">
        <v>36</v>
      </c>
      <c r="V242">
        <v>1</v>
      </c>
      <c r="W242" t="s">
        <v>36</v>
      </c>
      <c r="X242">
        <v>0</v>
      </c>
      <c r="Y242" t="s">
        <v>142</v>
      </c>
      <c r="Z242">
        <v>3</v>
      </c>
      <c r="AA242" t="s">
        <v>49</v>
      </c>
      <c r="AB242">
        <v>4.2</v>
      </c>
      <c r="AC242" t="s">
        <v>930</v>
      </c>
      <c r="AD242">
        <v>0</v>
      </c>
      <c r="AE242" s="2">
        <v>43497</v>
      </c>
      <c r="AF242">
        <v>0</v>
      </c>
      <c r="AG242">
        <v>9</v>
      </c>
    </row>
    <row r="243" spans="1:33">
      <c r="A243">
        <v>10124</v>
      </c>
      <c r="B243" t="s">
        <v>1346</v>
      </c>
      <c r="C243" t="s">
        <v>42</v>
      </c>
      <c r="D243" t="s">
        <v>42</v>
      </c>
      <c r="E243" t="s">
        <v>929</v>
      </c>
      <c r="F243" t="s">
        <v>113</v>
      </c>
      <c r="G243" t="s">
        <v>269</v>
      </c>
      <c r="H243" t="s">
        <v>440</v>
      </c>
      <c r="I243">
        <v>97550</v>
      </c>
      <c r="J243" s="3">
        <v>1170600</v>
      </c>
      <c r="K243" s="2">
        <v>33497</v>
      </c>
      <c r="L243" t="s">
        <v>51</v>
      </c>
      <c r="M243" t="s">
        <v>144</v>
      </c>
      <c r="N243">
        <v>860</v>
      </c>
      <c r="O243" t="s">
        <v>73</v>
      </c>
      <c r="P243" t="s">
        <v>124</v>
      </c>
      <c r="Q243" t="s">
        <v>34</v>
      </c>
      <c r="R243" s="2">
        <v>45148</v>
      </c>
      <c r="S243" s="1" t="s">
        <v>35</v>
      </c>
      <c r="T243">
        <v>1</v>
      </c>
      <c r="U243" t="s">
        <v>273</v>
      </c>
      <c r="V243">
        <v>3</v>
      </c>
      <c r="W243" t="s">
        <v>36</v>
      </c>
      <c r="X243">
        <v>1</v>
      </c>
      <c r="Y243" t="s">
        <v>280</v>
      </c>
      <c r="Z243">
        <v>3</v>
      </c>
      <c r="AA243" t="s">
        <v>49</v>
      </c>
      <c r="AB243">
        <v>3.8</v>
      </c>
      <c r="AC243" t="s">
        <v>937</v>
      </c>
      <c r="AD243">
        <v>5</v>
      </c>
      <c r="AE243" s="2">
        <v>45656</v>
      </c>
      <c r="AF243">
        <v>4</v>
      </c>
      <c r="AG243">
        <v>8</v>
      </c>
    </row>
    <row r="244" spans="1:33">
      <c r="A244">
        <v>10125</v>
      </c>
      <c r="B244" t="s">
        <v>1049</v>
      </c>
      <c r="C244" t="s">
        <v>42</v>
      </c>
      <c r="D244" t="s">
        <v>42</v>
      </c>
      <c r="E244" t="s">
        <v>934</v>
      </c>
      <c r="F244" t="s">
        <v>37</v>
      </c>
      <c r="G244" t="s">
        <v>28</v>
      </c>
      <c r="H244" t="s">
        <v>38</v>
      </c>
      <c r="I244">
        <v>54828</v>
      </c>
      <c r="J244" s="3">
        <v>657936</v>
      </c>
      <c r="K244" s="2">
        <v>28207</v>
      </c>
      <c r="L244" t="s">
        <v>51</v>
      </c>
      <c r="M244" t="s">
        <v>29</v>
      </c>
      <c r="N244">
        <v>2127</v>
      </c>
      <c r="O244" t="s">
        <v>33</v>
      </c>
      <c r="P244" t="s">
        <v>32</v>
      </c>
      <c r="Q244" t="s">
        <v>34</v>
      </c>
      <c r="R244" s="2">
        <v>40875</v>
      </c>
      <c r="S244" s="1" t="s">
        <v>35</v>
      </c>
      <c r="T244">
        <v>0</v>
      </c>
      <c r="U244" t="s">
        <v>36</v>
      </c>
      <c r="V244">
        <v>1</v>
      </c>
      <c r="W244" t="s">
        <v>36</v>
      </c>
      <c r="X244">
        <v>0</v>
      </c>
      <c r="Y244" t="s">
        <v>60</v>
      </c>
      <c r="Z244">
        <v>3</v>
      </c>
      <c r="AA244" t="s">
        <v>49</v>
      </c>
      <c r="AB244">
        <v>4.2</v>
      </c>
      <c r="AC244" t="s">
        <v>937</v>
      </c>
      <c r="AD244">
        <v>0</v>
      </c>
      <c r="AE244" s="2">
        <v>43518</v>
      </c>
      <c r="AF244">
        <v>0</v>
      </c>
      <c r="AG244">
        <v>13</v>
      </c>
    </row>
    <row r="245" spans="1:33">
      <c r="A245">
        <v>10125</v>
      </c>
      <c r="B245" t="s">
        <v>1347</v>
      </c>
      <c r="C245" t="s">
        <v>42</v>
      </c>
      <c r="D245" t="s">
        <v>56</v>
      </c>
      <c r="E245" t="s">
        <v>929</v>
      </c>
      <c r="F245" t="s">
        <v>283</v>
      </c>
      <c r="G245" t="s">
        <v>28</v>
      </c>
      <c r="H245" t="s">
        <v>441</v>
      </c>
      <c r="I245">
        <v>115257</v>
      </c>
      <c r="J245" s="3">
        <v>1383084</v>
      </c>
      <c r="K245" s="2">
        <v>35502</v>
      </c>
      <c r="L245" t="s">
        <v>264</v>
      </c>
      <c r="M245" t="s">
        <v>210</v>
      </c>
      <c r="N245">
        <v>31374</v>
      </c>
      <c r="O245" t="s">
        <v>33</v>
      </c>
      <c r="P245" t="s">
        <v>124</v>
      </c>
      <c r="Q245" t="s">
        <v>270</v>
      </c>
      <c r="R245" s="2">
        <v>42818</v>
      </c>
      <c r="S245" s="1" t="s">
        <v>35</v>
      </c>
      <c r="T245">
        <v>1</v>
      </c>
      <c r="U245" t="s">
        <v>298</v>
      </c>
      <c r="V245">
        <v>2</v>
      </c>
      <c r="W245" t="s">
        <v>45</v>
      </c>
      <c r="X245">
        <v>0</v>
      </c>
      <c r="Y245" t="s">
        <v>142</v>
      </c>
      <c r="Z245">
        <v>1</v>
      </c>
      <c r="AA245" t="s">
        <v>49</v>
      </c>
      <c r="AB245">
        <v>3.9</v>
      </c>
      <c r="AC245" t="s">
        <v>962</v>
      </c>
      <c r="AD245">
        <v>4</v>
      </c>
      <c r="AE245" s="2">
        <v>45794</v>
      </c>
      <c r="AF245">
        <v>2</v>
      </c>
      <c r="AG245">
        <v>10</v>
      </c>
    </row>
    <row r="246" spans="1:33">
      <c r="A246">
        <v>10126</v>
      </c>
      <c r="B246" t="s">
        <v>1162</v>
      </c>
      <c r="C246" t="s">
        <v>42</v>
      </c>
      <c r="D246" t="s">
        <v>42</v>
      </c>
      <c r="E246" t="s">
        <v>934</v>
      </c>
      <c r="F246" t="s">
        <v>63</v>
      </c>
      <c r="G246" t="s">
        <v>62</v>
      </c>
      <c r="H246" t="s">
        <v>64</v>
      </c>
      <c r="I246">
        <v>86214</v>
      </c>
      <c r="J246" s="3">
        <v>1034568</v>
      </c>
      <c r="K246" s="2">
        <v>31617</v>
      </c>
      <c r="L246" t="s">
        <v>51</v>
      </c>
      <c r="M246" t="s">
        <v>29</v>
      </c>
      <c r="N246">
        <v>2132</v>
      </c>
      <c r="O246" t="s">
        <v>33</v>
      </c>
      <c r="P246" t="s">
        <v>32</v>
      </c>
      <c r="Q246" t="s">
        <v>34</v>
      </c>
      <c r="R246" s="2">
        <v>41218</v>
      </c>
      <c r="S246" s="1" t="s">
        <v>35</v>
      </c>
      <c r="T246">
        <v>0</v>
      </c>
      <c r="U246" t="s">
        <v>36</v>
      </c>
      <c r="V246">
        <v>1</v>
      </c>
      <c r="W246" t="s">
        <v>36</v>
      </c>
      <c r="X246">
        <v>0</v>
      </c>
      <c r="Y246" t="s">
        <v>48</v>
      </c>
      <c r="Z246">
        <v>3</v>
      </c>
      <c r="AA246" t="s">
        <v>49</v>
      </c>
      <c r="AB246">
        <v>4.2</v>
      </c>
      <c r="AC246" t="s">
        <v>932</v>
      </c>
      <c r="AD246">
        <v>6</v>
      </c>
      <c r="AE246" s="2">
        <v>43509</v>
      </c>
      <c r="AF246">
        <v>0</v>
      </c>
      <c r="AG246">
        <v>2</v>
      </c>
    </row>
    <row r="247" spans="1:33">
      <c r="A247">
        <v>10126</v>
      </c>
      <c r="B247" t="s">
        <v>1348</v>
      </c>
      <c r="C247" t="s">
        <v>42</v>
      </c>
      <c r="D247" t="s">
        <v>42</v>
      </c>
      <c r="E247" t="s">
        <v>934</v>
      </c>
      <c r="F247" t="s">
        <v>283</v>
      </c>
      <c r="G247" t="s">
        <v>294</v>
      </c>
      <c r="H247" t="s">
        <v>443</v>
      </c>
      <c r="I247">
        <v>75043</v>
      </c>
      <c r="J247" s="3">
        <v>900516</v>
      </c>
      <c r="K247" s="2">
        <v>35919</v>
      </c>
      <c r="L247" t="s">
        <v>51</v>
      </c>
      <c r="M247" t="s">
        <v>191</v>
      </c>
      <c r="N247">
        <v>67147</v>
      </c>
      <c r="O247" t="s">
        <v>73</v>
      </c>
      <c r="P247" t="s">
        <v>124</v>
      </c>
      <c r="Q247" t="s">
        <v>92</v>
      </c>
      <c r="R247" s="2">
        <v>43116</v>
      </c>
      <c r="S247" s="1" t="s">
        <v>442</v>
      </c>
      <c r="T247">
        <v>1</v>
      </c>
      <c r="U247" t="s">
        <v>36</v>
      </c>
      <c r="V247">
        <v>1</v>
      </c>
      <c r="W247" t="s">
        <v>36</v>
      </c>
      <c r="X247">
        <v>1</v>
      </c>
      <c r="Y247" t="s">
        <v>39</v>
      </c>
      <c r="Z247">
        <v>4</v>
      </c>
      <c r="AA247" t="s">
        <v>136</v>
      </c>
      <c r="AB247">
        <v>3.7</v>
      </c>
      <c r="AC247" t="s">
        <v>937</v>
      </c>
      <c r="AD247">
        <v>2</v>
      </c>
      <c r="AE247" s="2">
        <v>45671</v>
      </c>
      <c r="AF247">
        <v>4</v>
      </c>
      <c r="AG247">
        <v>5</v>
      </c>
    </row>
    <row r="248" spans="1:33">
      <c r="A248">
        <v>10127</v>
      </c>
      <c r="B248" t="s">
        <v>1212</v>
      </c>
      <c r="C248" t="s">
        <v>31</v>
      </c>
      <c r="D248" t="s">
        <v>65</v>
      </c>
      <c r="E248" t="s">
        <v>934</v>
      </c>
      <c r="F248" t="s">
        <v>46</v>
      </c>
      <c r="G248" t="s">
        <v>131</v>
      </c>
      <c r="H248" t="s">
        <v>72</v>
      </c>
      <c r="I248">
        <v>107226</v>
      </c>
      <c r="J248" s="3">
        <v>1286712</v>
      </c>
      <c r="K248" s="2">
        <v>28612</v>
      </c>
      <c r="L248" t="s">
        <v>51</v>
      </c>
      <c r="M248" t="s">
        <v>29</v>
      </c>
      <c r="N248">
        <v>2453</v>
      </c>
      <c r="O248" t="s">
        <v>33</v>
      </c>
      <c r="P248" t="s">
        <v>32</v>
      </c>
      <c r="Q248" t="s">
        <v>92</v>
      </c>
      <c r="R248" s="2">
        <v>42093</v>
      </c>
      <c r="S248" s="1" t="s">
        <v>35</v>
      </c>
      <c r="T248">
        <v>0</v>
      </c>
      <c r="U248" t="s">
        <v>36</v>
      </c>
      <c r="V248">
        <v>1</v>
      </c>
      <c r="W248" t="s">
        <v>36</v>
      </c>
      <c r="X248">
        <v>0</v>
      </c>
      <c r="Y248" t="s">
        <v>67</v>
      </c>
      <c r="Z248">
        <v>3</v>
      </c>
      <c r="AA248" t="s">
        <v>49</v>
      </c>
      <c r="AB248">
        <v>4.2</v>
      </c>
      <c r="AC248" t="s">
        <v>937</v>
      </c>
      <c r="AD248">
        <v>8</v>
      </c>
      <c r="AE248" s="2">
        <v>43501</v>
      </c>
      <c r="AF248">
        <v>0</v>
      </c>
      <c r="AG248">
        <v>7</v>
      </c>
    </row>
    <row r="249" spans="1:33">
      <c r="A249">
        <v>10127</v>
      </c>
      <c r="B249" t="s">
        <v>1349</v>
      </c>
      <c r="C249" t="s">
        <v>42</v>
      </c>
      <c r="D249" t="s">
        <v>31</v>
      </c>
      <c r="E249" t="s">
        <v>934</v>
      </c>
      <c r="F249" t="s">
        <v>274</v>
      </c>
      <c r="G249" t="s">
        <v>294</v>
      </c>
      <c r="H249" t="s">
        <v>444</v>
      </c>
      <c r="I249">
        <v>30752</v>
      </c>
      <c r="J249" s="3">
        <v>369024</v>
      </c>
      <c r="K249" s="2">
        <v>36233</v>
      </c>
      <c r="L249" t="s">
        <v>264</v>
      </c>
      <c r="M249" t="s">
        <v>29</v>
      </c>
      <c r="N249">
        <v>21520</v>
      </c>
      <c r="O249" t="s">
        <v>33</v>
      </c>
      <c r="P249" t="s">
        <v>124</v>
      </c>
      <c r="Q249" t="s">
        <v>34</v>
      </c>
      <c r="R249" s="2">
        <v>45362</v>
      </c>
      <c r="S249" s="1" t="s">
        <v>35</v>
      </c>
      <c r="T249">
        <v>1</v>
      </c>
      <c r="U249" t="s">
        <v>298</v>
      </c>
      <c r="V249">
        <v>3</v>
      </c>
      <c r="W249" t="s">
        <v>45</v>
      </c>
      <c r="X249">
        <v>0</v>
      </c>
      <c r="Y249" t="s">
        <v>48</v>
      </c>
      <c r="Z249">
        <v>4</v>
      </c>
      <c r="AA249" t="s">
        <v>95</v>
      </c>
      <c r="AB249">
        <v>3.4</v>
      </c>
      <c r="AC249" t="s">
        <v>932</v>
      </c>
      <c r="AD249">
        <v>0</v>
      </c>
      <c r="AE249" s="2">
        <v>45906</v>
      </c>
      <c r="AF249">
        <v>4</v>
      </c>
      <c r="AG249">
        <v>9</v>
      </c>
    </row>
    <row r="250" spans="1:33">
      <c r="A250">
        <v>10128</v>
      </c>
      <c r="B250" t="s">
        <v>1106</v>
      </c>
      <c r="C250" t="s">
        <v>31</v>
      </c>
      <c r="D250" t="s">
        <v>31</v>
      </c>
      <c r="E250" t="s">
        <v>934</v>
      </c>
      <c r="F250" t="s">
        <v>37</v>
      </c>
      <c r="G250" t="s">
        <v>28</v>
      </c>
      <c r="H250" t="s">
        <v>82</v>
      </c>
      <c r="I250">
        <v>62659</v>
      </c>
      <c r="J250" s="3">
        <v>751908</v>
      </c>
      <c r="K250" s="2">
        <v>24988</v>
      </c>
      <c r="L250" t="s">
        <v>51</v>
      </c>
      <c r="M250" t="s">
        <v>29</v>
      </c>
      <c r="N250">
        <v>1760</v>
      </c>
      <c r="O250" t="s">
        <v>33</v>
      </c>
      <c r="P250" t="s">
        <v>32</v>
      </c>
      <c r="Q250" t="s">
        <v>68</v>
      </c>
      <c r="R250" s="2">
        <v>41001</v>
      </c>
      <c r="S250" s="1" t="s">
        <v>202</v>
      </c>
      <c r="T250">
        <v>1</v>
      </c>
      <c r="U250" t="s">
        <v>75</v>
      </c>
      <c r="V250">
        <v>5</v>
      </c>
      <c r="W250" t="s">
        <v>45</v>
      </c>
      <c r="X250">
        <v>1</v>
      </c>
      <c r="Y250" t="s">
        <v>70</v>
      </c>
      <c r="Z250">
        <v>3</v>
      </c>
      <c r="AA250" t="s">
        <v>49</v>
      </c>
      <c r="AB250">
        <v>4.18</v>
      </c>
      <c r="AC250" t="s">
        <v>937</v>
      </c>
      <c r="AD250">
        <v>0</v>
      </c>
      <c r="AE250" s="2">
        <v>42405</v>
      </c>
      <c r="AF250">
        <v>0</v>
      </c>
      <c r="AG250">
        <v>17</v>
      </c>
    </row>
    <row r="251" spans="1:33">
      <c r="A251">
        <v>10128</v>
      </c>
      <c r="B251" t="s">
        <v>1350</v>
      </c>
      <c r="C251" t="s">
        <v>42</v>
      </c>
      <c r="D251" t="s">
        <v>56</v>
      </c>
      <c r="E251" t="s">
        <v>929</v>
      </c>
      <c r="F251" t="s">
        <v>288</v>
      </c>
      <c r="G251" t="s">
        <v>62</v>
      </c>
      <c r="H251" t="s">
        <v>445</v>
      </c>
      <c r="I251">
        <v>111191</v>
      </c>
      <c r="J251" s="3">
        <v>1334292</v>
      </c>
      <c r="K251" s="2">
        <v>35630</v>
      </c>
      <c r="L251" t="s">
        <v>264</v>
      </c>
      <c r="M251" t="s">
        <v>210</v>
      </c>
      <c r="N251">
        <v>29373</v>
      </c>
      <c r="O251" t="s">
        <v>33</v>
      </c>
      <c r="P251" t="s">
        <v>124</v>
      </c>
      <c r="Q251" t="s">
        <v>160</v>
      </c>
      <c r="R251" s="2">
        <v>45315</v>
      </c>
      <c r="S251" s="1" t="s">
        <v>35</v>
      </c>
      <c r="T251">
        <v>1</v>
      </c>
      <c r="U251" t="s">
        <v>36</v>
      </c>
      <c r="V251">
        <v>3</v>
      </c>
      <c r="W251" t="s">
        <v>45</v>
      </c>
      <c r="X251">
        <v>0</v>
      </c>
      <c r="Y251" t="s">
        <v>39</v>
      </c>
      <c r="Z251">
        <v>1</v>
      </c>
      <c r="AA251" t="s">
        <v>276</v>
      </c>
      <c r="AB251">
        <v>4.0999999999999996</v>
      </c>
      <c r="AC251" t="s">
        <v>937</v>
      </c>
      <c r="AD251">
        <v>0</v>
      </c>
      <c r="AE251" s="2">
        <v>45643</v>
      </c>
      <c r="AF251">
        <v>0</v>
      </c>
      <c r="AG251">
        <v>5</v>
      </c>
    </row>
    <row r="252" spans="1:33">
      <c r="A252">
        <v>10129</v>
      </c>
      <c r="B252" t="s">
        <v>1053</v>
      </c>
      <c r="C252" t="s">
        <v>31</v>
      </c>
      <c r="D252" t="s">
        <v>31</v>
      </c>
      <c r="E252" t="s">
        <v>929</v>
      </c>
      <c r="F252" t="s">
        <v>37</v>
      </c>
      <c r="G252" t="s">
        <v>28</v>
      </c>
      <c r="H252" t="s">
        <v>66</v>
      </c>
      <c r="I252">
        <v>46998</v>
      </c>
      <c r="J252" s="3">
        <v>563976</v>
      </c>
      <c r="K252" s="2">
        <v>30685</v>
      </c>
      <c r="L252" t="s">
        <v>30</v>
      </c>
      <c r="M252" t="s">
        <v>29</v>
      </c>
      <c r="N252">
        <v>2149</v>
      </c>
      <c r="O252" t="s">
        <v>33</v>
      </c>
      <c r="P252" t="s">
        <v>32</v>
      </c>
      <c r="Q252" t="s">
        <v>34</v>
      </c>
      <c r="R252" s="2">
        <v>41134</v>
      </c>
      <c r="S252" s="1" t="s">
        <v>35</v>
      </c>
      <c r="T252">
        <v>0</v>
      </c>
      <c r="U252" t="s">
        <v>36</v>
      </c>
      <c r="V252">
        <v>1</v>
      </c>
      <c r="W252" t="s">
        <v>36</v>
      </c>
      <c r="X252">
        <v>0</v>
      </c>
      <c r="Y252" t="s">
        <v>60</v>
      </c>
      <c r="Z252">
        <v>3</v>
      </c>
      <c r="AA252" t="s">
        <v>49</v>
      </c>
      <c r="AB252">
        <v>4.17</v>
      </c>
      <c r="AC252" t="s">
        <v>937</v>
      </c>
      <c r="AD252">
        <v>0</v>
      </c>
      <c r="AE252" s="2">
        <v>43507</v>
      </c>
      <c r="AF252">
        <v>0</v>
      </c>
      <c r="AG252">
        <v>1</v>
      </c>
    </row>
    <row r="253" spans="1:33">
      <c r="A253">
        <v>10129</v>
      </c>
      <c r="B253" t="s">
        <v>1351</v>
      </c>
      <c r="C253" t="s">
        <v>42</v>
      </c>
      <c r="D253" t="s">
        <v>31</v>
      </c>
      <c r="E253" t="s">
        <v>929</v>
      </c>
      <c r="F253" t="s">
        <v>274</v>
      </c>
      <c r="G253" t="s">
        <v>62</v>
      </c>
      <c r="H253" t="s">
        <v>447</v>
      </c>
      <c r="I253">
        <v>84492</v>
      </c>
      <c r="J253" s="3">
        <v>1013904</v>
      </c>
      <c r="K253" s="2">
        <v>27652</v>
      </c>
      <c r="L253" t="s">
        <v>264</v>
      </c>
      <c r="M253" t="s">
        <v>191</v>
      </c>
      <c r="N253">
        <v>42443</v>
      </c>
      <c r="O253" t="s">
        <v>33</v>
      </c>
      <c r="P253" t="s">
        <v>124</v>
      </c>
      <c r="Q253" t="s">
        <v>34</v>
      </c>
      <c r="R253" s="2">
        <v>43807</v>
      </c>
      <c r="S253" s="1" t="s">
        <v>446</v>
      </c>
      <c r="T253">
        <v>0</v>
      </c>
      <c r="U253" t="s">
        <v>36</v>
      </c>
      <c r="V253">
        <v>3</v>
      </c>
      <c r="W253" t="s">
        <v>87</v>
      </c>
      <c r="X253">
        <v>0</v>
      </c>
      <c r="Y253" t="s">
        <v>268</v>
      </c>
      <c r="Z253">
        <v>2</v>
      </c>
      <c r="AA253" t="s">
        <v>95</v>
      </c>
      <c r="AB253">
        <v>4.3</v>
      </c>
      <c r="AC253" t="s">
        <v>937</v>
      </c>
      <c r="AD253">
        <v>1</v>
      </c>
      <c r="AE253" s="2">
        <v>45889</v>
      </c>
      <c r="AF253">
        <v>4</v>
      </c>
      <c r="AG253">
        <v>3</v>
      </c>
    </row>
    <row r="254" spans="1:33">
      <c r="A254">
        <v>10130</v>
      </c>
      <c r="B254" t="s">
        <v>1137</v>
      </c>
      <c r="C254" t="s">
        <v>42</v>
      </c>
      <c r="D254" t="s">
        <v>42</v>
      </c>
      <c r="E254" t="s">
        <v>934</v>
      </c>
      <c r="F254" t="s">
        <v>37</v>
      </c>
      <c r="G254" t="s">
        <v>104</v>
      </c>
      <c r="H254" t="s">
        <v>107</v>
      </c>
      <c r="I254">
        <v>74669</v>
      </c>
      <c r="J254" s="3">
        <v>896028</v>
      </c>
      <c r="K254" s="2">
        <v>28254</v>
      </c>
      <c r="L254" t="s">
        <v>51</v>
      </c>
      <c r="M254" t="s">
        <v>29</v>
      </c>
      <c r="N254">
        <v>2030</v>
      </c>
      <c r="O254" t="s">
        <v>33</v>
      </c>
      <c r="P254" t="s">
        <v>32</v>
      </c>
      <c r="Q254" t="s">
        <v>34</v>
      </c>
      <c r="R254" s="2">
        <v>40476</v>
      </c>
      <c r="S254" s="1" t="s">
        <v>220</v>
      </c>
      <c r="T254">
        <v>1</v>
      </c>
      <c r="U254" t="s">
        <v>75</v>
      </c>
      <c r="V254">
        <v>5</v>
      </c>
      <c r="W254" t="s">
        <v>45</v>
      </c>
      <c r="X254">
        <v>0</v>
      </c>
      <c r="Y254" t="s">
        <v>48</v>
      </c>
      <c r="Z254">
        <v>3</v>
      </c>
      <c r="AA254" t="s">
        <v>49</v>
      </c>
      <c r="AB254">
        <v>4.16</v>
      </c>
      <c r="AC254" t="s">
        <v>930</v>
      </c>
      <c r="AD254">
        <v>0</v>
      </c>
      <c r="AE254" s="2">
        <v>42068</v>
      </c>
      <c r="AF254">
        <v>0</v>
      </c>
      <c r="AG254">
        <v>6</v>
      </c>
    </row>
    <row r="255" spans="1:33">
      <c r="A255">
        <v>10130</v>
      </c>
      <c r="B255" t="s">
        <v>1352</v>
      </c>
      <c r="C255" t="s">
        <v>31</v>
      </c>
      <c r="D255" t="s">
        <v>42</v>
      </c>
      <c r="E255" t="s">
        <v>929</v>
      </c>
      <c r="F255" t="s">
        <v>113</v>
      </c>
      <c r="G255" t="s">
        <v>269</v>
      </c>
      <c r="H255" t="s">
        <v>448</v>
      </c>
      <c r="I255">
        <v>116821</v>
      </c>
      <c r="J255" s="3">
        <v>1401852</v>
      </c>
      <c r="K255" s="2">
        <v>34564</v>
      </c>
      <c r="L255" t="s">
        <v>264</v>
      </c>
      <c r="M255" t="s">
        <v>191</v>
      </c>
      <c r="N255">
        <v>89141</v>
      </c>
      <c r="O255" t="s">
        <v>33</v>
      </c>
      <c r="P255" t="s">
        <v>124</v>
      </c>
      <c r="Q255" t="s">
        <v>34</v>
      </c>
      <c r="R255" s="2">
        <v>45188</v>
      </c>
      <c r="S255" s="1" t="s">
        <v>35</v>
      </c>
      <c r="T255">
        <v>0</v>
      </c>
      <c r="U255" t="s">
        <v>36</v>
      </c>
      <c r="V255">
        <v>3</v>
      </c>
      <c r="W255" t="s">
        <v>87</v>
      </c>
      <c r="X255">
        <v>1</v>
      </c>
      <c r="Y255" t="s">
        <v>39</v>
      </c>
      <c r="Z255">
        <v>3</v>
      </c>
      <c r="AA255" t="s">
        <v>136</v>
      </c>
      <c r="AB255">
        <v>3.5</v>
      </c>
      <c r="AC255" t="s">
        <v>937</v>
      </c>
      <c r="AD255">
        <v>4</v>
      </c>
      <c r="AE255" s="2">
        <v>45949</v>
      </c>
      <c r="AF255">
        <v>1</v>
      </c>
      <c r="AG255">
        <v>1</v>
      </c>
    </row>
    <row r="256" spans="1:33">
      <c r="A256">
        <v>10131</v>
      </c>
      <c r="B256" t="s">
        <v>1146</v>
      </c>
      <c r="C256" t="s">
        <v>42</v>
      </c>
      <c r="D256" t="s">
        <v>42</v>
      </c>
      <c r="E256" t="s">
        <v>929</v>
      </c>
      <c r="F256" t="s">
        <v>63</v>
      </c>
      <c r="G256" t="s">
        <v>62</v>
      </c>
      <c r="H256" t="s">
        <v>107</v>
      </c>
      <c r="I256">
        <v>83363</v>
      </c>
      <c r="J256" s="3">
        <v>1000356</v>
      </c>
      <c r="K256" s="2">
        <v>30992</v>
      </c>
      <c r="L256" t="s">
        <v>30</v>
      </c>
      <c r="M256" t="s">
        <v>29</v>
      </c>
      <c r="N256">
        <v>2045</v>
      </c>
      <c r="O256" t="s">
        <v>33</v>
      </c>
      <c r="P256" t="s">
        <v>88</v>
      </c>
      <c r="Q256" t="s">
        <v>68</v>
      </c>
      <c r="R256" s="2">
        <v>40595</v>
      </c>
      <c r="S256" s="1" t="s">
        <v>224</v>
      </c>
      <c r="T256">
        <v>1</v>
      </c>
      <c r="U256" t="s">
        <v>44</v>
      </c>
      <c r="V256">
        <v>5</v>
      </c>
      <c r="W256" t="s">
        <v>45</v>
      </c>
      <c r="X256">
        <v>1</v>
      </c>
      <c r="Y256" t="s">
        <v>70</v>
      </c>
      <c r="Z256">
        <v>3</v>
      </c>
      <c r="AA256" t="s">
        <v>49</v>
      </c>
      <c r="AB256">
        <v>4.1500000000000004</v>
      </c>
      <c r="AC256" t="s">
        <v>937</v>
      </c>
      <c r="AD256">
        <v>0</v>
      </c>
      <c r="AE256" s="2">
        <v>41748</v>
      </c>
      <c r="AF256">
        <v>0</v>
      </c>
      <c r="AG256">
        <v>4</v>
      </c>
    </row>
    <row r="257" spans="1:33">
      <c r="A257">
        <v>10131</v>
      </c>
      <c r="B257" t="s">
        <v>1353</v>
      </c>
      <c r="C257" t="s">
        <v>42</v>
      </c>
      <c r="D257" t="s">
        <v>42</v>
      </c>
      <c r="E257" t="s">
        <v>929</v>
      </c>
      <c r="F257" t="s">
        <v>278</v>
      </c>
      <c r="G257" t="s">
        <v>277</v>
      </c>
      <c r="H257" t="s">
        <v>449</v>
      </c>
      <c r="I257">
        <v>44656</v>
      </c>
      <c r="J257" s="3">
        <v>535872</v>
      </c>
      <c r="K257" s="2">
        <v>32776</v>
      </c>
      <c r="L257" t="s">
        <v>51</v>
      </c>
      <c r="M257" t="s">
        <v>29</v>
      </c>
      <c r="N257">
        <v>65472</v>
      </c>
      <c r="O257" t="s">
        <v>73</v>
      </c>
      <c r="P257" t="s">
        <v>32</v>
      </c>
      <c r="Q257" t="s">
        <v>270</v>
      </c>
      <c r="R257" s="2">
        <v>45867</v>
      </c>
      <c r="S257" s="1" t="s">
        <v>35</v>
      </c>
      <c r="T257">
        <v>0</v>
      </c>
      <c r="U257" t="s">
        <v>36</v>
      </c>
      <c r="V257">
        <v>1</v>
      </c>
      <c r="W257" t="s">
        <v>45</v>
      </c>
      <c r="X257">
        <v>0</v>
      </c>
      <c r="Y257" t="s">
        <v>268</v>
      </c>
      <c r="Z257">
        <v>3</v>
      </c>
      <c r="AA257" t="s">
        <v>49</v>
      </c>
      <c r="AB257">
        <v>3</v>
      </c>
      <c r="AC257" t="s">
        <v>1003</v>
      </c>
      <c r="AD257">
        <v>5</v>
      </c>
      <c r="AE257" s="2">
        <v>45835</v>
      </c>
      <c r="AF257">
        <v>2</v>
      </c>
      <c r="AG257">
        <v>2</v>
      </c>
    </row>
    <row r="258" spans="1:33">
      <c r="A258">
        <v>10132</v>
      </c>
      <c r="B258" t="s">
        <v>989</v>
      </c>
      <c r="C258" t="s">
        <v>31</v>
      </c>
      <c r="D258" t="s">
        <v>31</v>
      </c>
      <c r="E258" t="s">
        <v>934</v>
      </c>
      <c r="F258" t="s">
        <v>37</v>
      </c>
      <c r="G258" t="s">
        <v>28</v>
      </c>
      <c r="H258" t="s">
        <v>38</v>
      </c>
      <c r="I258">
        <v>56149</v>
      </c>
      <c r="J258" s="3">
        <v>673788</v>
      </c>
      <c r="K258" s="2">
        <v>31877</v>
      </c>
      <c r="L258" t="s">
        <v>51</v>
      </c>
      <c r="M258" t="s">
        <v>29</v>
      </c>
      <c r="N258">
        <v>1821</v>
      </c>
      <c r="O258" t="s">
        <v>33</v>
      </c>
      <c r="P258" t="s">
        <v>32</v>
      </c>
      <c r="Q258" t="s">
        <v>34</v>
      </c>
      <c r="R258" s="2">
        <v>42557</v>
      </c>
      <c r="S258" s="1" t="s">
        <v>35</v>
      </c>
      <c r="T258">
        <v>0</v>
      </c>
      <c r="U258" t="s">
        <v>36</v>
      </c>
      <c r="V258">
        <v>2</v>
      </c>
      <c r="W258" t="s">
        <v>36</v>
      </c>
      <c r="X258">
        <v>0</v>
      </c>
      <c r="Y258" t="s">
        <v>39</v>
      </c>
      <c r="Z258">
        <v>3</v>
      </c>
      <c r="AA258" t="s">
        <v>49</v>
      </c>
      <c r="AB258">
        <v>4.12</v>
      </c>
      <c r="AC258" t="s">
        <v>930</v>
      </c>
      <c r="AD258">
        <v>0</v>
      </c>
      <c r="AE258" s="2">
        <v>43493</v>
      </c>
      <c r="AF258">
        <v>0</v>
      </c>
      <c r="AG258">
        <v>15</v>
      </c>
    </row>
    <row r="259" spans="1:33">
      <c r="A259">
        <v>10132</v>
      </c>
      <c r="B259" t="s">
        <v>1354</v>
      </c>
      <c r="C259" t="s">
        <v>42</v>
      </c>
      <c r="D259" t="s">
        <v>56</v>
      </c>
      <c r="E259" t="s">
        <v>934</v>
      </c>
      <c r="F259" t="s">
        <v>271</v>
      </c>
      <c r="G259" t="s">
        <v>269</v>
      </c>
      <c r="H259" t="s">
        <v>450</v>
      </c>
      <c r="I259">
        <v>88939</v>
      </c>
      <c r="J259" s="3">
        <v>1067268</v>
      </c>
      <c r="K259" s="2">
        <v>25952</v>
      </c>
      <c r="L259" t="s">
        <v>264</v>
      </c>
      <c r="M259" t="s">
        <v>80</v>
      </c>
      <c r="N259">
        <v>9338</v>
      </c>
      <c r="O259" t="s">
        <v>33</v>
      </c>
      <c r="P259" t="s">
        <v>32</v>
      </c>
      <c r="Q259" t="s">
        <v>34</v>
      </c>
      <c r="R259" s="2">
        <v>42938</v>
      </c>
      <c r="S259" s="1" t="s">
        <v>35</v>
      </c>
      <c r="T259">
        <v>1</v>
      </c>
      <c r="U259" t="s">
        <v>298</v>
      </c>
      <c r="V259">
        <v>1</v>
      </c>
      <c r="W259" t="s">
        <v>45</v>
      </c>
      <c r="X259">
        <v>1</v>
      </c>
      <c r="Y259" t="s">
        <v>268</v>
      </c>
      <c r="Z259">
        <v>1</v>
      </c>
      <c r="AA259" t="s">
        <v>276</v>
      </c>
      <c r="AB259">
        <v>4.8</v>
      </c>
      <c r="AC259" t="s">
        <v>962</v>
      </c>
      <c r="AD259">
        <v>3</v>
      </c>
      <c r="AE259" s="2">
        <v>45684</v>
      </c>
      <c r="AF259">
        <v>0</v>
      </c>
      <c r="AG259">
        <v>5</v>
      </c>
    </row>
    <row r="260" spans="1:33">
      <c r="A260">
        <v>10133</v>
      </c>
      <c r="B260" t="s">
        <v>1006</v>
      </c>
      <c r="C260" t="s">
        <v>42</v>
      </c>
      <c r="D260" t="s">
        <v>42</v>
      </c>
      <c r="E260" t="s">
        <v>934</v>
      </c>
      <c r="F260" t="s">
        <v>46</v>
      </c>
      <c r="G260" t="s">
        <v>71</v>
      </c>
      <c r="H260" t="s">
        <v>72</v>
      </c>
      <c r="I260">
        <v>70621</v>
      </c>
      <c r="J260" s="3">
        <v>847452</v>
      </c>
      <c r="K260" s="2">
        <v>32342</v>
      </c>
      <c r="L260" t="s">
        <v>51</v>
      </c>
      <c r="M260" t="s">
        <v>29</v>
      </c>
      <c r="N260">
        <v>2119</v>
      </c>
      <c r="O260" t="s">
        <v>33</v>
      </c>
      <c r="P260" t="s">
        <v>32</v>
      </c>
      <c r="Q260" t="s">
        <v>34</v>
      </c>
      <c r="R260" s="2">
        <v>42009</v>
      </c>
      <c r="S260" s="1" t="s">
        <v>35</v>
      </c>
      <c r="T260">
        <v>0</v>
      </c>
      <c r="U260" t="s">
        <v>36</v>
      </c>
      <c r="V260">
        <v>1</v>
      </c>
      <c r="W260" t="s">
        <v>36</v>
      </c>
      <c r="X260">
        <v>0</v>
      </c>
      <c r="Y260" t="s">
        <v>67</v>
      </c>
      <c r="Z260">
        <v>3</v>
      </c>
      <c r="AA260" t="s">
        <v>49</v>
      </c>
      <c r="AB260">
        <v>4.1100000000000003</v>
      </c>
      <c r="AC260" t="s">
        <v>937</v>
      </c>
      <c r="AD260">
        <v>6</v>
      </c>
      <c r="AE260" s="2">
        <v>43521</v>
      </c>
      <c r="AF260">
        <v>0</v>
      </c>
      <c r="AG260">
        <v>16</v>
      </c>
    </row>
    <row r="261" spans="1:33">
      <c r="A261">
        <v>10133</v>
      </c>
      <c r="B261" t="s">
        <v>1355</v>
      </c>
      <c r="C261" t="s">
        <v>42</v>
      </c>
      <c r="D261" t="s">
        <v>31</v>
      </c>
      <c r="E261" t="s">
        <v>929</v>
      </c>
      <c r="F261" t="s">
        <v>274</v>
      </c>
      <c r="G261" t="s">
        <v>28</v>
      </c>
      <c r="H261" t="s">
        <v>451</v>
      </c>
      <c r="I261">
        <v>102431</v>
      </c>
      <c r="J261" s="3">
        <v>1229172</v>
      </c>
      <c r="K261" s="2">
        <v>28116</v>
      </c>
      <c r="L261" t="s">
        <v>264</v>
      </c>
      <c r="M261" t="s">
        <v>29</v>
      </c>
      <c r="N261">
        <v>11701</v>
      </c>
      <c r="O261" t="s">
        <v>73</v>
      </c>
      <c r="P261" t="s">
        <v>124</v>
      </c>
      <c r="Q261" t="s">
        <v>160</v>
      </c>
      <c r="R261" s="2">
        <v>42985</v>
      </c>
      <c r="S261" s="1" t="s">
        <v>35</v>
      </c>
      <c r="T261">
        <v>0</v>
      </c>
      <c r="U261" t="s">
        <v>36</v>
      </c>
      <c r="V261">
        <v>1</v>
      </c>
      <c r="W261" t="s">
        <v>87</v>
      </c>
      <c r="X261">
        <v>0</v>
      </c>
      <c r="Y261" t="s">
        <v>48</v>
      </c>
      <c r="Z261">
        <v>4</v>
      </c>
      <c r="AA261" t="s">
        <v>136</v>
      </c>
      <c r="AB261">
        <v>3.1</v>
      </c>
      <c r="AC261" t="s">
        <v>937</v>
      </c>
      <c r="AD261">
        <v>3</v>
      </c>
      <c r="AE261" s="2">
        <v>45717</v>
      </c>
      <c r="AF261">
        <v>3</v>
      </c>
      <c r="AG261">
        <v>4</v>
      </c>
    </row>
    <row r="262" spans="1:33">
      <c r="A262">
        <v>10134</v>
      </c>
      <c r="B262" t="s">
        <v>1088</v>
      </c>
      <c r="C262" t="s">
        <v>42</v>
      </c>
      <c r="D262" t="s">
        <v>42</v>
      </c>
      <c r="E262" t="s">
        <v>929</v>
      </c>
      <c r="F262" t="s">
        <v>102</v>
      </c>
      <c r="G262" t="s">
        <v>195</v>
      </c>
      <c r="H262" t="s">
        <v>107</v>
      </c>
      <c r="I262">
        <v>93046</v>
      </c>
      <c r="J262" s="3">
        <v>1116552</v>
      </c>
      <c r="K262" s="2">
        <v>30843</v>
      </c>
      <c r="L262" t="s">
        <v>30</v>
      </c>
      <c r="M262" t="s">
        <v>29</v>
      </c>
      <c r="N262">
        <v>1460</v>
      </c>
      <c r="O262" t="s">
        <v>33</v>
      </c>
      <c r="P262" t="s">
        <v>32</v>
      </c>
      <c r="Q262" t="s">
        <v>34</v>
      </c>
      <c r="R262" s="2">
        <v>42374</v>
      </c>
      <c r="S262" s="1" t="s">
        <v>35</v>
      </c>
      <c r="T262">
        <v>0</v>
      </c>
      <c r="U262" t="s">
        <v>36</v>
      </c>
      <c r="V262">
        <v>1</v>
      </c>
      <c r="W262" t="s">
        <v>36</v>
      </c>
      <c r="X262">
        <v>0</v>
      </c>
      <c r="Y262" t="s">
        <v>94</v>
      </c>
      <c r="Z262">
        <v>3</v>
      </c>
      <c r="AA262" t="s">
        <v>49</v>
      </c>
      <c r="AB262">
        <v>4.0999999999999996</v>
      </c>
      <c r="AC262" t="s">
        <v>937</v>
      </c>
      <c r="AD262">
        <v>0</v>
      </c>
      <c r="AE262" s="2">
        <v>43493</v>
      </c>
      <c r="AF262">
        <v>0</v>
      </c>
      <c r="AG262">
        <v>20</v>
      </c>
    </row>
    <row r="263" spans="1:33">
      <c r="A263">
        <v>10134</v>
      </c>
      <c r="B263" t="s">
        <v>1356</v>
      </c>
      <c r="C263" t="s">
        <v>42</v>
      </c>
      <c r="D263" t="s">
        <v>31</v>
      </c>
      <c r="E263" t="s">
        <v>929</v>
      </c>
      <c r="F263" t="s">
        <v>274</v>
      </c>
      <c r="G263" t="s">
        <v>277</v>
      </c>
      <c r="H263" t="s">
        <v>452</v>
      </c>
      <c r="I263">
        <v>59998</v>
      </c>
      <c r="J263" s="3">
        <v>719976</v>
      </c>
      <c r="K263" s="2">
        <v>26256</v>
      </c>
      <c r="L263" t="s">
        <v>51</v>
      </c>
      <c r="M263" t="s">
        <v>191</v>
      </c>
      <c r="N263">
        <v>66599</v>
      </c>
      <c r="O263" t="s">
        <v>73</v>
      </c>
      <c r="P263" t="s">
        <v>124</v>
      </c>
      <c r="Q263" t="s">
        <v>160</v>
      </c>
      <c r="R263" s="2">
        <v>45110</v>
      </c>
      <c r="S263" s="1" t="s">
        <v>35</v>
      </c>
      <c r="T263">
        <v>0</v>
      </c>
      <c r="U263" t="s">
        <v>36</v>
      </c>
      <c r="V263">
        <v>1</v>
      </c>
      <c r="W263" t="s">
        <v>36</v>
      </c>
      <c r="X263">
        <v>1</v>
      </c>
      <c r="Y263" t="s">
        <v>280</v>
      </c>
      <c r="Z263">
        <v>2</v>
      </c>
      <c r="AA263" t="s">
        <v>136</v>
      </c>
      <c r="AB263">
        <v>2.9</v>
      </c>
      <c r="AC263" t="s">
        <v>937</v>
      </c>
      <c r="AD263">
        <v>3</v>
      </c>
      <c r="AE263" s="2">
        <v>45363</v>
      </c>
      <c r="AF263">
        <v>5</v>
      </c>
      <c r="AG263">
        <v>1</v>
      </c>
    </row>
    <row r="264" spans="1:33">
      <c r="A264">
        <v>10135</v>
      </c>
      <c r="B264" t="s">
        <v>1219</v>
      </c>
      <c r="C264" t="s">
        <v>31</v>
      </c>
      <c r="D264" t="s">
        <v>31</v>
      </c>
      <c r="E264" t="s">
        <v>929</v>
      </c>
      <c r="F264" t="s">
        <v>37</v>
      </c>
      <c r="G264" t="s">
        <v>50</v>
      </c>
      <c r="H264" t="s">
        <v>54</v>
      </c>
      <c r="I264">
        <v>65893</v>
      </c>
      <c r="J264" s="3">
        <v>790716</v>
      </c>
      <c r="K264" s="2">
        <v>31178</v>
      </c>
      <c r="L264" t="s">
        <v>30</v>
      </c>
      <c r="M264" t="s">
        <v>29</v>
      </c>
      <c r="N264">
        <v>1810</v>
      </c>
      <c r="O264" t="s">
        <v>33</v>
      </c>
      <c r="P264" t="s">
        <v>32</v>
      </c>
      <c r="Q264" t="s">
        <v>34</v>
      </c>
      <c r="R264" s="2">
        <v>41827</v>
      </c>
      <c r="S264" s="1" t="s">
        <v>35</v>
      </c>
      <c r="T264">
        <v>0</v>
      </c>
      <c r="U264" t="s">
        <v>36</v>
      </c>
      <c r="V264">
        <v>1</v>
      </c>
      <c r="W264" t="s">
        <v>36</v>
      </c>
      <c r="X264">
        <v>0</v>
      </c>
      <c r="Y264" t="s">
        <v>39</v>
      </c>
      <c r="Z264">
        <v>3</v>
      </c>
      <c r="AA264" t="s">
        <v>49</v>
      </c>
      <c r="AB264">
        <v>4.07</v>
      </c>
      <c r="AC264" t="s">
        <v>937</v>
      </c>
      <c r="AD264">
        <v>0</v>
      </c>
      <c r="AE264" s="2">
        <v>43524</v>
      </c>
      <c r="AF264">
        <v>0</v>
      </c>
      <c r="AG264">
        <v>13</v>
      </c>
    </row>
    <row r="265" spans="1:33">
      <c r="A265">
        <v>10135</v>
      </c>
      <c r="B265" t="s">
        <v>1357</v>
      </c>
      <c r="C265" t="s">
        <v>31</v>
      </c>
      <c r="D265" t="s">
        <v>56</v>
      </c>
      <c r="E265" t="s">
        <v>934</v>
      </c>
      <c r="F265" t="s">
        <v>283</v>
      </c>
      <c r="G265" t="s">
        <v>269</v>
      </c>
      <c r="H265" t="s">
        <v>454</v>
      </c>
      <c r="I265">
        <v>74099</v>
      </c>
      <c r="J265" s="3">
        <v>889188</v>
      </c>
      <c r="K265" s="2">
        <v>32997</v>
      </c>
      <c r="L265" t="s">
        <v>264</v>
      </c>
      <c r="M265" t="s">
        <v>191</v>
      </c>
      <c r="N265">
        <v>59464</v>
      </c>
      <c r="O265" t="s">
        <v>33</v>
      </c>
      <c r="P265" t="s">
        <v>32</v>
      </c>
      <c r="Q265" t="s">
        <v>204</v>
      </c>
      <c r="R265" s="2">
        <v>44058</v>
      </c>
      <c r="S265" s="1" t="s">
        <v>453</v>
      </c>
      <c r="T265">
        <v>0</v>
      </c>
      <c r="U265" t="s">
        <v>36</v>
      </c>
      <c r="V265">
        <v>1</v>
      </c>
      <c r="W265" t="s">
        <v>45</v>
      </c>
      <c r="X265">
        <v>1</v>
      </c>
      <c r="Y265" t="s">
        <v>39</v>
      </c>
      <c r="Z265">
        <v>4</v>
      </c>
      <c r="AA265" t="s">
        <v>136</v>
      </c>
      <c r="AB265">
        <v>3.5</v>
      </c>
      <c r="AC265" t="s">
        <v>932</v>
      </c>
      <c r="AD265">
        <v>3</v>
      </c>
      <c r="AE265" s="2">
        <v>45886</v>
      </c>
      <c r="AF265">
        <v>4</v>
      </c>
      <c r="AG265">
        <v>8</v>
      </c>
    </row>
    <row r="266" spans="1:33">
      <c r="A266">
        <v>10136</v>
      </c>
      <c r="B266" t="s">
        <v>1358</v>
      </c>
      <c r="C266" t="s">
        <v>42</v>
      </c>
      <c r="D266" t="s">
        <v>42</v>
      </c>
      <c r="E266" t="s">
        <v>929</v>
      </c>
      <c r="F266" t="s">
        <v>271</v>
      </c>
      <c r="G266" t="s">
        <v>294</v>
      </c>
      <c r="H266" t="s">
        <v>455</v>
      </c>
      <c r="I266">
        <v>76480</v>
      </c>
      <c r="J266" s="3">
        <v>917760</v>
      </c>
      <c r="K266" s="2">
        <v>37656</v>
      </c>
      <c r="L266" t="s">
        <v>51</v>
      </c>
      <c r="M266" t="s">
        <v>29</v>
      </c>
      <c r="N266">
        <v>68934</v>
      </c>
      <c r="O266" t="s">
        <v>73</v>
      </c>
      <c r="P266" t="s">
        <v>124</v>
      </c>
      <c r="Q266" t="s">
        <v>270</v>
      </c>
      <c r="R266" s="2">
        <v>42384</v>
      </c>
      <c r="S266" s="1" t="s">
        <v>35</v>
      </c>
      <c r="T266">
        <v>1</v>
      </c>
      <c r="U266" t="s">
        <v>266</v>
      </c>
      <c r="V266">
        <v>2</v>
      </c>
      <c r="W266" t="s">
        <v>45</v>
      </c>
      <c r="X266">
        <v>0</v>
      </c>
      <c r="Y266" t="s">
        <v>142</v>
      </c>
      <c r="Z266">
        <v>3</v>
      </c>
      <c r="AA266" t="s">
        <v>276</v>
      </c>
      <c r="AB266">
        <v>3</v>
      </c>
      <c r="AC266" t="s">
        <v>932</v>
      </c>
      <c r="AD266">
        <v>1</v>
      </c>
      <c r="AE266" s="2">
        <v>45830</v>
      </c>
      <c r="AF266">
        <v>1</v>
      </c>
      <c r="AG266">
        <v>1</v>
      </c>
    </row>
    <row r="267" spans="1:33">
      <c r="A267">
        <v>10137</v>
      </c>
      <c r="B267" t="s">
        <v>1092</v>
      </c>
      <c r="C267" t="s">
        <v>42</v>
      </c>
      <c r="D267" t="s">
        <v>42</v>
      </c>
      <c r="E267" t="s">
        <v>929</v>
      </c>
      <c r="F267" t="s">
        <v>37</v>
      </c>
      <c r="G267" t="s">
        <v>50</v>
      </c>
      <c r="H267" t="s">
        <v>82</v>
      </c>
      <c r="I267">
        <v>63450</v>
      </c>
      <c r="J267" s="3">
        <v>761400</v>
      </c>
      <c r="K267" s="2">
        <v>28933</v>
      </c>
      <c r="L267" t="s">
        <v>30</v>
      </c>
      <c r="M267" t="s">
        <v>29</v>
      </c>
      <c r="N267">
        <v>1770</v>
      </c>
      <c r="O267" t="s">
        <v>33</v>
      </c>
      <c r="P267" t="s">
        <v>32</v>
      </c>
      <c r="Q267" t="s">
        <v>34</v>
      </c>
      <c r="R267" s="2">
        <v>41463</v>
      </c>
      <c r="S267" s="1" t="s">
        <v>35</v>
      </c>
      <c r="T267">
        <v>0</v>
      </c>
      <c r="U267" t="s">
        <v>36</v>
      </c>
      <c r="V267">
        <v>3</v>
      </c>
      <c r="W267" t="s">
        <v>36</v>
      </c>
      <c r="X267">
        <v>0</v>
      </c>
      <c r="Y267" t="s">
        <v>39</v>
      </c>
      <c r="Z267">
        <v>3</v>
      </c>
      <c r="AA267" t="s">
        <v>49</v>
      </c>
      <c r="AB267">
        <v>4</v>
      </c>
      <c r="AC267" t="s">
        <v>932</v>
      </c>
      <c r="AD267">
        <v>0</v>
      </c>
      <c r="AE267" s="2">
        <v>43514</v>
      </c>
      <c r="AF267">
        <v>0</v>
      </c>
      <c r="AG267">
        <v>7</v>
      </c>
    </row>
    <row r="268" spans="1:33">
      <c r="A268">
        <v>10137</v>
      </c>
      <c r="B268" t="s">
        <v>1359</v>
      </c>
      <c r="C268" t="s">
        <v>31</v>
      </c>
      <c r="D268" t="s">
        <v>31</v>
      </c>
      <c r="E268" t="s">
        <v>934</v>
      </c>
      <c r="F268" t="s">
        <v>271</v>
      </c>
      <c r="G268" t="s">
        <v>28</v>
      </c>
      <c r="H268" t="s">
        <v>456</v>
      </c>
      <c r="I268">
        <v>33082</v>
      </c>
      <c r="J268" s="3">
        <v>396984</v>
      </c>
      <c r="K268" s="2">
        <v>24224</v>
      </c>
      <c r="L268" t="s">
        <v>264</v>
      </c>
      <c r="M268" t="s">
        <v>80</v>
      </c>
      <c r="N268">
        <v>68434</v>
      </c>
      <c r="O268" t="s">
        <v>33</v>
      </c>
      <c r="P268" t="s">
        <v>32</v>
      </c>
      <c r="Q268" t="s">
        <v>160</v>
      </c>
      <c r="R268" s="2">
        <v>45045</v>
      </c>
      <c r="S268" s="1" t="s">
        <v>35</v>
      </c>
      <c r="T268">
        <v>1</v>
      </c>
      <c r="U268" t="s">
        <v>290</v>
      </c>
      <c r="V268">
        <v>1</v>
      </c>
      <c r="W268" t="s">
        <v>45</v>
      </c>
      <c r="X268">
        <v>1</v>
      </c>
      <c r="Y268" t="s">
        <v>280</v>
      </c>
      <c r="Z268">
        <v>4</v>
      </c>
      <c r="AA268" t="s">
        <v>95</v>
      </c>
      <c r="AB268">
        <v>4.5</v>
      </c>
      <c r="AC268" t="s">
        <v>937</v>
      </c>
      <c r="AD268">
        <v>4</v>
      </c>
      <c r="AE268" s="2">
        <v>45864</v>
      </c>
      <c r="AF268">
        <v>2</v>
      </c>
      <c r="AG268">
        <v>10</v>
      </c>
    </row>
    <row r="269" spans="1:33">
      <c r="A269">
        <v>10138</v>
      </c>
      <c r="B269" t="s">
        <v>1071</v>
      </c>
      <c r="C269" t="s">
        <v>42</v>
      </c>
      <c r="D269" t="s">
        <v>42</v>
      </c>
      <c r="E269" t="s">
        <v>934</v>
      </c>
      <c r="F269" t="s">
        <v>37</v>
      </c>
      <c r="G269" t="s">
        <v>28</v>
      </c>
      <c r="H269" t="s">
        <v>55</v>
      </c>
      <c r="I269">
        <v>61154</v>
      </c>
      <c r="J269" s="3">
        <v>733848</v>
      </c>
      <c r="K269" s="2">
        <v>31519</v>
      </c>
      <c r="L269" t="s">
        <v>51</v>
      </c>
      <c r="M269" t="s">
        <v>29</v>
      </c>
      <c r="N269">
        <v>2446</v>
      </c>
      <c r="O269" t="s">
        <v>33</v>
      </c>
      <c r="P269" t="s">
        <v>32</v>
      </c>
      <c r="Q269" t="s">
        <v>68</v>
      </c>
      <c r="R269" s="2">
        <v>40553</v>
      </c>
      <c r="S269" s="1" t="s">
        <v>182</v>
      </c>
      <c r="T269">
        <v>1</v>
      </c>
      <c r="U269" t="s">
        <v>78</v>
      </c>
      <c r="V269">
        <v>5</v>
      </c>
      <c r="W269" t="s">
        <v>45</v>
      </c>
      <c r="X269">
        <v>0</v>
      </c>
      <c r="Y269" t="s">
        <v>94</v>
      </c>
      <c r="Z269">
        <v>3</v>
      </c>
      <c r="AA269" t="s">
        <v>49</v>
      </c>
      <c r="AB269">
        <v>4</v>
      </c>
      <c r="AC269" t="s">
        <v>937</v>
      </c>
      <c r="AD269">
        <v>0</v>
      </c>
      <c r="AE269" s="2">
        <v>42403</v>
      </c>
      <c r="AF269">
        <v>0</v>
      </c>
      <c r="AG269">
        <v>4</v>
      </c>
    </row>
    <row r="270" spans="1:33">
      <c r="A270">
        <v>10138</v>
      </c>
      <c r="B270" t="s">
        <v>1360</v>
      </c>
      <c r="C270" t="s">
        <v>31</v>
      </c>
      <c r="D270" t="s">
        <v>31</v>
      </c>
      <c r="E270" t="s">
        <v>929</v>
      </c>
      <c r="F270" t="s">
        <v>278</v>
      </c>
      <c r="G270" t="s">
        <v>269</v>
      </c>
      <c r="H270" t="s">
        <v>457</v>
      </c>
      <c r="I270">
        <v>68511</v>
      </c>
      <c r="J270" s="3">
        <v>822132</v>
      </c>
      <c r="K270" s="2">
        <v>30482</v>
      </c>
      <c r="L270" t="s">
        <v>264</v>
      </c>
      <c r="M270" t="s">
        <v>191</v>
      </c>
      <c r="N270">
        <v>13467</v>
      </c>
      <c r="O270" t="s">
        <v>33</v>
      </c>
      <c r="P270" t="s">
        <v>32</v>
      </c>
      <c r="Q270" t="s">
        <v>270</v>
      </c>
      <c r="R270" s="2">
        <v>45134</v>
      </c>
      <c r="S270" s="1" t="s">
        <v>35</v>
      </c>
      <c r="T270">
        <v>0</v>
      </c>
      <c r="U270" t="s">
        <v>36</v>
      </c>
      <c r="V270">
        <v>3</v>
      </c>
      <c r="W270" t="s">
        <v>87</v>
      </c>
      <c r="X270">
        <v>0</v>
      </c>
      <c r="Y270" t="s">
        <v>280</v>
      </c>
      <c r="Z270">
        <v>1</v>
      </c>
      <c r="AA270" t="s">
        <v>136</v>
      </c>
      <c r="AB270">
        <v>2.5</v>
      </c>
      <c r="AC270" t="s">
        <v>930</v>
      </c>
      <c r="AD270">
        <v>3</v>
      </c>
      <c r="AE270" s="2">
        <v>45808</v>
      </c>
      <c r="AF270">
        <v>0</v>
      </c>
      <c r="AG270">
        <v>8</v>
      </c>
    </row>
    <row r="271" spans="1:33">
      <c r="A271">
        <v>10139</v>
      </c>
      <c r="B271" t="s">
        <v>1063</v>
      </c>
      <c r="C271" t="s">
        <v>31</v>
      </c>
      <c r="D271" t="s">
        <v>31</v>
      </c>
      <c r="E271" t="s">
        <v>934</v>
      </c>
      <c r="F271" t="s">
        <v>37</v>
      </c>
      <c r="G271" t="s">
        <v>28</v>
      </c>
      <c r="H271" t="s">
        <v>69</v>
      </c>
      <c r="I271">
        <v>51908</v>
      </c>
      <c r="J271" s="3">
        <v>622896</v>
      </c>
      <c r="K271" s="2">
        <v>33266</v>
      </c>
      <c r="L271" t="s">
        <v>51</v>
      </c>
      <c r="M271" t="s">
        <v>29</v>
      </c>
      <c r="N271">
        <v>1775</v>
      </c>
      <c r="O271" t="s">
        <v>33</v>
      </c>
      <c r="P271" t="s">
        <v>32</v>
      </c>
      <c r="Q271" t="s">
        <v>34</v>
      </c>
      <c r="R271" s="2">
        <v>41505</v>
      </c>
      <c r="S271" s="1" t="s">
        <v>35</v>
      </c>
      <c r="T271">
        <v>0</v>
      </c>
      <c r="U271" t="s">
        <v>36</v>
      </c>
      <c r="V271">
        <v>1</v>
      </c>
      <c r="W271" t="s">
        <v>36</v>
      </c>
      <c r="X271">
        <v>0</v>
      </c>
      <c r="Y271" t="s">
        <v>48</v>
      </c>
      <c r="Z271">
        <v>3</v>
      </c>
      <c r="AA271" t="s">
        <v>49</v>
      </c>
      <c r="AB271">
        <v>3.99</v>
      </c>
      <c r="AC271" t="s">
        <v>932</v>
      </c>
      <c r="AD271">
        <v>0</v>
      </c>
      <c r="AE271" s="2">
        <v>43479</v>
      </c>
      <c r="AF271">
        <v>0</v>
      </c>
      <c r="AG271">
        <v>14</v>
      </c>
    </row>
    <row r="272" spans="1:33">
      <c r="A272">
        <v>10139</v>
      </c>
      <c r="B272" t="s">
        <v>1361</v>
      </c>
      <c r="C272" t="s">
        <v>31</v>
      </c>
      <c r="D272" t="s">
        <v>56</v>
      </c>
      <c r="E272" t="s">
        <v>929</v>
      </c>
      <c r="F272" t="s">
        <v>271</v>
      </c>
      <c r="G272" t="s">
        <v>62</v>
      </c>
      <c r="H272" t="s">
        <v>458</v>
      </c>
      <c r="I272">
        <v>116414</v>
      </c>
      <c r="J272" s="3">
        <v>1396968</v>
      </c>
      <c r="K272" s="2">
        <v>28758</v>
      </c>
      <c r="L272" t="s">
        <v>51</v>
      </c>
      <c r="M272" t="s">
        <v>80</v>
      </c>
      <c r="N272">
        <v>48468</v>
      </c>
      <c r="O272" t="s">
        <v>33</v>
      </c>
      <c r="P272" t="s">
        <v>32</v>
      </c>
      <c r="Q272" t="s">
        <v>160</v>
      </c>
      <c r="R272" s="2">
        <v>45567</v>
      </c>
      <c r="S272" s="1" t="s">
        <v>35</v>
      </c>
      <c r="T272">
        <v>0</v>
      </c>
      <c r="U272" t="s">
        <v>36</v>
      </c>
      <c r="V272">
        <v>1</v>
      </c>
      <c r="W272" t="s">
        <v>87</v>
      </c>
      <c r="X272">
        <v>0</v>
      </c>
      <c r="Y272" t="s">
        <v>280</v>
      </c>
      <c r="Z272">
        <v>2</v>
      </c>
      <c r="AA272" t="s">
        <v>49</v>
      </c>
      <c r="AB272">
        <v>3.9</v>
      </c>
      <c r="AC272" t="s">
        <v>962</v>
      </c>
      <c r="AD272">
        <v>4</v>
      </c>
      <c r="AE272" s="2">
        <v>45767</v>
      </c>
      <c r="AF272">
        <v>1</v>
      </c>
      <c r="AG272">
        <v>0</v>
      </c>
    </row>
    <row r="273" spans="1:33">
      <c r="A273">
        <v>10140</v>
      </c>
      <c r="B273" t="s">
        <v>1149</v>
      </c>
      <c r="C273" t="s">
        <v>42</v>
      </c>
      <c r="D273" t="s">
        <v>42</v>
      </c>
      <c r="E273" t="s">
        <v>929</v>
      </c>
      <c r="F273" t="s">
        <v>113</v>
      </c>
      <c r="G273" t="s">
        <v>110</v>
      </c>
      <c r="H273" t="s">
        <v>114</v>
      </c>
      <c r="I273">
        <v>61809</v>
      </c>
      <c r="J273" s="3">
        <v>741708</v>
      </c>
      <c r="K273" s="2">
        <v>20009</v>
      </c>
      <c r="L273" t="s">
        <v>30</v>
      </c>
      <c r="M273" t="s">
        <v>226</v>
      </c>
      <c r="N273">
        <v>83706</v>
      </c>
      <c r="O273" t="s">
        <v>33</v>
      </c>
      <c r="P273" t="s">
        <v>32</v>
      </c>
      <c r="Q273" t="s">
        <v>34</v>
      </c>
      <c r="R273" s="2">
        <v>41771</v>
      </c>
      <c r="S273" s="1" t="s">
        <v>35</v>
      </c>
      <c r="T273">
        <v>0</v>
      </c>
      <c r="U273" t="s">
        <v>36</v>
      </c>
      <c r="V273">
        <v>1</v>
      </c>
      <c r="W273" t="s">
        <v>36</v>
      </c>
      <c r="X273">
        <v>0</v>
      </c>
      <c r="Y273" t="s">
        <v>94</v>
      </c>
      <c r="Z273">
        <v>3</v>
      </c>
      <c r="AA273" t="s">
        <v>49</v>
      </c>
      <c r="AB273">
        <v>3.98</v>
      </c>
      <c r="AC273" t="s">
        <v>932</v>
      </c>
      <c r="AD273">
        <v>0</v>
      </c>
      <c r="AE273" s="2">
        <v>43493</v>
      </c>
      <c r="AF273">
        <v>0</v>
      </c>
      <c r="AG273">
        <v>4</v>
      </c>
    </row>
    <row r="274" spans="1:33">
      <c r="A274">
        <v>10140</v>
      </c>
      <c r="B274" t="s">
        <v>1362</v>
      </c>
      <c r="C274" t="s">
        <v>42</v>
      </c>
      <c r="D274" t="s">
        <v>42</v>
      </c>
      <c r="E274" t="s">
        <v>929</v>
      </c>
      <c r="F274" t="s">
        <v>278</v>
      </c>
      <c r="G274" t="s">
        <v>277</v>
      </c>
      <c r="H274" t="s">
        <v>459</v>
      </c>
      <c r="I274">
        <v>69895</v>
      </c>
      <c r="J274" s="3">
        <v>838740</v>
      </c>
      <c r="K274" s="2">
        <v>31855</v>
      </c>
      <c r="L274" t="s">
        <v>264</v>
      </c>
      <c r="M274" t="s">
        <v>29</v>
      </c>
      <c r="N274">
        <v>68614</v>
      </c>
      <c r="O274" t="s">
        <v>73</v>
      </c>
      <c r="P274" t="s">
        <v>124</v>
      </c>
      <c r="Q274" t="s">
        <v>204</v>
      </c>
      <c r="R274" s="2">
        <v>42320</v>
      </c>
      <c r="S274" s="1" t="s">
        <v>35</v>
      </c>
      <c r="T274">
        <v>1</v>
      </c>
      <c r="U274" t="s">
        <v>298</v>
      </c>
      <c r="V274">
        <v>1</v>
      </c>
      <c r="W274" t="s">
        <v>36</v>
      </c>
      <c r="X274">
        <v>1</v>
      </c>
      <c r="Y274" t="s">
        <v>39</v>
      </c>
      <c r="Z274">
        <v>4</v>
      </c>
      <c r="AA274" t="s">
        <v>49</v>
      </c>
      <c r="AB274">
        <v>4.5999999999999996</v>
      </c>
      <c r="AC274" t="s">
        <v>932</v>
      </c>
      <c r="AD274">
        <v>0</v>
      </c>
      <c r="AE274" s="2">
        <v>45954</v>
      </c>
      <c r="AF274">
        <v>5</v>
      </c>
      <c r="AG274">
        <v>6</v>
      </c>
    </row>
    <row r="275" spans="1:33">
      <c r="A275">
        <v>10141</v>
      </c>
      <c r="B275" t="s">
        <v>1192</v>
      </c>
      <c r="C275" t="s">
        <v>31</v>
      </c>
      <c r="D275" t="s">
        <v>31</v>
      </c>
      <c r="E275" t="s">
        <v>934</v>
      </c>
      <c r="F275" t="s">
        <v>37</v>
      </c>
      <c r="G275" t="s">
        <v>28</v>
      </c>
      <c r="H275" t="s">
        <v>61</v>
      </c>
      <c r="I275">
        <v>48413</v>
      </c>
      <c r="J275" s="3">
        <v>580956</v>
      </c>
      <c r="K275" s="2">
        <v>23871</v>
      </c>
      <c r="L275" t="s">
        <v>51</v>
      </c>
      <c r="M275" t="s">
        <v>29</v>
      </c>
      <c r="N275">
        <v>2066</v>
      </c>
      <c r="O275" t="s">
        <v>33</v>
      </c>
      <c r="P275" t="s">
        <v>32</v>
      </c>
      <c r="Q275" t="s">
        <v>34</v>
      </c>
      <c r="R275" s="2">
        <v>40729</v>
      </c>
      <c r="S275" s="1" t="s">
        <v>246</v>
      </c>
      <c r="T275">
        <v>1</v>
      </c>
      <c r="U275" t="s">
        <v>58</v>
      </c>
      <c r="V275">
        <v>5</v>
      </c>
      <c r="W275" t="s">
        <v>45</v>
      </c>
      <c r="X275">
        <v>0</v>
      </c>
      <c r="Y275" t="s">
        <v>48</v>
      </c>
      <c r="Z275">
        <v>3</v>
      </c>
      <c r="AA275" t="s">
        <v>49</v>
      </c>
      <c r="AB275">
        <v>3.98</v>
      </c>
      <c r="AC275" t="s">
        <v>937</v>
      </c>
      <c r="AD275">
        <v>0</v>
      </c>
      <c r="AE275" s="2">
        <v>42431</v>
      </c>
      <c r="AF275">
        <v>0</v>
      </c>
      <c r="AG275">
        <v>1</v>
      </c>
    </row>
    <row r="276" spans="1:33">
      <c r="A276">
        <v>10141</v>
      </c>
      <c r="B276" t="s">
        <v>1363</v>
      </c>
      <c r="C276" t="s">
        <v>31</v>
      </c>
      <c r="D276" t="s">
        <v>31</v>
      </c>
      <c r="E276" t="s">
        <v>929</v>
      </c>
      <c r="F276" t="s">
        <v>278</v>
      </c>
      <c r="G276" t="s">
        <v>28</v>
      </c>
      <c r="H276" t="s">
        <v>460</v>
      </c>
      <c r="I276">
        <v>90038</v>
      </c>
      <c r="J276" s="3">
        <v>1080456</v>
      </c>
      <c r="K276" s="2">
        <v>33833</v>
      </c>
      <c r="L276" t="s">
        <v>51</v>
      </c>
      <c r="M276" t="s">
        <v>80</v>
      </c>
      <c r="N276">
        <v>49266</v>
      </c>
      <c r="O276" t="s">
        <v>73</v>
      </c>
      <c r="P276" t="s">
        <v>32</v>
      </c>
      <c r="Q276" t="s">
        <v>270</v>
      </c>
      <c r="R276" s="2">
        <v>43057</v>
      </c>
      <c r="S276" s="1" t="s">
        <v>35</v>
      </c>
      <c r="T276">
        <v>1</v>
      </c>
      <c r="U276" t="s">
        <v>298</v>
      </c>
      <c r="V276">
        <v>2</v>
      </c>
      <c r="W276" t="s">
        <v>45</v>
      </c>
      <c r="X276">
        <v>1</v>
      </c>
      <c r="Y276" t="s">
        <v>268</v>
      </c>
      <c r="Z276">
        <v>2</v>
      </c>
      <c r="AA276" t="s">
        <v>136</v>
      </c>
      <c r="AB276">
        <v>4.7</v>
      </c>
      <c r="AC276" t="s">
        <v>962</v>
      </c>
      <c r="AD276">
        <v>5</v>
      </c>
      <c r="AE276" s="2">
        <v>45485</v>
      </c>
      <c r="AF276">
        <v>2</v>
      </c>
      <c r="AG276">
        <v>1</v>
      </c>
    </row>
    <row r="277" spans="1:33">
      <c r="A277">
        <v>10142</v>
      </c>
      <c r="B277" t="s">
        <v>1032</v>
      </c>
      <c r="C277" t="s">
        <v>31</v>
      </c>
      <c r="D277" t="s">
        <v>65</v>
      </c>
      <c r="E277" t="s">
        <v>934</v>
      </c>
      <c r="F277" t="s">
        <v>113</v>
      </c>
      <c r="G277" t="s">
        <v>110</v>
      </c>
      <c r="H277" t="s">
        <v>114</v>
      </c>
      <c r="I277">
        <v>59370</v>
      </c>
      <c r="J277" s="3">
        <v>712440</v>
      </c>
      <c r="K277" s="2">
        <v>26124</v>
      </c>
      <c r="L277" t="s">
        <v>51</v>
      </c>
      <c r="M277" t="s">
        <v>162</v>
      </c>
      <c r="N277">
        <v>43050</v>
      </c>
      <c r="O277" t="s">
        <v>33</v>
      </c>
      <c r="P277" t="s">
        <v>32</v>
      </c>
      <c r="Q277" t="s">
        <v>68</v>
      </c>
      <c r="R277" s="2">
        <v>41827</v>
      </c>
      <c r="S277" s="1" t="s">
        <v>163</v>
      </c>
      <c r="T277">
        <v>1</v>
      </c>
      <c r="U277" t="s">
        <v>86</v>
      </c>
      <c r="V277">
        <v>4</v>
      </c>
      <c r="W277" t="s">
        <v>87</v>
      </c>
      <c r="X277">
        <v>0</v>
      </c>
      <c r="Y277" t="s">
        <v>94</v>
      </c>
      <c r="Z277">
        <v>3</v>
      </c>
      <c r="AA277" t="s">
        <v>49</v>
      </c>
      <c r="AB277">
        <v>3.97</v>
      </c>
      <c r="AC277" t="s">
        <v>937</v>
      </c>
      <c r="AD277">
        <v>0</v>
      </c>
      <c r="AE277" s="2">
        <v>41654</v>
      </c>
      <c r="AF277">
        <v>0</v>
      </c>
      <c r="AG277">
        <v>7</v>
      </c>
    </row>
    <row r="278" spans="1:33">
      <c r="A278">
        <v>10142</v>
      </c>
      <c r="B278" t="s">
        <v>1364</v>
      </c>
      <c r="C278" t="s">
        <v>42</v>
      </c>
      <c r="D278" t="s">
        <v>42</v>
      </c>
      <c r="E278" t="s">
        <v>934</v>
      </c>
      <c r="F278" t="s">
        <v>274</v>
      </c>
      <c r="G278" t="s">
        <v>277</v>
      </c>
      <c r="H278" t="s">
        <v>461</v>
      </c>
      <c r="I278">
        <v>74412</v>
      </c>
      <c r="J278" s="3">
        <v>892944</v>
      </c>
      <c r="K278" s="2">
        <v>35732</v>
      </c>
      <c r="L278" t="s">
        <v>264</v>
      </c>
      <c r="M278" t="s">
        <v>144</v>
      </c>
      <c r="N278">
        <v>20100</v>
      </c>
      <c r="O278" t="s">
        <v>33</v>
      </c>
      <c r="P278" t="s">
        <v>32</v>
      </c>
      <c r="Q278" t="s">
        <v>204</v>
      </c>
      <c r="R278" s="2">
        <v>43506</v>
      </c>
      <c r="S278" s="1" t="s">
        <v>35</v>
      </c>
      <c r="T278">
        <v>1</v>
      </c>
      <c r="U278" t="s">
        <v>273</v>
      </c>
      <c r="V278">
        <v>3</v>
      </c>
      <c r="W278" t="s">
        <v>87</v>
      </c>
      <c r="X278">
        <v>0</v>
      </c>
      <c r="Y278" t="s">
        <v>39</v>
      </c>
      <c r="Z278">
        <v>1</v>
      </c>
      <c r="AA278" t="s">
        <v>95</v>
      </c>
      <c r="AB278">
        <v>3.5</v>
      </c>
      <c r="AC278" t="s">
        <v>1003</v>
      </c>
      <c r="AD278">
        <v>5</v>
      </c>
      <c r="AE278" s="2">
        <v>45833</v>
      </c>
      <c r="AF278">
        <v>4</v>
      </c>
      <c r="AG278">
        <v>5</v>
      </c>
    </row>
    <row r="279" spans="1:33">
      <c r="A279">
        <v>10143</v>
      </c>
      <c r="B279" t="s">
        <v>993</v>
      </c>
      <c r="C279" t="s">
        <v>31</v>
      </c>
      <c r="D279" t="s">
        <v>31</v>
      </c>
      <c r="E279" t="s">
        <v>929</v>
      </c>
      <c r="F279" t="s">
        <v>37</v>
      </c>
      <c r="G279" t="s">
        <v>50</v>
      </c>
      <c r="H279" t="s">
        <v>54</v>
      </c>
      <c r="I279">
        <v>56294</v>
      </c>
      <c r="J279" s="3">
        <v>675528</v>
      </c>
      <c r="K279" s="2">
        <v>29112</v>
      </c>
      <c r="L279" t="s">
        <v>30</v>
      </c>
      <c r="M279" t="s">
        <v>29</v>
      </c>
      <c r="N279">
        <v>2458</v>
      </c>
      <c r="O279" t="s">
        <v>33</v>
      </c>
      <c r="P279" t="s">
        <v>88</v>
      </c>
      <c r="Q279" t="s">
        <v>81</v>
      </c>
      <c r="R279" s="2">
        <v>40854</v>
      </c>
      <c r="S279" s="1" t="s">
        <v>35</v>
      </c>
      <c r="T279">
        <v>0</v>
      </c>
      <c r="U279" t="s">
        <v>36</v>
      </c>
      <c r="V279">
        <v>1</v>
      </c>
      <c r="W279" t="s">
        <v>36</v>
      </c>
      <c r="X279">
        <v>0</v>
      </c>
      <c r="Y279" t="s">
        <v>39</v>
      </c>
      <c r="Z279">
        <v>3</v>
      </c>
      <c r="AA279" t="s">
        <v>49</v>
      </c>
      <c r="AB279">
        <v>3.96</v>
      </c>
      <c r="AC279" t="s">
        <v>937</v>
      </c>
      <c r="AD279">
        <v>0</v>
      </c>
      <c r="AE279" s="2">
        <v>43523</v>
      </c>
      <c r="AF279">
        <v>0</v>
      </c>
      <c r="AG279">
        <v>6</v>
      </c>
    </row>
    <row r="280" spans="1:33">
      <c r="A280">
        <v>10143</v>
      </c>
      <c r="B280" t="s">
        <v>1365</v>
      </c>
      <c r="C280" t="s">
        <v>31</v>
      </c>
      <c r="D280" t="s">
        <v>31</v>
      </c>
      <c r="E280" t="s">
        <v>929</v>
      </c>
      <c r="F280" t="s">
        <v>274</v>
      </c>
      <c r="G280" t="s">
        <v>269</v>
      </c>
      <c r="H280" t="s">
        <v>463</v>
      </c>
      <c r="I280">
        <v>65195</v>
      </c>
      <c r="J280" s="3">
        <v>782340</v>
      </c>
      <c r="K280" s="2">
        <v>27040</v>
      </c>
      <c r="L280" t="s">
        <v>264</v>
      </c>
      <c r="M280" t="s">
        <v>144</v>
      </c>
      <c r="N280">
        <v>66943</v>
      </c>
      <c r="O280" t="s">
        <v>73</v>
      </c>
      <c r="P280" t="s">
        <v>124</v>
      </c>
      <c r="Q280" t="s">
        <v>160</v>
      </c>
      <c r="R280" s="2">
        <v>44904</v>
      </c>
      <c r="S280" s="1" t="s">
        <v>462</v>
      </c>
      <c r="T280">
        <v>0</v>
      </c>
      <c r="U280" t="s">
        <v>36</v>
      </c>
      <c r="V280">
        <v>1</v>
      </c>
      <c r="W280" t="s">
        <v>45</v>
      </c>
      <c r="X280">
        <v>1</v>
      </c>
      <c r="Y280" t="s">
        <v>48</v>
      </c>
      <c r="Z280">
        <v>3</v>
      </c>
      <c r="AA280" t="s">
        <v>95</v>
      </c>
      <c r="AB280">
        <v>3.2</v>
      </c>
      <c r="AC280" t="s">
        <v>930</v>
      </c>
      <c r="AD280">
        <v>0</v>
      </c>
      <c r="AE280" s="2">
        <v>45713</v>
      </c>
      <c r="AF280">
        <v>0</v>
      </c>
      <c r="AG280">
        <v>1</v>
      </c>
    </row>
    <row r="281" spans="1:33">
      <c r="A281">
        <v>10144</v>
      </c>
      <c r="B281" t="s">
        <v>1203</v>
      </c>
      <c r="C281" t="s">
        <v>31</v>
      </c>
      <c r="D281" t="s">
        <v>56</v>
      </c>
      <c r="E281" t="s">
        <v>929</v>
      </c>
      <c r="F281" t="s">
        <v>37</v>
      </c>
      <c r="G281" t="s">
        <v>104</v>
      </c>
      <c r="H281" t="s">
        <v>107</v>
      </c>
      <c r="I281">
        <v>88976</v>
      </c>
      <c r="J281" s="3">
        <v>1067712</v>
      </c>
      <c r="K281" s="2">
        <v>25121</v>
      </c>
      <c r="L281" t="s">
        <v>30</v>
      </c>
      <c r="M281" t="s">
        <v>29</v>
      </c>
      <c r="N281">
        <v>2169</v>
      </c>
      <c r="O281" t="s">
        <v>33</v>
      </c>
      <c r="P281" t="s">
        <v>32</v>
      </c>
      <c r="Q281" t="s">
        <v>34</v>
      </c>
      <c r="R281" s="2">
        <v>40756</v>
      </c>
      <c r="S281" s="1" t="s">
        <v>35</v>
      </c>
      <c r="T281">
        <v>0</v>
      </c>
      <c r="U281" t="s">
        <v>36</v>
      </c>
      <c r="V281">
        <v>1</v>
      </c>
      <c r="W281" t="s">
        <v>36</v>
      </c>
      <c r="X281">
        <v>0</v>
      </c>
      <c r="Y281" t="s">
        <v>67</v>
      </c>
      <c r="Z281">
        <v>3</v>
      </c>
      <c r="AA281" t="s">
        <v>49</v>
      </c>
      <c r="AB281">
        <v>3.93</v>
      </c>
      <c r="AC281" t="s">
        <v>932</v>
      </c>
      <c r="AD281">
        <v>0</v>
      </c>
      <c r="AE281" s="2">
        <v>43523</v>
      </c>
      <c r="AF281">
        <v>0</v>
      </c>
      <c r="AG281">
        <v>19</v>
      </c>
    </row>
    <row r="282" spans="1:33">
      <c r="A282">
        <v>10144</v>
      </c>
      <c r="B282" t="s">
        <v>1366</v>
      </c>
      <c r="C282" t="s">
        <v>42</v>
      </c>
      <c r="D282" t="s">
        <v>42</v>
      </c>
      <c r="E282" t="s">
        <v>929</v>
      </c>
      <c r="F282" t="s">
        <v>278</v>
      </c>
      <c r="G282" t="s">
        <v>277</v>
      </c>
      <c r="H282" t="s">
        <v>465</v>
      </c>
      <c r="I282">
        <v>44181</v>
      </c>
      <c r="J282" s="3">
        <v>530172</v>
      </c>
      <c r="K282" s="2">
        <v>29718</v>
      </c>
      <c r="L282" t="s">
        <v>264</v>
      </c>
      <c r="M282" t="s">
        <v>80</v>
      </c>
      <c r="N282">
        <v>42364</v>
      </c>
      <c r="O282" t="s">
        <v>73</v>
      </c>
      <c r="P282" t="s">
        <v>124</v>
      </c>
      <c r="Q282" t="s">
        <v>270</v>
      </c>
      <c r="R282" s="2">
        <v>42752</v>
      </c>
      <c r="S282" s="1" t="s">
        <v>464</v>
      </c>
      <c r="T282">
        <v>0</v>
      </c>
      <c r="U282" t="s">
        <v>36</v>
      </c>
      <c r="V282">
        <v>1</v>
      </c>
      <c r="W282" t="s">
        <v>36</v>
      </c>
      <c r="X282">
        <v>1</v>
      </c>
      <c r="Y282" t="s">
        <v>39</v>
      </c>
      <c r="Z282">
        <v>3</v>
      </c>
      <c r="AA282" t="s">
        <v>49</v>
      </c>
      <c r="AB282">
        <v>4.4000000000000004</v>
      </c>
      <c r="AC282" t="s">
        <v>932</v>
      </c>
      <c r="AD282">
        <v>4</v>
      </c>
      <c r="AE282" s="2">
        <v>45618</v>
      </c>
      <c r="AF282">
        <v>2</v>
      </c>
      <c r="AG282">
        <v>1</v>
      </c>
    </row>
    <row r="283" spans="1:33">
      <c r="A283">
        <v>10145</v>
      </c>
      <c r="B283" t="s">
        <v>1104</v>
      </c>
      <c r="C283" t="s">
        <v>42</v>
      </c>
      <c r="D283" t="s">
        <v>42</v>
      </c>
      <c r="E283" t="s">
        <v>934</v>
      </c>
      <c r="F283" t="s">
        <v>37</v>
      </c>
      <c r="G283" t="s">
        <v>28</v>
      </c>
      <c r="H283" t="s">
        <v>54</v>
      </c>
      <c r="I283">
        <v>62810</v>
      </c>
      <c r="J283" s="3">
        <v>753720</v>
      </c>
      <c r="K283" s="2">
        <v>31784</v>
      </c>
      <c r="L283" t="s">
        <v>51</v>
      </c>
      <c r="M283" t="s">
        <v>29</v>
      </c>
      <c r="N283">
        <v>2184</v>
      </c>
      <c r="O283" t="s">
        <v>33</v>
      </c>
      <c r="P283" t="s">
        <v>32</v>
      </c>
      <c r="Q283" t="s">
        <v>68</v>
      </c>
      <c r="R283" s="2">
        <v>41281</v>
      </c>
      <c r="S283" s="1" t="s">
        <v>35</v>
      </c>
      <c r="T283">
        <v>0</v>
      </c>
      <c r="U283" t="s">
        <v>36</v>
      </c>
      <c r="V283">
        <v>1</v>
      </c>
      <c r="W283" t="s">
        <v>36</v>
      </c>
      <c r="X283">
        <v>0</v>
      </c>
      <c r="Y283" t="s">
        <v>94</v>
      </c>
      <c r="Z283">
        <v>3</v>
      </c>
      <c r="AA283" t="s">
        <v>49</v>
      </c>
      <c r="AB283">
        <v>3.93</v>
      </c>
      <c r="AC283" t="s">
        <v>932</v>
      </c>
      <c r="AD283">
        <v>0</v>
      </c>
      <c r="AE283" s="2">
        <v>43495</v>
      </c>
      <c r="AF283">
        <v>0</v>
      </c>
      <c r="AG283">
        <v>20</v>
      </c>
    </row>
    <row r="284" spans="1:33">
      <c r="A284">
        <v>10145</v>
      </c>
      <c r="B284" t="s">
        <v>1367</v>
      </c>
      <c r="C284" t="s">
        <v>42</v>
      </c>
      <c r="D284" t="s">
        <v>56</v>
      </c>
      <c r="E284" t="s">
        <v>934</v>
      </c>
      <c r="F284" t="s">
        <v>288</v>
      </c>
      <c r="G284" t="s">
        <v>28</v>
      </c>
      <c r="H284" t="s">
        <v>466</v>
      </c>
      <c r="I284">
        <v>54677</v>
      </c>
      <c r="J284" s="3">
        <v>656124</v>
      </c>
      <c r="K284" s="2">
        <v>24815</v>
      </c>
      <c r="L284" t="s">
        <v>264</v>
      </c>
      <c r="M284" t="s">
        <v>80</v>
      </c>
      <c r="N284">
        <v>48081</v>
      </c>
      <c r="O284" t="s">
        <v>73</v>
      </c>
      <c r="P284" t="s">
        <v>124</v>
      </c>
      <c r="Q284" t="s">
        <v>270</v>
      </c>
      <c r="R284" s="2">
        <v>44966</v>
      </c>
      <c r="S284" s="1" t="s">
        <v>35</v>
      </c>
      <c r="T284">
        <v>0</v>
      </c>
      <c r="U284" t="s">
        <v>36</v>
      </c>
      <c r="V284">
        <v>1</v>
      </c>
      <c r="W284" t="s">
        <v>36</v>
      </c>
      <c r="X284">
        <v>0</v>
      </c>
      <c r="Y284" t="s">
        <v>268</v>
      </c>
      <c r="Z284">
        <v>1</v>
      </c>
      <c r="AA284" t="s">
        <v>49</v>
      </c>
      <c r="AB284">
        <v>3</v>
      </c>
      <c r="AC284" t="s">
        <v>937</v>
      </c>
      <c r="AD284">
        <v>4</v>
      </c>
      <c r="AE284" s="2">
        <v>45720</v>
      </c>
      <c r="AF284">
        <v>1</v>
      </c>
      <c r="AG284">
        <v>3</v>
      </c>
    </row>
    <row r="285" spans="1:33">
      <c r="A285">
        <v>10146</v>
      </c>
      <c r="B285" t="s">
        <v>1190</v>
      </c>
      <c r="C285" t="s">
        <v>42</v>
      </c>
      <c r="D285" t="s">
        <v>42</v>
      </c>
      <c r="E285" t="s">
        <v>934</v>
      </c>
      <c r="F285" t="s">
        <v>37</v>
      </c>
      <c r="G285" t="s">
        <v>50</v>
      </c>
      <c r="H285" t="s">
        <v>55</v>
      </c>
      <c r="I285">
        <v>72202</v>
      </c>
      <c r="J285" s="3">
        <v>866424</v>
      </c>
      <c r="K285" s="2">
        <v>19503</v>
      </c>
      <c r="L285" t="s">
        <v>51</v>
      </c>
      <c r="M285" t="s">
        <v>29</v>
      </c>
      <c r="N285">
        <v>2129</v>
      </c>
      <c r="O285" t="s">
        <v>33</v>
      </c>
      <c r="P285" t="s">
        <v>32</v>
      </c>
      <c r="Q285" t="s">
        <v>34</v>
      </c>
      <c r="R285" s="2">
        <v>40679</v>
      </c>
      <c r="S285" s="1" t="s">
        <v>244</v>
      </c>
      <c r="T285">
        <v>1</v>
      </c>
      <c r="U285" t="s">
        <v>75</v>
      </c>
      <c r="V285">
        <v>5</v>
      </c>
      <c r="W285" t="s">
        <v>45</v>
      </c>
      <c r="X285">
        <v>0</v>
      </c>
      <c r="Y285" t="s">
        <v>60</v>
      </c>
      <c r="Z285">
        <v>3</v>
      </c>
      <c r="AA285" t="s">
        <v>49</v>
      </c>
      <c r="AB285">
        <v>3.93</v>
      </c>
      <c r="AC285" t="s">
        <v>932</v>
      </c>
      <c r="AD285">
        <v>0</v>
      </c>
      <c r="AE285" s="2">
        <v>42843</v>
      </c>
      <c r="AF285">
        <v>0</v>
      </c>
      <c r="AG285">
        <v>3</v>
      </c>
    </row>
    <row r="286" spans="1:33">
      <c r="A286">
        <v>10146</v>
      </c>
      <c r="B286" t="s">
        <v>1368</v>
      </c>
      <c r="C286" t="s">
        <v>42</v>
      </c>
      <c r="D286" t="s">
        <v>42</v>
      </c>
      <c r="E286" t="s">
        <v>934</v>
      </c>
      <c r="F286" t="s">
        <v>271</v>
      </c>
      <c r="G286" t="s">
        <v>277</v>
      </c>
      <c r="H286" t="s">
        <v>468</v>
      </c>
      <c r="I286">
        <v>102338</v>
      </c>
      <c r="J286" s="3">
        <v>1228056</v>
      </c>
      <c r="K286" s="2">
        <v>23753</v>
      </c>
      <c r="L286" t="s">
        <v>264</v>
      </c>
      <c r="M286" t="s">
        <v>80</v>
      </c>
      <c r="N286">
        <v>21320</v>
      </c>
      <c r="O286" t="s">
        <v>73</v>
      </c>
      <c r="P286" t="s">
        <v>32</v>
      </c>
      <c r="Q286" t="s">
        <v>160</v>
      </c>
      <c r="R286" s="2">
        <v>43454</v>
      </c>
      <c r="S286" s="1" t="s">
        <v>467</v>
      </c>
      <c r="T286">
        <v>1</v>
      </c>
      <c r="U286" t="s">
        <v>266</v>
      </c>
      <c r="V286">
        <v>3</v>
      </c>
      <c r="W286" t="s">
        <v>87</v>
      </c>
      <c r="X286">
        <v>1</v>
      </c>
      <c r="Y286" t="s">
        <v>142</v>
      </c>
      <c r="Z286">
        <v>3</v>
      </c>
      <c r="AA286" t="s">
        <v>95</v>
      </c>
      <c r="AB286">
        <v>4.9000000000000004</v>
      </c>
      <c r="AC286" t="s">
        <v>937</v>
      </c>
      <c r="AD286">
        <v>1</v>
      </c>
      <c r="AE286" s="2">
        <v>45722</v>
      </c>
      <c r="AF286">
        <v>5</v>
      </c>
      <c r="AG286">
        <v>7</v>
      </c>
    </row>
    <row r="287" spans="1:33">
      <c r="A287">
        <v>10147</v>
      </c>
      <c r="B287" t="s">
        <v>1182</v>
      </c>
      <c r="C287" t="s">
        <v>31</v>
      </c>
      <c r="D287" t="s">
        <v>31</v>
      </c>
      <c r="E287" t="s">
        <v>929</v>
      </c>
      <c r="F287" t="s">
        <v>102</v>
      </c>
      <c r="G287" t="s">
        <v>109</v>
      </c>
      <c r="H287" t="s">
        <v>103</v>
      </c>
      <c r="I287">
        <v>63003</v>
      </c>
      <c r="J287" s="3">
        <v>756036</v>
      </c>
      <c r="K287" s="2">
        <v>31656</v>
      </c>
      <c r="L287" t="s">
        <v>30</v>
      </c>
      <c r="M287" t="s">
        <v>29</v>
      </c>
      <c r="N287">
        <v>2703</v>
      </c>
      <c r="O287" t="s">
        <v>33</v>
      </c>
      <c r="P287" t="s">
        <v>32</v>
      </c>
      <c r="Q287" t="s">
        <v>34</v>
      </c>
      <c r="R287" s="2">
        <v>41911</v>
      </c>
      <c r="S287" s="1" t="s">
        <v>35</v>
      </c>
      <c r="T287">
        <v>0</v>
      </c>
      <c r="U287" t="s">
        <v>36</v>
      </c>
      <c r="V287">
        <v>1</v>
      </c>
      <c r="W287" t="s">
        <v>36</v>
      </c>
      <c r="X287">
        <v>0</v>
      </c>
      <c r="Y287" t="s">
        <v>48</v>
      </c>
      <c r="Z287">
        <v>3</v>
      </c>
      <c r="AA287" t="s">
        <v>49</v>
      </c>
      <c r="AB287">
        <v>3.9</v>
      </c>
      <c r="AC287" t="s">
        <v>930</v>
      </c>
      <c r="AD287">
        <v>5</v>
      </c>
      <c r="AE287" s="2">
        <v>43483</v>
      </c>
      <c r="AF287">
        <v>0</v>
      </c>
      <c r="AG287">
        <v>9</v>
      </c>
    </row>
    <row r="288" spans="1:33">
      <c r="A288">
        <v>10147</v>
      </c>
      <c r="B288" t="s">
        <v>1369</v>
      </c>
      <c r="C288" t="s">
        <v>31</v>
      </c>
      <c r="D288" t="s">
        <v>31</v>
      </c>
      <c r="E288" t="s">
        <v>929</v>
      </c>
      <c r="F288" t="s">
        <v>113</v>
      </c>
      <c r="G288" t="s">
        <v>28</v>
      </c>
      <c r="H288" t="s">
        <v>469</v>
      </c>
      <c r="I288">
        <v>33864</v>
      </c>
      <c r="J288" s="3">
        <v>406368</v>
      </c>
      <c r="K288" s="2">
        <v>36286</v>
      </c>
      <c r="L288" t="s">
        <v>51</v>
      </c>
      <c r="M288" t="s">
        <v>29</v>
      </c>
      <c r="N288">
        <v>59006</v>
      </c>
      <c r="O288" t="s">
        <v>73</v>
      </c>
      <c r="P288" t="s">
        <v>32</v>
      </c>
      <c r="Q288" t="s">
        <v>92</v>
      </c>
      <c r="R288" s="2">
        <v>43498</v>
      </c>
      <c r="S288" s="1" t="s">
        <v>35</v>
      </c>
      <c r="T288">
        <v>0</v>
      </c>
      <c r="U288" t="s">
        <v>36</v>
      </c>
      <c r="V288">
        <v>1</v>
      </c>
      <c r="W288" t="s">
        <v>45</v>
      </c>
      <c r="X288">
        <v>1</v>
      </c>
      <c r="Y288" t="s">
        <v>142</v>
      </c>
      <c r="Z288">
        <v>2</v>
      </c>
      <c r="AA288" t="s">
        <v>276</v>
      </c>
      <c r="AB288">
        <v>4.2</v>
      </c>
      <c r="AC288" t="s">
        <v>932</v>
      </c>
      <c r="AD288">
        <v>0</v>
      </c>
      <c r="AE288" s="2">
        <v>45815</v>
      </c>
      <c r="AF288">
        <v>3</v>
      </c>
      <c r="AG288">
        <v>9</v>
      </c>
    </row>
    <row r="289" spans="1:33">
      <c r="A289">
        <v>10148</v>
      </c>
      <c r="B289" t="s">
        <v>1130</v>
      </c>
      <c r="C289" t="s">
        <v>42</v>
      </c>
      <c r="D289" t="s">
        <v>42</v>
      </c>
      <c r="E289" t="s">
        <v>934</v>
      </c>
      <c r="F289" t="s">
        <v>37</v>
      </c>
      <c r="G289" t="s">
        <v>28</v>
      </c>
      <c r="H289" t="s">
        <v>55</v>
      </c>
      <c r="I289">
        <v>63515</v>
      </c>
      <c r="J289" s="3">
        <v>762180</v>
      </c>
      <c r="K289" s="2">
        <v>28976</v>
      </c>
      <c r="L289" t="s">
        <v>51</v>
      </c>
      <c r="M289" t="s">
        <v>29</v>
      </c>
      <c r="N289">
        <v>2351</v>
      </c>
      <c r="O289" t="s">
        <v>33</v>
      </c>
      <c r="P289" t="s">
        <v>32</v>
      </c>
      <c r="Q289" t="s">
        <v>34</v>
      </c>
      <c r="R289" s="2">
        <v>40581</v>
      </c>
      <c r="S289" s="1" t="s">
        <v>212</v>
      </c>
      <c r="T289">
        <v>1</v>
      </c>
      <c r="U289" t="s">
        <v>75</v>
      </c>
      <c r="V289">
        <v>5</v>
      </c>
      <c r="W289" t="s">
        <v>45</v>
      </c>
      <c r="X289">
        <v>0</v>
      </c>
      <c r="Y289" t="s">
        <v>60</v>
      </c>
      <c r="Z289">
        <v>3</v>
      </c>
      <c r="AA289" t="s">
        <v>49</v>
      </c>
      <c r="AB289">
        <v>3.89</v>
      </c>
      <c r="AC289" t="s">
        <v>937</v>
      </c>
      <c r="AD289">
        <v>0</v>
      </c>
      <c r="AE289" s="2">
        <v>41337</v>
      </c>
      <c r="AF289">
        <v>0</v>
      </c>
      <c r="AG289">
        <v>7</v>
      </c>
    </row>
    <row r="290" spans="1:33">
      <c r="A290">
        <v>10148</v>
      </c>
      <c r="B290" t="s">
        <v>1370</v>
      </c>
      <c r="C290" t="s">
        <v>31</v>
      </c>
      <c r="D290" t="s">
        <v>31</v>
      </c>
      <c r="E290" t="s">
        <v>934</v>
      </c>
      <c r="F290" t="s">
        <v>278</v>
      </c>
      <c r="G290" t="s">
        <v>277</v>
      </c>
      <c r="H290" t="s">
        <v>472</v>
      </c>
      <c r="I290">
        <v>109636</v>
      </c>
      <c r="J290" s="3">
        <v>1315632</v>
      </c>
      <c r="K290" s="2">
        <v>26435</v>
      </c>
      <c r="L290" t="s">
        <v>51</v>
      </c>
      <c r="M290" t="s">
        <v>144</v>
      </c>
      <c r="N290">
        <v>16870</v>
      </c>
      <c r="O290" t="s">
        <v>33</v>
      </c>
      <c r="P290" t="s">
        <v>32</v>
      </c>
      <c r="Q290" t="s">
        <v>34</v>
      </c>
      <c r="R290" s="2">
        <v>44313</v>
      </c>
      <c r="S290" s="1" t="s">
        <v>471</v>
      </c>
      <c r="T290">
        <v>1</v>
      </c>
      <c r="U290" t="s">
        <v>36</v>
      </c>
      <c r="V290">
        <v>2</v>
      </c>
      <c r="W290" t="s">
        <v>45</v>
      </c>
      <c r="X290">
        <v>0</v>
      </c>
      <c r="Y290" t="s">
        <v>48</v>
      </c>
      <c r="Z290">
        <v>1</v>
      </c>
      <c r="AA290" t="s">
        <v>276</v>
      </c>
      <c r="AB290">
        <v>4.0999999999999996</v>
      </c>
      <c r="AC290" t="s">
        <v>937</v>
      </c>
      <c r="AD290">
        <v>5</v>
      </c>
      <c r="AE290" s="2">
        <v>45624</v>
      </c>
      <c r="AF290">
        <v>0</v>
      </c>
      <c r="AG290">
        <v>9</v>
      </c>
    </row>
    <row r="291" spans="1:33">
      <c r="A291">
        <v>10149</v>
      </c>
      <c r="B291" t="s">
        <v>1157</v>
      </c>
      <c r="C291" t="s">
        <v>31</v>
      </c>
      <c r="D291" t="s">
        <v>31</v>
      </c>
      <c r="E291" t="s">
        <v>934</v>
      </c>
      <c r="F291" t="s">
        <v>46</v>
      </c>
      <c r="G291" t="s">
        <v>231</v>
      </c>
      <c r="H291" t="s">
        <v>47</v>
      </c>
      <c r="I291">
        <v>120000</v>
      </c>
      <c r="J291" s="3">
        <v>1440000</v>
      </c>
      <c r="K291" s="2">
        <v>26811</v>
      </c>
      <c r="L291" t="s">
        <v>51</v>
      </c>
      <c r="M291" t="s">
        <v>29</v>
      </c>
      <c r="N291">
        <v>2703</v>
      </c>
      <c r="O291" t="s">
        <v>73</v>
      </c>
      <c r="P291" t="s">
        <v>32</v>
      </c>
      <c r="Q291" t="s">
        <v>34</v>
      </c>
      <c r="R291" s="2">
        <v>42009</v>
      </c>
      <c r="S291" s="1" t="s">
        <v>232</v>
      </c>
      <c r="T291">
        <v>1</v>
      </c>
      <c r="U291" t="s">
        <v>75</v>
      </c>
      <c r="V291">
        <v>5</v>
      </c>
      <c r="W291" t="s">
        <v>45</v>
      </c>
      <c r="X291">
        <v>0</v>
      </c>
      <c r="Y291" t="s">
        <v>39</v>
      </c>
      <c r="Z291">
        <v>3</v>
      </c>
      <c r="AA291" t="s">
        <v>49</v>
      </c>
      <c r="AB291">
        <v>3.88</v>
      </c>
      <c r="AC291" t="s">
        <v>932</v>
      </c>
      <c r="AD291">
        <v>7</v>
      </c>
      <c r="AE291" s="2">
        <v>43144</v>
      </c>
      <c r="AF291">
        <v>0</v>
      </c>
      <c r="AG291">
        <v>12</v>
      </c>
    </row>
    <row r="292" spans="1:33">
      <c r="A292">
        <v>10149</v>
      </c>
      <c r="B292" t="s">
        <v>1371</v>
      </c>
      <c r="C292" t="s">
        <v>31</v>
      </c>
      <c r="D292" t="s">
        <v>42</v>
      </c>
      <c r="E292" t="s">
        <v>934</v>
      </c>
      <c r="F292" t="s">
        <v>113</v>
      </c>
      <c r="G292" t="s">
        <v>294</v>
      </c>
      <c r="H292" t="s">
        <v>473</v>
      </c>
      <c r="I292">
        <v>58129</v>
      </c>
      <c r="J292" s="3">
        <v>697548</v>
      </c>
      <c r="K292" s="2">
        <v>35322</v>
      </c>
      <c r="L292" t="s">
        <v>264</v>
      </c>
      <c r="M292" t="s">
        <v>80</v>
      </c>
      <c r="N292">
        <v>72694</v>
      </c>
      <c r="O292" t="s">
        <v>73</v>
      </c>
      <c r="P292" t="s">
        <v>32</v>
      </c>
      <c r="Q292" t="s">
        <v>160</v>
      </c>
      <c r="R292" s="2">
        <v>42906</v>
      </c>
      <c r="S292" s="1" t="s">
        <v>35</v>
      </c>
      <c r="T292">
        <v>1</v>
      </c>
      <c r="U292" t="s">
        <v>266</v>
      </c>
      <c r="V292">
        <v>1</v>
      </c>
      <c r="W292" t="s">
        <v>87</v>
      </c>
      <c r="X292">
        <v>1</v>
      </c>
      <c r="Y292" t="s">
        <v>39</v>
      </c>
      <c r="Z292">
        <v>2</v>
      </c>
      <c r="AA292" t="s">
        <v>276</v>
      </c>
      <c r="AB292">
        <v>4.8</v>
      </c>
      <c r="AC292" t="s">
        <v>937</v>
      </c>
      <c r="AD292">
        <v>5</v>
      </c>
      <c r="AE292" s="2">
        <v>45923</v>
      </c>
      <c r="AF292">
        <v>4</v>
      </c>
      <c r="AG292">
        <v>5</v>
      </c>
    </row>
    <row r="293" spans="1:33">
      <c r="A293">
        <v>10150</v>
      </c>
      <c r="B293" t="s">
        <v>968</v>
      </c>
      <c r="C293" t="s">
        <v>31</v>
      </c>
      <c r="D293" t="s">
        <v>31</v>
      </c>
      <c r="E293" t="s">
        <v>929</v>
      </c>
      <c r="F293" t="s">
        <v>63</v>
      </c>
      <c r="G293" t="s">
        <v>115</v>
      </c>
      <c r="H293" t="s">
        <v>116</v>
      </c>
      <c r="I293">
        <v>77692</v>
      </c>
      <c r="J293" s="3">
        <v>932304</v>
      </c>
      <c r="K293" s="2">
        <v>24433</v>
      </c>
      <c r="L293" t="s">
        <v>30</v>
      </c>
      <c r="M293" t="s">
        <v>29</v>
      </c>
      <c r="N293">
        <v>2184</v>
      </c>
      <c r="O293" t="s">
        <v>33</v>
      </c>
      <c r="P293" t="s">
        <v>32</v>
      </c>
      <c r="Q293" t="s">
        <v>34</v>
      </c>
      <c r="R293" s="2">
        <v>40770</v>
      </c>
      <c r="S293" s="1" t="s">
        <v>35</v>
      </c>
      <c r="T293">
        <v>0</v>
      </c>
      <c r="U293" t="s">
        <v>36</v>
      </c>
      <c r="V293">
        <v>1</v>
      </c>
      <c r="W293" t="s">
        <v>36</v>
      </c>
      <c r="X293">
        <v>0</v>
      </c>
      <c r="Y293" t="s">
        <v>60</v>
      </c>
      <c r="Z293">
        <v>3</v>
      </c>
      <c r="AA293" t="s">
        <v>49</v>
      </c>
      <c r="AB293">
        <v>3.84</v>
      </c>
      <c r="AC293" t="s">
        <v>932</v>
      </c>
      <c r="AD293">
        <v>5</v>
      </c>
      <c r="AE293" s="2">
        <v>43486</v>
      </c>
      <c r="AF293">
        <v>0</v>
      </c>
      <c r="AG293">
        <v>4</v>
      </c>
    </row>
    <row r="294" spans="1:33">
      <c r="A294">
        <v>10150</v>
      </c>
      <c r="B294" t="s">
        <v>1372</v>
      </c>
      <c r="C294" t="s">
        <v>31</v>
      </c>
      <c r="D294" t="s">
        <v>56</v>
      </c>
      <c r="E294" t="s">
        <v>929</v>
      </c>
      <c r="F294" t="s">
        <v>283</v>
      </c>
      <c r="G294" t="s">
        <v>62</v>
      </c>
      <c r="H294" t="s">
        <v>474</v>
      </c>
      <c r="I294">
        <v>45658</v>
      </c>
      <c r="J294" s="3">
        <v>547896</v>
      </c>
      <c r="K294" s="2">
        <v>36649</v>
      </c>
      <c r="L294" t="s">
        <v>51</v>
      </c>
      <c r="M294" t="s">
        <v>80</v>
      </c>
      <c r="N294">
        <v>74875</v>
      </c>
      <c r="O294" t="s">
        <v>73</v>
      </c>
      <c r="P294" t="s">
        <v>32</v>
      </c>
      <c r="Q294" t="s">
        <v>92</v>
      </c>
      <c r="R294" s="2">
        <v>43190</v>
      </c>
      <c r="S294" s="1" t="s">
        <v>35</v>
      </c>
      <c r="T294">
        <v>0</v>
      </c>
      <c r="U294" t="s">
        <v>36</v>
      </c>
      <c r="V294">
        <v>3</v>
      </c>
      <c r="W294" t="s">
        <v>87</v>
      </c>
      <c r="X294">
        <v>0</v>
      </c>
      <c r="Y294" t="s">
        <v>268</v>
      </c>
      <c r="Z294">
        <v>1</v>
      </c>
      <c r="AA294" t="s">
        <v>49</v>
      </c>
      <c r="AB294">
        <v>4.5999999999999996</v>
      </c>
      <c r="AC294" t="s">
        <v>962</v>
      </c>
      <c r="AD294">
        <v>0</v>
      </c>
      <c r="AE294" s="2">
        <v>45681</v>
      </c>
      <c r="AF294">
        <v>5</v>
      </c>
      <c r="AG294">
        <v>10</v>
      </c>
    </row>
    <row r="295" spans="1:33">
      <c r="A295">
        <v>10151</v>
      </c>
      <c r="B295" t="s">
        <v>1112</v>
      </c>
      <c r="C295" t="s">
        <v>42</v>
      </c>
      <c r="D295" t="s">
        <v>42</v>
      </c>
      <c r="E295" t="s">
        <v>934</v>
      </c>
      <c r="F295" t="s">
        <v>46</v>
      </c>
      <c r="G295" t="s">
        <v>152</v>
      </c>
      <c r="H295" t="s">
        <v>72</v>
      </c>
      <c r="I295">
        <v>52599</v>
      </c>
      <c r="J295" s="3">
        <v>631188</v>
      </c>
      <c r="K295" s="2">
        <v>28949</v>
      </c>
      <c r="L295" t="s">
        <v>51</v>
      </c>
      <c r="M295" t="s">
        <v>29</v>
      </c>
      <c r="N295">
        <v>2048</v>
      </c>
      <c r="O295" t="s">
        <v>33</v>
      </c>
      <c r="P295" t="s">
        <v>32</v>
      </c>
      <c r="Q295" t="s">
        <v>34</v>
      </c>
      <c r="R295" s="2">
        <v>42051</v>
      </c>
      <c r="S295" s="1" t="s">
        <v>35</v>
      </c>
      <c r="T295">
        <v>0</v>
      </c>
      <c r="U295" t="s">
        <v>36</v>
      </c>
      <c r="V295">
        <v>1</v>
      </c>
      <c r="W295" t="s">
        <v>36</v>
      </c>
      <c r="X295">
        <v>0</v>
      </c>
      <c r="Y295" t="s">
        <v>94</v>
      </c>
      <c r="Z295">
        <v>3</v>
      </c>
      <c r="AA295" t="s">
        <v>49</v>
      </c>
      <c r="AB295">
        <v>3.81</v>
      </c>
      <c r="AC295" t="s">
        <v>932</v>
      </c>
      <c r="AD295">
        <v>6</v>
      </c>
      <c r="AE295" s="2">
        <v>43507</v>
      </c>
      <c r="AF295">
        <v>0</v>
      </c>
      <c r="AG295">
        <v>6</v>
      </c>
    </row>
    <row r="296" spans="1:33">
      <c r="A296">
        <v>10151</v>
      </c>
      <c r="B296" t="s">
        <v>1373</v>
      </c>
      <c r="C296" t="s">
        <v>31</v>
      </c>
      <c r="D296" t="s">
        <v>56</v>
      </c>
      <c r="E296" t="s">
        <v>929</v>
      </c>
      <c r="F296" t="s">
        <v>288</v>
      </c>
      <c r="G296" t="s">
        <v>62</v>
      </c>
      <c r="H296" t="s">
        <v>476</v>
      </c>
      <c r="I296">
        <v>69364</v>
      </c>
      <c r="J296" s="3">
        <v>832368</v>
      </c>
      <c r="K296" s="2">
        <v>30399</v>
      </c>
      <c r="L296" t="s">
        <v>264</v>
      </c>
      <c r="M296" t="s">
        <v>29</v>
      </c>
      <c r="N296">
        <v>18414</v>
      </c>
      <c r="O296" t="s">
        <v>33</v>
      </c>
      <c r="P296" t="s">
        <v>124</v>
      </c>
      <c r="Q296" t="s">
        <v>270</v>
      </c>
      <c r="R296" s="2">
        <v>43892</v>
      </c>
      <c r="S296" s="1" t="s">
        <v>475</v>
      </c>
      <c r="T296">
        <v>0</v>
      </c>
      <c r="U296" t="s">
        <v>36</v>
      </c>
      <c r="V296">
        <v>1</v>
      </c>
      <c r="W296" t="s">
        <v>36</v>
      </c>
      <c r="X296">
        <v>0</v>
      </c>
      <c r="Y296" t="s">
        <v>48</v>
      </c>
      <c r="Z296">
        <v>3</v>
      </c>
      <c r="AA296" t="s">
        <v>136</v>
      </c>
      <c r="AB296">
        <v>3</v>
      </c>
      <c r="AC296" t="s">
        <v>930</v>
      </c>
      <c r="AD296">
        <v>3</v>
      </c>
      <c r="AE296" s="2">
        <v>45961</v>
      </c>
      <c r="AF296">
        <v>1</v>
      </c>
      <c r="AG296">
        <v>7</v>
      </c>
    </row>
    <row r="297" spans="1:33">
      <c r="A297">
        <v>10152</v>
      </c>
      <c r="B297" t="s">
        <v>1148</v>
      </c>
      <c r="C297" t="s">
        <v>31</v>
      </c>
      <c r="D297" t="s">
        <v>56</v>
      </c>
      <c r="E297" t="s">
        <v>929</v>
      </c>
      <c r="F297" t="s">
        <v>37</v>
      </c>
      <c r="G297" t="s">
        <v>28</v>
      </c>
      <c r="H297" t="s">
        <v>38</v>
      </c>
      <c r="I297">
        <v>61729</v>
      </c>
      <c r="J297" s="3">
        <v>740748</v>
      </c>
      <c r="K297" s="2">
        <v>31047</v>
      </c>
      <c r="L297" t="s">
        <v>30</v>
      </c>
      <c r="M297" t="s">
        <v>29</v>
      </c>
      <c r="N297">
        <v>2478</v>
      </c>
      <c r="O297" t="s">
        <v>33</v>
      </c>
      <c r="P297" t="s">
        <v>32</v>
      </c>
      <c r="Q297" t="s">
        <v>34</v>
      </c>
      <c r="R297" s="2">
        <v>40812</v>
      </c>
      <c r="S297" s="1" t="s">
        <v>225</v>
      </c>
      <c r="T297">
        <v>1</v>
      </c>
      <c r="U297" t="s">
        <v>138</v>
      </c>
      <c r="V297">
        <v>5</v>
      </c>
      <c r="W297" t="s">
        <v>45</v>
      </c>
      <c r="X297">
        <v>0</v>
      </c>
      <c r="Y297" t="s">
        <v>48</v>
      </c>
      <c r="Z297">
        <v>3</v>
      </c>
      <c r="AA297" t="s">
        <v>49</v>
      </c>
      <c r="AB297">
        <v>3.8</v>
      </c>
      <c r="AC297" t="s">
        <v>930</v>
      </c>
      <c r="AD297">
        <v>0</v>
      </c>
      <c r="AE297" s="2">
        <v>43135</v>
      </c>
      <c r="AF297">
        <v>0</v>
      </c>
      <c r="AG297">
        <v>19</v>
      </c>
    </row>
    <row r="298" spans="1:33">
      <c r="A298">
        <v>10152</v>
      </c>
      <c r="B298" t="s">
        <v>1374</v>
      </c>
      <c r="C298" t="s">
        <v>31</v>
      </c>
      <c r="D298" t="s">
        <v>56</v>
      </c>
      <c r="E298" t="s">
        <v>934</v>
      </c>
      <c r="F298" t="s">
        <v>278</v>
      </c>
      <c r="G298" t="s">
        <v>277</v>
      </c>
      <c r="H298" t="s">
        <v>477</v>
      </c>
      <c r="I298">
        <v>45509</v>
      </c>
      <c r="J298" s="3">
        <v>546108</v>
      </c>
      <c r="K298" s="2">
        <v>33415</v>
      </c>
      <c r="L298" t="s">
        <v>51</v>
      </c>
      <c r="M298" t="s">
        <v>144</v>
      </c>
      <c r="N298">
        <v>28297</v>
      </c>
      <c r="O298" t="s">
        <v>33</v>
      </c>
      <c r="P298" t="s">
        <v>32</v>
      </c>
      <c r="Q298" t="s">
        <v>92</v>
      </c>
      <c r="R298" s="2">
        <v>44779</v>
      </c>
      <c r="S298" s="1" t="s">
        <v>35</v>
      </c>
      <c r="T298">
        <v>0</v>
      </c>
      <c r="U298" t="s">
        <v>36</v>
      </c>
      <c r="V298">
        <v>2</v>
      </c>
      <c r="W298" t="s">
        <v>36</v>
      </c>
      <c r="X298">
        <v>0</v>
      </c>
      <c r="Y298" t="s">
        <v>48</v>
      </c>
      <c r="Z298">
        <v>2</v>
      </c>
      <c r="AA298" t="s">
        <v>95</v>
      </c>
      <c r="AB298">
        <v>4.2</v>
      </c>
      <c r="AC298" t="s">
        <v>1003</v>
      </c>
      <c r="AD298">
        <v>4</v>
      </c>
      <c r="AE298" s="2">
        <v>45693</v>
      </c>
      <c r="AF298">
        <v>2</v>
      </c>
      <c r="AG298">
        <v>0</v>
      </c>
    </row>
    <row r="299" spans="1:33">
      <c r="A299">
        <v>10153</v>
      </c>
      <c r="B299" t="s">
        <v>1174</v>
      </c>
      <c r="C299" t="s">
        <v>42</v>
      </c>
      <c r="D299" t="s">
        <v>42</v>
      </c>
      <c r="E299" t="s">
        <v>934</v>
      </c>
      <c r="F299" t="s">
        <v>102</v>
      </c>
      <c r="G299" t="s">
        <v>178</v>
      </c>
      <c r="H299" t="s">
        <v>103</v>
      </c>
      <c r="I299">
        <v>55000</v>
      </c>
      <c r="J299" s="3">
        <v>660000</v>
      </c>
      <c r="K299" s="2">
        <v>31942</v>
      </c>
      <c r="L299" t="s">
        <v>51</v>
      </c>
      <c r="M299" t="s">
        <v>29</v>
      </c>
      <c r="N299">
        <v>1844</v>
      </c>
      <c r="O299" t="s">
        <v>33</v>
      </c>
      <c r="P299" t="s">
        <v>32</v>
      </c>
      <c r="Q299" t="s">
        <v>68</v>
      </c>
      <c r="R299" s="2">
        <v>40812</v>
      </c>
      <c r="S299" s="1" t="s">
        <v>240</v>
      </c>
      <c r="T299">
        <v>1</v>
      </c>
      <c r="U299" t="s">
        <v>44</v>
      </c>
      <c r="V299">
        <v>5</v>
      </c>
      <c r="W299" t="s">
        <v>45</v>
      </c>
      <c r="X299">
        <v>1</v>
      </c>
      <c r="Y299" t="s">
        <v>70</v>
      </c>
      <c r="Z299">
        <v>3</v>
      </c>
      <c r="AA299" t="s">
        <v>49</v>
      </c>
      <c r="AB299">
        <v>3.8</v>
      </c>
      <c r="AC299" t="s">
        <v>937</v>
      </c>
      <c r="AD299">
        <v>4</v>
      </c>
      <c r="AE299" s="2">
        <v>41501</v>
      </c>
      <c r="AF299">
        <v>0</v>
      </c>
      <c r="AG299">
        <v>17</v>
      </c>
    </row>
    <row r="300" spans="1:33">
      <c r="A300">
        <v>10153</v>
      </c>
      <c r="B300" t="s">
        <v>1375</v>
      </c>
      <c r="C300" t="s">
        <v>31</v>
      </c>
      <c r="D300" t="s">
        <v>42</v>
      </c>
      <c r="E300" t="s">
        <v>929</v>
      </c>
      <c r="F300" t="s">
        <v>113</v>
      </c>
      <c r="G300" t="s">
        <v>269</v>
      </c>
      <c r="H300" t="s">
        <v>415</v>
      </c>
      <c r="I300">
        <v>119509</v>
      </c>
      <c r="J300" s="3">
        <v>1434108</v>
      </c>
      <c r="K300" s="2">
        <v>37738</v>
      </c>
      <c r="L300" t="s">
        <v>51</v>
      </c>
      <c r="M300" t="s">
        <v>191</v>
      </c>
      <c r="N300">
        <v>70605</v>
      </c>
      <c r="O300" t="s">
        <v>33</v>
      </c>
      <c r="P300" t="s">
        <v>32</v>
      </c>
      <c r="Q300" t="s">
        <v>34</v>
      </c>
      <c r="R300" s="2">
        <v>45229</v>
      </c>
      <c r="S300" s="1" t="s">
        <v>478</v>
      </c>
      <c r="T300">
        <v>0</v>
      </c>
      <c r="U300" t="s">
        <v>36</v>
      </c>
      <c r="V300">
        <v>1</v>
      </c>
      <c r="W300" t="s">
        <v>45</v>
      </c>
      <c r="X300">
        <v>0</v>
      </c>
      <c r="Y300" t="s">
        <v>268</v>
      </c>
      <c r="Z300">
        <v>4</v>
      </c>
      <c r="AA300" t="s">
        <v>276</v>
      </c>
      <c r="AB300">
        <v>3.7</v>
      </c>
      <c r="AC300" t="s">
        <v>937</v>
      </c>
      <c r="AD300">
        <v>3</v>
      </c>
      <c r="AE300" s="2">
        <v>45891</v>
      </c>
      <c r="AF300">
        <v>4</v>
      </c>
      <c r="AG300">
        <v>6</v>
      </c>
    </row>
    <row r="301" spans="1:33">
      <c r="A301">
        <v>10154</v>
      </c>
      <c r="B301" t="s">
        <v>1376</v>
      </c>
      <c r="C301" t="s">
        <v>31</v>
      </c>
      <c r="D301" t="s">
        <v>42</v>
      </c>
      <c r="E301" t="s">
        <v>934</v>
      </c>
      <c r="F301" t="s">
        <v>113</v>
      </c>
      <c r="G301" t="s">
        <v>62</v>
      </c>
      <c r="H301" t="s">
        <v>480</v>
      </c>
      <c r="I301">
        <v>116025</v>
      </c>
      <c r="J301" s="3">
        <v>1392300</v>
      </c>
      <c r="K301" s="2">
        <v>26519</v>
      </c>
      <c r="L301" t="s">
        <v>264</v>
      </c>
      <c r="M301" t="s">
        <v>29</v>
      </c>
      <c r="N301">
        <v>79215</v>
      </c>
      <c r="O301" t="s">
        <v>73</v>
      </c>
      <c r="P301" t="s">
        <v>32</v>
      </c>
      <c r="Q301" t="s">
        <v>270</v>
      </c>
      <c r="R301" s="2">
        <v>45035</v>
      </c>
      <c r="S301" s="1" t="s">
        <v>479</v>
      </c>
      <c r="T301">
        <v>0</v>
      </c>
      <c r="U301" t="s">
        <v>36</v>
      </c>
      <c r="V301">
        <v>3</v>
      </c>
      <c r="W301" t="s">
        <v>36</v>
      </c>
      <c r="X301">
        <v>1</v>
      </c>
      <c r="Y301" t="s">
        <v>268</v>
      </c>
      <c r="Z301">
        <v>4</v>
      </c>
      <c r="AA301" t="s">
        <v>136</v>
      </c>
      <c r="AB301">
        <v>3.9</v>
      </c>
      <c r="AC301" t="s">
        <v>937</v>
      </c>
      <c r="AD301">
        <v>5</v>
      </c>
      <c r="AE301" s="2">
        <v>45730</v>
      </c>
      <c r="AF301">
        <v>2</v>
      </c>
      <c r="AG301">
        <v>5</v>
      </c>
    </row>
    <row r="302" spans="1:33">
      <c r="A302">
        <v>10155</v>
      </c>
      <c r="B302" t="s">
        <v>996</v>
      </c>
      <c r="C302" t="s">
        <v>31</v>
      </c>
      <c r="D302" t="s">
        <v>31</v>
      </c>
      <c r="E302" t="s">
        <v>934</v>
      </c>
      <c r="F302" t="s">
        <v>63</v>
      </c>
      <c r="G302" t="s">
        <v>62</v>
      </c>
      <c r="H302" t="s">
        <v>64</v>
      </c>
      <c r="I302">
        <v>101199</v>
      </c>
      <c r="J302" s="3">
        <v>1214388</v>
      </c>
      <c r="K302" s="2">
        <v>29041</v>
      </c>
      <c r="L302" t="s">
        <v>51</v>
      </c>
      <c r="M302" t="s">
        <v>29</v>
      </c>
      <c r="N302">
        <v>2176</v>
      </c>
      <c r="O302" t="s">
        <v>33</v>
      </c>
      <c r="P302" t="s">
        <v>32</v>
      </c>
      <c r="Q302" t="s">
        <v>68</v>
      </c>
      <c r="R302" s="2">
        <v>40917</v>
      </c>
      <c r="S302" s="1" t="s">
        <v>35</v>
      </c>
      <c r="T302">
        <v>0</v>
      </c>
      <c r="U302" t="s">
        <v>36</v>
      </c>
      <c r="V302">
        <v>1</v>
      </c>
      <c r="W302" t="s">
        <v>36</v>
      </c>
      <c r="X302">
        <v>0</v>
      </c>
      <c r="Y302" t="s">
        <v>94</v>
      </c>
      <c r="Z302">
        <v>3</v>
      </c>
      <c r="AA302" t="s">
        <v>49</v>
      </c>
      <c r="AB302">
        <v>3.79</v>
      </c>
      <c r="AC302" t="s">
        <v>930</v>
      </c>
      <c r="AD302">
        <v>5</v>
      </c>
      <c r="AE302" s="2">
        <v>43490</v>
      </c>
      <c r="AF302">
        <v>0</v>
      </c>
      <c r="AG302">
        <v>8</v>
      </c>
    </row>
    <row r="303" spans="1:33">
      <c r="A303">
        <v>10155</v>
      </c>
      <c r="B303" t="s">
        <v>1377</v>
      </c>
      <c r="C303" t="s">
        <v>31</v>
      </c>
      <c r="D303" t="s">
        <v>31</v>
      </c>
      <c r="E303" t="s">
        <v>929</v>
      </c>
      <c r="F303" t="s">
        <v>271</v>
      </c>
      <c r="G303" t="s">
        <v>62</v>
      </c>
      <c r="H303" t="s">
        <v>481</v>
      </c>
      <c r="I303">
        <v>63007</v>
      </c>
      <c r="J303" s="3">
        <v>756084</v>
      </c>
      <c r="K303" s="2">
        <v>34925</v>
      </c>
      <c r="L303" t="s">
        <v>51</v>
      </c>
      <c r="M303" t="s">
        <v>80</v>
      </c>
      <c r="N303">
        <v>68549</v>
      </c>
      <c r="O303" t="s">
        <v>33</v>
      </c>
      <c r="P303" t="s">
        <v>124</v>
      </c>
      <c r="Q303" t="s">
        <v>204</v>
      </c>
      <c r="R303" s="2">
        <v>43486</v>
      </c>
      <c r="S303" s="1" t="s">
        <v>396</v>
      </c>
      <c r="T303">
        <v>1</v>
      </c>
      <c r="U303" t="s">
        <v>298</v>
      </c>
      <c r="V303">
        <v>1</v>
      </c>
      <c r="W303" t="s">
        <v>36</v>
      </c>
      <c r="X303">
        <v>1</v>
      </c>
      <c r="Y303" t="s">
        <v>280</v>
      </c>
      <c r="Z303">
        <v>1</v>
      </c>
      <c r="AA303" t="s">
        <v>136</v>
      </c>
      <c r="AB303">
        <v>4</v>
      </c>
      <c r="AC303" t="s">
        <v>930</v>
      </c>
      <c r="AD303">
        <v>3</v>
      </c>
      <c r="AE303" s="2">
        <v>45715</v>
      </c>
      <c r="AF303">
        <v>3</v>
      </c>
      <c r="AG303">
        <v>2</v>
      </c>
    </row>
    <row r="304" spans="1:33">
      <c r="A304">
        <v>10156</v>
      </c>
      <c r="B304" t="s">
        <v>1069</v>
      </c>
      <c r="C304" t="s">
        <v>42</v>
      </c>
      <c r="D304" t="s">
        <v>42</v>
      </c>
      <c r="E304" t="s">
        <v>934</v>
      </c>
      <c r="F304" t="s">
        <v>46</v>
      </c>
      <c r="G304" t="s">
        <v>89</v>
      </c>
      <c r="H304" t="s">
        <v>47</v>
      </c>
      <c r="I304">
        <v>105700</v>
      </c>
      <c r="J304" s="3">
        <v>1268400</v>
      </c>
      <c r="K304" s="2">
        <v>31723</v>
      </c>
      <c r="L304" t="s">
        <v>51</v>
      </c>
      <c r="M304" t="s">
        <v>29</v>
      </c>
      <c r="N304">
        <v>2301</v>
      </c>
      <c r="O304" t="s">
        <v>33</v>
      </c>
      <c r="P304" t="s">
        <v>32</v>
      </c>
      <c r="Q304" t="s">
        <v>92</v>
      </c>
      <c r="R304" s="2">
        <v>42009</v>
      </c>
      <c r="S304" s="1" t="s">
        <v>35</v>
      </c>
      <c r="T304">
        <v>0</v>
      </c>
      <c r="U304" t="s">
        <v>36</v>
      </c>
      <c r="V304">
        <v>3</v>
      </c>
      <c r="W304" t="s">
        <v>36</v>
      </c>
      <c r="X304">
        <v>0</v>
      </c>
      <c r="Y304" t="s">
        <v>48</v>
      </c>
      <c r="Z304">
        <v>3</v>
      </c>
      <c r="AA304" t="s">
        <v>49</v>
      </c>
      <c r="AB304">
        <v>3.75</v>
      </c>
      <c r="AC304" t="s">
        <v>932</v>
      </c>
      <c r="AD304">
        <v>5</v>
      </c>
      <c r="AE304" s="2">
        <v>43507</v>
      </c>
      <c r="AF304">
        <v>0</v>
      </c>
      <c r="AG304">
        <v>2</v>
      </c>
    </row>
    <row r="305" spans="1:33">
      <c r="A305">
        <v>10156</v>
      </c>
      <c r="B305" t="s">
        <v>1378</v>
      </c>
      <c r="C305" t="s">
        <v>31</v>
      </c>
      <c r="D305" t="s">
        <v>56</v>
      </c>
      <c r="E305" t="s">
        <v>929</v>
      </c>
      <c r="F305" t="s">
        <v>113</v>
      </c>
      <c r="G305" t="s">
        <v>277</v>
      </c>
      <c r="H305" t="s">
        <v>482</v>
      </c>
      <c r="I305">
        <v>70250</v>
      </c>
      <c r="J305" s="3">
        <v>843000</v>
      </c>
      <c r="K305" s="2">
        <v>25024</v>
      </c>
      <c r="L305" t="s">
        <v>51</v>
      </c>
      <c r="M305" t="s">
        <v>191</v>
      </c>
      <c r="N305">
        <v>79234</v>
      </c>
      <c r="O305" t="s">
        <v>33</v>
      </c>
      <c r="P305" t="s">
        <v>32</v>
      </c>
      <c r="Q305" t="s">
        <v>92</v>
      </c>
      <c r="R305" s="2">
        <v>42504</v>
      </c>
      <c r="S305" s="1" t="s">
        <v>35</v>
      </c>
      <c r="T305">
        <v>1</v>
      </c>
      <c r="U305" t="s">
        <v>273</v>
      </c>
      <c r="V305">
        <v>1</v>
      </c>
      <c r="W305" t="s">
        <v>87</v>
      </c>
      <c r="X305">
        <v>0</v>
      </c>
      <c r="Y305" t="s">
        <v>39</v>
      </c>
      <c r="Z305">
        <v>1</v>
      </c>
      <c r="AA305" t="s">
        <v>49</v>
      </c>
      <c r="AB305">
        <v>3.1</v>
      </c>
      <c r="AC305" t="s">
        <v>932</v>
      </c>
      <c r="AD305">
        <v>5</v>
      </c>
      <c r="AE305" s="2">
        <v>45845</v>
      </c>
      <c r="AF305">
        <v>4</v>
      </c>
      <c r="AG305">
        <v>8</v>
      </c>
    </row>
    <row r="306" spans="1:33">
      <c r="A306">
        <v>10157</v>
      </c>
      <c r="B306" t="s">
        <v>1175</v>
      </c>
      <c r="C306" t="s">
        <v>31</v>
      </c>
      <c r="D306" t="s">
        <v>31</v>
      </c>
      <c r="E306" t="s">
        <v>934</v>
      </c>
      <c r="F306" t="s">
        <v>37</v>
      </c>
      <c r="G306" t="s">
        <v>28</v>
      </c>
      <c r="H306" t="s">
        <v>66</v>
      </c>
      <c r="I306">
        <v>58939</v>
      </c>
      <c r="J306" s="3">
        <v>707268</v>
      </c>
      <c r="K306" s="2">
        <v>23775</v>
      </c>
      <c r="L306" t="s">
        <v>51</v>
      </c>
      <c r="M306" t="s">
        <v>29</v>
      </c>
      <c r="N306">
        <v>2130</v>
      </c>
      <c r="O306" t="s">
        <v>33</v>
      </c>
      <c r="P306" t="s">
        <v>32</v>
      </c>
      <c r="Q306" t="s">
        <v>34</v>
      </c>
      <c r="R306" s="2">
        <v>41589</v>
      </c>
      <c r="S306" s="1" t="s">
        <v>35</v>
      </c>
      <c r="T306">
        <v>0</v>
      </c>
      <c r="U306" t="s">
        <v>36</v>
      </c>
      <c r="V306">
        <v>1</v>
      </c>
      <c r="W306" t="s">
        <v>36</v>
      </c>
      <c r="X306">
        <v>0</v>
      </c>
      <c r="Y306" t="s">
        <v>67</v>
      </c>
      <c r="Z306">
        <v>3</v>
      </c>
      <c r="AA306" t="s">
        <v>49</v>
      </c>
      <c r="AB306">
        <v>3.73</v>
      </c>
      <c r="AC306" t="s">
        <v>932</v>
      </c>
      <c r="AD306">
        <v>0</v>
      </c>
      <c r="AE306" s="2">
        <v>43489</v>
      </c>
      <c r="AF306">
        <v>0</v>
      </c>
      <c r="AG306">
        <v>16</v>
      </c>
    </row>
    <row r="307" spans="1:33">
      <c r="A307">
        <v>10157</v>
      </c>
      <c r="B307" t="s">
        <v>1379</v>
      </c>
      <c r="C307" t="s">
        <v>42</v>
      </c>
      <c r="D307" t="s">
        <v>42</v>
      </c>
      <c r="E307" t="s">
        <v>934</v>
      </c>
      <c r="F307" t="s">
        <v>283</v>
      </c>
      <c r="G307" t="s">
        <v>62</v>
      </c>
      <c r="H307" t="s">
        <v>483</v>
      </c>
      <c r="I307">
        <v>68434</v>
      </c>
      <c r="J307" s="3">
        <v>821208</v>
      </c>
      <c r="K307" s="2">
        <v>34868</v>
      </c>
      <c r="L307" t="s">
        <v>264</v>
      </c>
      <c r="M307" t="s">
        <v>144</v>
      </c>
      <c r="N307">
        <v>85879</v>
      </c>
      <c r="O307" t="s">
        <v>33</v>
      </c>
      <c r="P307" t="s">
        <v>124</v>
      </c>
      <c r="Q307" t="s">
        <v>270</v>
      </c>
      <c r="R307" s="2">
        <v>44993</v>
      </c>
      <c r="S307" s="1" t="s">
        <v>35</v>
      </c>
      <c r="T307">
        <v>0</v>
      </c>
      <c r="U307" t="s">
        <v>36</v>
      </c>
      <c r="V307">
        <v>2</v>
      </c>
      <c r="W307" t="s">
        <v>36</v>
      </c>
      <c r="X307">
        <v>1</v>
      </c>
      <c r="Y307" t="s">
        <v>280</v>
      </c>
      <c r="Z307">
        <v>4</v>
      </c>
      <c r="AA307" t="s">
        <v>276</v>
      </c>
      <c r="AB307">
        <v>4.5999999999999996</v>
      </c>
      <c r="AC307" t="s">
        <v>930</v>
      </c>
      <c r="AD307">
        <v>4</v>
      </c>
      <c r="AE307" s="2">
        <v>45757</v>
      </c>
      <c r="AF307">
        <v>4</v>
      </c>
      <c r="AG307">
        <v>0</v>
      </c>
    </row>
    <row r="308" spans="1:33">
      <c r="A308">
        <v>10158</v>
      </c>
      <c r="B308" t="s">
        <v>54</v>
      </c>
      <c r="C308" t="s">
        <v>42</v>
      </c>
      <c r="D308" t="s">
        <v>42</v>
      </c>
      <c r="E308" t="s">
        <v>934</v>
      </c>
      <c r="F308" t="s">
        <v>37</v>
      </c>
      <c r="G308" t="s">
        <v>104</v>
      </c>
      <c r="H308" t="s">
        <v>107</v>
      </c>
      <c r="I308">
        <v>63682</v>
      </c>
      <c r="J308" s="3">
        <v>764184</v>
      </c>
      <c r="K308" s="2">
        <v>28577</v>
      </c>
      <c r="L308" t="s">
        <v>51</v>
      </c>
      <c r="M308" t="s">
        <v>29</v>
      </c>
      <c r="N308">
        <v>1776</v>
      </c>
      <c r="O308" t="s">
        <v>33</v>
      </c>
      <c r="P308" t="s">
        <v>32</v>
      </c>
      <c r="Q308" t="s">
        <v>68</v>
      </c>
      <c r="R308" s="2">
        <v>39821</v>
      </c>
      <c r="S308" s="1" t="s">
        <v>35</v>
      </c>
      <c r="T308">
        <v>0</v>
      </c>
      <c r="U308" t="s">
        <v>36</v>
      </c>
      <c r="V308">
        <v>1</v>
      </c>
      <c r="W308" t="s">
        <v>36</v>
      </c>
      <c r="X308">
        <v>0</v>
      </c>
      <c r="Y308" t="s">
        <v>48</v>
      </c>
      <c r="Z308">
        <v>3</v>
      </c>
      <c r="AA308" t="s">
        <v>49</v>
      </c>
      <c r="AB308">
        <v>3.73</v>
      </c>
      <c r="AC308" t="s">
        <v>937</v>
      </c>
      <c r="AD308">
        <v>0</v>
      </c>
      <c r="AE308" s="2">
        <v>43489</v>
      </c>
      <c r="AF308">
        <v>0</v>
      </c>
      <c r="AG308">
        <v>12</v>
      </c>
    </row>
    <row r="309" spans="1:33">
      <c r="A309">
        <v>10158</v>
      </c>
      <c r="B309" t="s">
        <v>1380</v>
      </c>
      <c r="C309" t="s">
        <v>31</v>
      </c>
      <c r="D309" t="s">
        <v>42</v>
      </c>
      <c r="E309" t="s">
        <v>934</v>
      </c>
      <c r="F309" t="s">
        <v>271</v>
      </c>
      <c r="G309" t="s">
        <v>28</v>
      </c>
      <c r="H309" t="s">
        <v>484</v>
      </c>
      <c r="I309">
        <v>101193</v>
      </c>
      <c r="J309" s="3">
        <v>1214316</v>
      </c>
      <c r="K309" s="2">
        <v>33860</v>
      </c>
      <c r="L309" t="s">
        <v>51</v>
      </c>
      <c r="M309" t="s">
        <v>80</v>
      </c>
      <c r="N309">
        <v>92463</v>
      </c>
      <c r="O309" t="s">
        <v>33</v>
      </c>
      <c r="P309" t="s">
        <v>32</v>
      </c>
      <c r="Q309" t="s">
        <v>270</v>
      </c>
      <c r="R309" s="2">
        <v>42889</v>
      </c>
      <c r="S309" s="1" t="s">
        <v>35</v>
      </c>
      <c r="T309">
        <v>0</v>
      </c>
      <c r="U309" t="s">
        <v>36</v>
      </c>
      <c r="V309">
        <v>1</v>
      </c>
      <c r="W309" t="s">
        <v>36</v>
      </c>
      <c r="X309">
        <v>0</v>
      </c>
      <c r="Y309" t="s">
        <v>48</v>
      </c>
      <c r="Z309">
        <v>1</v>
      </c>
      <c r="AA309" t="s">
        <v>276</v>
      </c>
      <c r="AB309">
        <v>4.4000000000000004</v>
      </c>
      <c r="AC309" t="s">
        <v>930</v>
      </c>
      <c r="AD309">
        <v>1</v>
      </c>
      <c r="AE309" s="2">
        <v>45928</v>
      </c>
      <c r="AF309">
        <v>0</v>
      </c>
      <c r="AG309">
        <v>5</v>
      </c>
    </row>
    <row r="310" spans="1:33">
      <c r="A310">
        <v>10159</v>
      </c>
      <c r="B310" t="s">
        <v>1030</v>
      </c>
      <c r="C310" t="s">
        <v>42</v>
      </c>
      <c r="D310" t="s">
        <v>42</v>
      </c>
      <c r="E310" t="s">
        <v>934</v>
      </c>
      <c r="F310" t="s">
        <v>37</v>
      </c>
      <c r="G310" t="s">
        <v>28</v>
      </c>
      <c r="H310" t="s">
        <v>38</v>
      </c>
      <c r="I310">
        <v>51337</v>
      </c>
      <c r="J310" s="3">
        <v>616044</v>
      </c>
      <c r="K310" s="2">
        <v>33147</v>
      </c>
      <c r="L310" t="s">
        <v>51</v>
      </c>
      <c r="M310" t="s">
        <v>29</v>
      </c>
      <c r="N310">
        <v>2145</v>
      </c>
      <c r="O310" t="s">
        <v>33</v>
      </c>
      <c r="P310" t="s">
        <v>32</v>
      </c>
      <c r="Q310" t="s">
        <v>68</v>
      </c>
      <c r="R310" s="2">
        <v>42093</v>
      </c>
      <c r="S310" s="1" t="s">
        <v>35</v>
      </c>
      <c r="T310">
        <v>0</v>
      </c>
      <c r="U310" t="s">
        <v>36</v>
      </c>
      <c r="V310">
        <v>1</v>
      </c>
      <c r="W310" t="s">
        <v>36</v>
      </c>
      <c r="X310">
        <v>0</v>
      </c>
      <c r="Y310" t="s">
        <v>39</v>
      </c>
      <c r="Z310">
        <v>3</v>
      </c>
      <c r="AA310" t="s">
        <v>49</v>
      </c>
      <c r="AB310">
        <v>3.73</v>
      </c>
      <c r="AC310" t="s">
        <v>932</v>
      </c>
      <c r="AD310">
        <v>0</v>
      </c>
      <c r="AE310" s="2">
        <v>43481</v>
      </c>
      <c r="AF310">
        <v>0</v>
      </c>
      <c r="AG310">
        <v>19</v>
      </c>
    </row>
    <row r="311" spans="1:33">
      <c r="A311">
        <v>10159</v>
      </c>
      <c r="B311" t="s">
        <v>1381</v>
      </c>
      <c r="C311" t="s">
        <v>42</v>
      </c>
      <c r="D311" t="s">
        <v>56</v>
      </c>
      <c r="E311" t="s">
        <v>934</v>
      </c>
      <c r="F311" t="s">
        <v>288</v>
      </c>
      <c r="G311" t="s">
        <v>269</v>
      </c>
      <c r="H311" t="s">
        <v>485</v>
      </c>
      <c r="I311">
        <v>113122</v>
      </c>
      <c r="J311" s="3">
        <v>1357464</v>
      </c>
      <c r="K311" s="2">
        <v>23808</v>
      </c>
      <c r="L311" t="s">
        <v>51</v>
      </c>
      <c r="M311" t="s">
        <v>144</v>
      </c>
      <c r="N311">
        <v>16774</v>
      </c>
      <c r="O311" t="s">
        <v>33</v>
      </c>
      <c r="P311" t="s">
        <v>124</v>
      </c>
      <c r="Q311" t="s">
        <v>204</v>
      </c>
      <c r="R311" s="2">
        <v>44146</v>
      </c>
      <c r="S311" s="1" t="s">
        <v>35</v>
      </c>
      <c r="T311">
        <v>1</v>
      </c>
      <c r="U311" t="s">
        <v>273</v>
      </c>
      <c r="V311">
        <v>3</v>
      </c>
      <c r="W311" t="s">
        <v>36</v>
      </c>
      <c r="X311">
        <v>0</v>
      </c>
      <c r="Y311" t="s">
        <v>39</v>
      </c>
      <c r="Z311">
        <v>2</v>
      </c>
      <c r="AA311" t="s">
        <v>49</v>
      </c>
      <c r="AB311">
        <v>3.6</v>
      </c>
      <c r="AC311" t="s">
        <v>1003</v>
      </c>
      <c r="AD311">
        <v>4</v>
      </c>
      <c r="AE311" s="2">
        <v>45695</v>
      </c>
      <c r="AF311">
        <v>0</v>
      </c>
      <c r="AG311">
        <v>7</v>
      </c>
    </row>
    <row r="312" spans="1:33">
      <c r="A312">
        <v>10160</v>
      </c>
      <c r="B312" t="s">
        <v>1061</v>
      </c>
      <c r="C312" t="s">
        <v>31</v>
      </c>
      <c r="D312" t="s">
        <v>56</v>
      </c>
      <c r="E312" t="s">
        <v>934</v>
      </c>
      <c r="F312" t="s">
        <v>37</v>
      </c>
      <c r="G312" t="s">
        <v>50</v>
      </c>
      <c r="H312" t="s">
        <v>61</v>
      </c>
      <c r="I312">
        <v>68182</v>
      </c>
      <c r="J312" s="3">
        <v>818184</v>
      </c>
      <c r="K312" s="2">
        <v>28025</v>
      </c>
      <c r="L312" t="s">
        <v>51</v>
      </c>
      <c r="M312" t="s">
        <v>29</v>
      </c>
      <c r="N312">
        <v>1742</v>
      </c>
      <c r="O312" t="s">
        <v>33</v>
      </c>
      <c r="P312" t="s">
        <v>32</v>
      </c>
      <c r="Q312" t="s">
        <v>34</v>
      </c>
      <c r="R312" s="2">
        <v>40595</v>
      </c>
      <c r="S312" s="1" t="s">
        <v>180</v>
      </c>
      <c r="T312">
        <v>1</v>
      </c>
      <c r="U312" t="s">
        <v>78</v>
      </c>
      <c r="V312">
        <v>5</v>
      </c>
      <c r="W312" t="s">
        <v>45</v>
      </c>
      <c r="X312">
        <v>0</v>
      </c>
      <c r="Y312" t="s">
        <v>60</v>
      </c>
      <c r="Z312">
        <v>3</v>
      </c>
      <c r="AA312" t="s">
        <v>49</v>
      </c>
      <c r="AB312">
        <v>3.72</v>
      </c>
      <c r="AC312" t="s">
        <v>932</v>
      </c>
      <c r="AD312">
        <v>0</v>
      </c>
      <c r="AE312" s="2">
        <v>41306</v>
      </c>
      <c r="AF312">
        <v>0</v>
      </c>
      <c r="AG312">
        <v>18</v>
      </c>
    </row>
    <row r="313" spans="1:33">
      <c r="A313">
        <v>10160</v>
      </c>
      <c r="B313" t="s">
        <v>1382</v>
      </c>
      <c r="C313" t="s">
        <v>42</v>
      </c>
      <c r="D313" t="s">
        <v>42</v>
      </c>
      <c r="E313" t="s">
        <v>934</v>
      </c>
      <c r="F313" t="s">
        <v>278</v>
      </c>
      <c r="G313" t="s">
        <v>269</v>
      </c>
      <c r="H313" t="s">
        <v>486</v>
      </c>
      <c r="I313">
        <v>118925</v>
      </c>
      <c r="J313" s="3">
        <v>1427100</v>
      </c>
      <c r="K313" s="2">
        <v>31824</v>
      </c>
      <c r="L313" t="s">
        <v>51</v>
      </c>
      <c r="M313" t="s">
        <v>144</v>
      </c>
      <c r="N313">
        <v>44129</v>
      </c>
      <c r="O313" t="s">
        <v>73</v>
      </c>
      <c r="P313" t="s">
        <v>124</v>
      </c>
      <c r="Q313" t="s">
        <v>34</v>
      </c>
      <c r="R313" s="2">
        <v>44595</v>
      </c>
      <c r="S313" s="1" t="s">
        <v>35</v>
      </c>
      <c r="T313">
        <v>1</v>
      </c>
      <c r="U313" t="s">
        <v>36</v>
      </c>
      <c r="V313">
        <v>3</v>
      </c>
      <c r="W313" t="s">
        <v>36</v>
      </c>
      <c r="X313">
        <v>1</v>
      </c>
      <c r="Y313" t="s">
        <v>268</v>
      </c>
      <c r="Z313">
        <v>2</v>
      </c>
      <c r="AA313" t="s">
        <v>49</v>
      </c>
      <c r="AB313">
        <v>4.4000000000000004</v>
      </c>
      <c r="AC313" t="s">
        <v>930</v>
      </c>
      <c r="AD313">
        <v>5</v>
      </c>
      <c r="AE313" s="2">
        <v>45823</v>
      </c>
      <c r="AF313">
        <v>5</v>
      </c>
      <c r="AG313">
        <v>3</v>
      </c>
    </row>
    <row r="314" spans="1:33">
      <c r="A314">
        <v>10161</v>
      </c>
      <c r="B314" t="s">
        <v>1191</v>
      </c>
      <c r="C314" t="s">
        <v>31</v>
      </c>
      <c r="D314" t="s">
        <v>31</v>
      </c>
      <c r="E314" t="s">
        <v>934</v>
      </c>
      <c r="F314" t="s">
        <v>113</v>
      </c>
      <c r="G314" t="s">
        <v>110</v>
      </c>
      <c r="H314" t="s">
        <v>121</v>
      </c>
      <c r="I314">
        <v>58370</v>
      </c>
      <c r="J314" s="3">
        <v>700440</v>
      </c>
      <c r="K314" s="2">
        <v>23869</v>
      </c>
      <c r="L314" t="s">
        <v>51</v>
      </c>
      <c r="M314" t="s">
        <v>245</v>
      </c>
      <c r="N314">
        <v>97756</v>
      </c>
      <c r="O314" t="s">
        <v>33</v>
      </c>
      <c r="P314" t="s">
        <v>32</v>
      </c>
      <c r="Q314" t="s">
        <v>68</v>
      </c>
      <c r="R314" s="2">
        <v>41911</v>
      </c>
      <c r="S314" s="1" t="s">
        <v>35</v>
      </c>
      <c r="T314">
        <v>0</v>
      </c>
      <c r="U314" t="s">
        <v>36</v>
      </c>
      <c r="V314">
        <v>1</v>
      </c>
      <c r="W314" t="s">
        <v>36</v>
      </c>
      <c r="X314">
        <v>0</v>
      </c>
      <c r="Y314" t="s">
        <v>48</v>
      </c>
      <c r="Z314">
        <v>3</v>
      </c>
      <c r="AA314" t="s">
        <v>49</v>
      </c>
      <c r="AB314">
        <v>3.69</v>
      </c>
      <c r="AC314" t="s">
        <v>932</v>
      </c>
      <c r="AD314">
        <v>0</v>
      </c>
      <c r="AE314" s="2">
        <v>43493</v>
      </c>
      <c r="AF314">
        <v>0</v>
      </c>
      <c r="AG314">
        <v>18</v>
      </c>
    </row>
    <row r="315" spans="1:33">
      <c r="A315">
        <v>10161</v>
      </c>
      <c r="B315" t="s">
        <v>1383</v>
      </c>
      <c r="C315" t="s">
        <v>42</v>
      </c>
      <c r="D315" t="s">
        <v>42</v>
      </c>
      <c r="E315" t="s">
        <v>929</v>
      </c>
      <c r="F315" t="s">
        <v>278</v>
      </c>
      <c r="G315" t="s">
        <v>28</v>
      </c>
      <c r="H315" t="s">
        <v>487</v>
      </c>
      <c r="I315">
        <v>92429</v>
      </c>
      <c r="J315" s="3">
        <v>1109148</v>
      </c>
      <c r="K315" s="2">
        <v>24554</v>
      </c>
      <c r="L315" t="s">
        <v>264</v>
      </c>
      <c r="M315" t="s">
        <v>29</v>
      </c>
      <c r="N315">
        <v>5502</v>
      </c>
      <c r="O315" t="s">
        <v>33</v>
      </c>
      <c r="P315" t="s">
        <v>124</v>
      </c>
      <c r="Q315" t="s">
        <v>34</v>
      </c>
      <c r="R315" s="2">
        <v>42779</v>
      </c>
      <c r="S315" s="1" t="s">
        <v>35</v>
      </c>
      <c r="T315">
        <v>0</v>
      </c>
      <c r="U315" t="s">
        <v>36</v>
      </c>
      <c r="V315">
        <v>3</v>
      </c>
      <c r="W315" t="s">
        <v>45</v>
      </c>
      <c r="X315">
        <v>0</v>
      </c>
      <c r="Y315" t="s">
        <v>268</v>
      </c>
      <c r="Z315">
        <v>4</v>
      </c>
      <c r="AA315" t="s">
        <v>49</v>
      </c>
      <c r="AB315">
        <v>4.7</v>
      </c>
      <c r="AC315" t="s">
        <v>962</v>
      </c>
      <c r="AD315">
        <v>1</v>
      </c>
      <c r="AE315" s="2">
        <v>45547</v>
      </c>
      <c r="AF315">
        <v>1</v>
      </c>
      <c r="AG315">
        <v>10</v>
      </c>
    </row>
    <row r="316" spans="1:33">
      <c r="A316">
        <v>10162</v>
      </c>
      <c r="B316" t="s">
        <v>1156</v>
      </c>
      <c r="C316" t="s">
        <v>42</v>
      </c>
      <c r="D316" t="s">
        <v>42</v>
      </c>
      <c r="E316" t="s">
        <v>934</v>
      </c>
      <c r="F316" t="s">
        <v>46</v>
      </c>
      <c r="G316" t="s">
        <v>79</v>
      </c>
      <c r="H316" t="s">
        <v>47</v>
      </c>
      <c r="I316">
        <v>89883</v>
      </c>
      <c r="J316" s="3">
        <v>1078596</v>
      </c>
      <c r="K316" s="2">
        <v>29870</v>
      </c>
      <c r="L316" t="s">
        <v>51</v>
      </c>
      <c r="M316" t="s">
        <v>29</v>
      </c>
      <c r="N316">
        <v>1886</v>
      </c>
      <c r="O316" t="s">
        <v>33</v>
      </c>
      <c r="P316" t="s">
        <v>32</v>
      </c>
      <c r="Q316" t="s">
        <v>34</v>
      </c>
      <c r="R316" s="2">
        <v>42051</v>
      </c>
      <c r="S316" s="1" t="s">
        <v>35</v>
      </c>
      <c r="T316">
        <v>0</v>
      </c>
      <c r="U316" t="s">
        <v>36</v>
      </c>
      <c r="V316">
        <v>1</v>
      </c>
      <c r="W316" t="s">
        <v>36</v>
      </c>
      <c r="X316">
        <v>0</v>
      </c>
      <c r="Y316" t="s">
        <v>67</v>
      </c>
      <c r="Z316">
        <v>3</v>
      </c>
      <c r="AA316" t="s">
        <v>49</v>
      </c>
      <c r="AB316">
        <v>3.69</v>
      </c>
      <c r="AC316" t="s">
        <v>930</v>
      </c>
      <c r="AD316">
        <v>6</v>
      </c>
      <c r="AE316" s="2">
        <v>43510</v>
      </c>
      <c r="AF316">
        <v>0</v>
      </c>
      <c r="AG316">
        <v>15</v>
      </c>
    </row>
    <row r="317" spans="1:33">
      <c r="A317">
        <v>10162</v>
      </c>
      <c r="B317" t="s">
        <v>1384</v>
      </c>
      <c r="C317" t="s">
        <v>31</v>
      </c>
      <c r="D317" t="s">
        <v>56</v>
      </c>
      <c r="E317" t="s">
        <v>929</v>
      </c>
      <c r="F317" t="s">
        <v>113</v>
      </c>
      <c r="G317" t="s">
        <v>28</v>
      </c>
      <c r="H317" t="s">
        <v>489</v>
      </c>
      <c r="I317">
        <v>85388</v>
      </c>
      <c r="J317" s="3">
        <v>1024656</v>
      </c>
      <c r="K317" s="2">
        <v>36891</v>
      </c>
      <c r="L317" t="s">
        <v>51</v>
      </c>
      <c r="M317" t="s">
        <v>29</v>
      </c>
      <c r="N317">
        <v>41184</v>
      </c>
      <c r="O317" t="s">
        <v>73</v>
      </c>
      <c r="P317" t="s">
        <v>124</v>
      </c>
      <c r="Q317" t="s">
        <v>270</v>
      </c>
      <c r="R317" s="2">
        <v>44587</v>
      </c>
      <c r="S317" s="1" t="s">
        <v>488</v>
      </c>
      <c r="T317">
        <v>1</v>
      </c>
      <c r="U317" t="s">
        <v>298</v>
      </c>
      <c r="V317">
        <v>1</v>
      </c>
      <c r="W317" t="s">
        <v>36</v>
      </c>
      <c r="X317">
        <v>0</v>
      </c>
      <c r="Y317" t="s">
        <v>48</v>
      </c>
      <c r="Z317">
        <v>2</v>
      </c>
      <c r="AA317" t="s">
        <v>136</v>
      </c>
      <c r="AB317">
        <v>2.9</v>
      </c>
      <c r="AC317" t="s">
        <v>930</v>
      </c>
      <c r="AD317">
        <v>2</v>
      </c>
      <c r="AE317" s="2">
        <v>45658</v>
      </c>
      <c r="AF317">
        <v>0</v>
      </c>
      <c r="AG317">
        <v>2</v>
      </c>
    </row>
    <row r="318" spans="1:33">
      <c r="A318">
        <v>10163</v>
      </c>
      <c r="B318" t="s">
        <v>1022</v>
      </c>
      <c r="C318" t="s">
        <v>42</v>
      </c>
      <c r="D318" t="s">
        <v>42</v>
      </c>
      <c r="E318" t="s">
        <v>934</v>
      </c>
      <c r="F318" t="s">
        <v>37</v>
      </c>
      <c r="G318" t="s">
        <v>50</v>
      </c>
      <c r="H318" t="s">
        <v>66</v>
      </c>
      <c r="I318">
        <v>55965</v>
      </c>
      <c r="J318" s="3">
        <v>671580</v>
      </c>
      <c r="K318" s="2">
        <v>30628</v>
      </c>
      <c r="L318" t="s">
        <v>51</v>
      </c>
      <c r="M318" t="s">
        <v>29</v>
      </c>
      <c r="N318">
        <v>2170</v>
      </c>
      <c r="O318" t="s">
        <v>33</v>
      </c>
      <c r="P318" t="s">
        <v>32</v>
      </c>
      <c r="Q318" t="s">
        <v>34</v>
      </c>
      <c r="R318" s="2">
        <v>40637</v>
      </c>
      <c r="S318" s="1" t="s">
        <v>154</v>
      </c>
      <c r="T318">
        <v>1</v>
      </c>
      <c r="U318" t="s">
        <v>44</v>
      </c>
      <c r="V318">
        <v>5</v>
      </c>
      <c r="W318" t="s">
        <v>45</v>
      </c>
      <c r="X318">
        <v>0</v>
      </c>
      <c r="Y318" t="s">
        <v>60</v>
      </c>
      <c r="Z318">
        <v>3</v>
      </c>
      <c r="AA318" t="s">
        <v>49</v>
      </c>
      <c r="AB318">
        <v>3.66</v>
      </c>
      <c r="AC318" t="s">
        <v>932</v>
      </c>
      <c r="AD318">
        <v>0</v>
      </c>
      <c r="AE318" s="2">
        <v>40915</v>
      </c>
      <c r="AF318">
        <v>0</v>
      </c>
      <c r="AG318">
        <v>6</v>
      </c>
    </row>
    <row r="319" spans="1:33">
      <c r="A319">
        <v>10163</v>
      </c>
      <c r="B319" t="s">
        <v>1385</v>
      </c>
      <c r="C319" t="s">
        <v>42</v>
      </c>
      <c r="D319" t="s">
        <v>56</v>
      </c>
      <c r="E319" t="s">
        <v>929</v>
      </c>
      <c r="F319" t="s">
        <v>283</v>
      </c>
      <c r="G319" t="s">
        <v>269</v>
      </c>
      <c r="H319" t="s">
        <v>490</v>
      </c>
      <c r="I319">
        <v>30246</v>
      </c>
      <c r="J319" s="3">
        <v>362952</v>
      </c>
      <c r="K319" s="2">
        <v>27094</v>
      </c>
      <c r="L319" t="s">
        <v>51</v>
      </c>
      <c r="M319" t="s">
        <v>210</v>
      </c>
      <c r="N319">
        <v>83414</v>
      </c>
      <c r="O319" t="s">
        <v>33</v>
      </c>
      <c r="P319" t="s">
        <v>32</v>
      </c>
      <c r="Q319" t="s">
        <v>160</v>
      </c>
      <c r="R319" s="2">
        <v>42351</v>
      </c>
      <c r="S319" s="1" t="s">
        <v>35</v>
      </c>
      <c r="T319">
        <v>0</v>
      </c>
      <c r="U319" t="s">
        <v>36</v>
      </c>
      <c r="V319">
        <v>3</v>
      </c>
      <c r="W319" t="s">
        <v>45</v>
      </c>
      <c r="X319">
        <v>0</v>
      </c>
      <c r="Y319" t="s">
        <v>280</v>
      </c>
      <c r="Z319">
        <v>3</v>
      </c>
      <c r="AA319" t="s">
        <v>136</v>
      </c>
      <c r="AB319">
        <v>4.7</v>
      </c>
      <c r="AC319" t="s">
        <v>962</v>
      </c>
      <c r="AD319">
        <v>5</v>
      </c>
      <c r="AE319" s="2">
        <v>45394</v>
      </c>
      <c r="AF319">
        <v>3</v>
      </c>
      <c r="AG319">
        <v>0</v>
      </c>
    </row>
    <row r="320" spans="1:33">
      <c r="A320">
        <v>10164</v>
      </c>
      <c r="B320" t="s">
        <v>1141</v>
      </c>
      <c r="C320" t="s">
        <v>31</v>
      </c>
      <c r="D320" t="s">
        <v>31</v>
      </c>
      <c r="E320" t="s">
        <v>929</v>
      </c>
      <c r="F320" t="s">
        <v>37</v>
      </c>
      <c r="G320" t="s">
        <v>28</v>
      </c>
      <c r="H320" t="s">
        <v>76</v>
      </c>
      <c r="I320">
        <v>47001</v>
      </c>
      <c r="J320" s="3">
        <v>564012</v>
      </c>
      <c r="K320" s="2">
        <v>29913</v>
      </c>
      <c r="L320" t="s">
        <v>30</v>
      </c>
      <c r="M320" t="s">
        <v>29</v>
      </c>
      <c r="N320">
        <v>2451</v>
      </c>
      <c r="O320" t="s">
        <v>33</v>
      </c>
      <c r="P320" t="s">
        <v>32</v>
      </c>
      <c r="Q320" t="s">
        <v>34</v>
      </c>
      <c r="R320" s="2">
        <v>39391</v>
      </c>
      <c r="S320" s="1" t="s">
        <v>35</v>
      </c>
      <c r="T320">
        <v>0</v>
      </c>
      <c r="U320" t="s">
        <v>36</v>
      </c>
      <c r="V320">
        <v>1</v>
      </c>
      <c r="W320" t="s">
        <v>36</v>
      </c>
      <c r="X320">
        <v>0</v>
      </c>
      <c r="Y320" t="s">
        <v>60</v>
      </c>
      <c r="Z320">
        <v>3</v>
      </c>
      <c r="AA320" t="s">
        <v>49</v>
      </c>
      <c r="AB320">
        <v>3.66</v>
      </c>
      <c r="AC320" t="s">
        <v>932</v>
      </c>
      <c r="AD320">
        <v>0</v>
      </c>
      <c r="AE320" s="2">
        <v>43521</v>
      </c>
      <c r="AF320">
        <v>0</v>
      </c>
      <c r="AG320">
        <v>15</v>
      </c>
    </row>
    <row r="321" spans="1:33">
      <c r="A321">
        <v>10164</v>
      </c>
      <c r="B321" t="s">
        <v>1386</v>
      </c>
      <c r="C321" t="s">
        <v>31</v>
      </c>
      <c r="D321" t="s">
        <v>31</v>
      </c>
      <c r="E321" t="s">
        <v>929</v>
      </c>
      <c r="F321" t="s">
        <v>271</v>
      </c>
      <c r="G321" t="s">
        <v>277</v>
      </c>
      <c r="H321" t="s">
        <v>437</v>
      </c>
      <c r="I321">
        <v>101344</v>
      </c>
      <c r="J321" s="3">
        <v>1216128</v>
      </c>
      <c r="K321" s="2">
        <v>32915</v>
      </c>
      <c r="L321" t="s">
        <v>51</v>
      </c>
      <c r="M321" t="s">
        <v>80</v>
      </c>
      <c r="N321">
        <v>67450</v>
      </c>
      <c r="O321" t="s">
        <v>73</v>
      </c>
      <c r="P321" t="s">
        <v>124</v>
      </c>
      <c r="Q321" t="s">
        <v>204</v>
      </c>
      <c r="R321" s="2">
        <v>43398</v>
      </c>
      <c r="S321" s="1" t="s">
        <v>35</v>
      </c>
      <c r="T321">
        <v>0</v>
      </c>
      <c r="U321" t="s">
        <v>36</v>
      </c>
      <c r="V321">
        <v>3</v>
      </c>
      <c r="W321" t="s">
        <v>87</v>
      </c>
      <c r="X321">
        <v>1</v>
      </c>
      <c r="Y321" t="s">
        <v>48</v>
      </c>
      <c r="Z321">
        <v>2</v>
      </c>
      <c r="AA321" t="s">
        <v>276</v>
      </c>
      <c r="AB321">
        <v>4</v>
      </c>
      <c r="AC321" t="s">
        <v>962</v>
      </c>
      <c r="AD321">
        <v>2</v>
      </c>
      <c r="AE321" s="2">
        <v>45679</v>
      </c>
      <c r="AF321">
        <v>2</v>
      </c>
      <c r="AG321">
        <v>6</v>
      </c>
    </row>
    <row r="322" spans="1:33">
      <c r="A322">
        <v>10165</v>
      </c>
      <c r="B322" t="s">
        <v>1079</v>
      </c>
      <c r="C322" t="s">
        <v>31</v>
      </c>
      <c r="D322" t="s">
        <v>31</v>
      </c>
      <c r="E322" t="s">
        <v>929</v>
      </c>
      <c r="F322" t="s">
        <v>113</v>
      </c>
      <c r="G322" t="s">
        <v>110</v>
      </c>
      <c r="H322" t="s">
        <v>114</v>
      </c>
      <c r="I322">
        <v>71339</v>
      </c>
      <c r="J322" s="3">
        <v>856068</v>
      </c>
      <c r="K322" s="2">
        <v>25258</v>
      </c>
      <c r="L322" t="s">
        <v>30</v>
      </c>
      <c r="M322" t="s">
        <v>191</v>
      </c>
      <c r="N322">
        <v>10171</v>
      </c>
      <c r="O322" t="s">
        <v>73</v>
      </c>
      <c r="P322" t="s">
        <v>32</v>
      </c>
      <c r="Q322" t="s">
        <v>68</v>
      </c>
      <c r="R322" s="2">
        <v>40609</v>
      </c>
      <c r="S322" s="1" t="s">
        <v>35</v>
      </c>
      <c r="T322">
        <v>0</v>
      </c>
      <c r="U322" t="s">
        <v>36</v>
      </c>
      <c r="V322">
        <v>1</v>
      </c>
      <c r="W322" t="s">
        <v>36</v>
      </c>
      <c r="X322">
        <v>1</v>
      </c>
      <c r="Y322" t="s">
        <v>70</v>
      </c>
      <c r="Z322">
        <v>3</v>
      </c>
      <c r="AA322" t="s">
        <v>49</v>
      </c>
      <c r="AB322">
        <v>3.65</v>
      </c>
      <c r="AC322" t="s">
        <v>930</v>
      </c>
      <c r="AD322">
        <v>0</v>
      </c>
      <c r="AE322" s="2">
        <v>43482</v>
      </c>
      <c r="AF322">
        <v>0</v>
      </c>
      <c r="AG322">
        <v>20</v>
      </c>
    </row>
    <row r="323" spans="1:33">
      <c r="A323">
        <v>10165</v>
      </c>
      <c r="B323" t="s">
        <v>1387</v>
      </c>
      <c r="C323" t="s">
        <v>42</v>
      </c>
      <c r="D323" t="s">
        <v>56</v>
      </c>
      <c r="E323" t="s">
        <v>929</v>
      </c>
      <c r="F323" t="s">
        <v>288</v>
      </c>
      <c r="G323" t="s">
        <v>62</v>
      </c>
      <c r="H323" t="s">
        <v>492</v>
      </c>
      <c r="I323">
        <v>63358</v>
      </c>
      <c r="J323" s="3">
        <v>760296</v>
      </c>
      <c r="K323" s="2">
        <v>36021</v>
      </c>
      <c r="L323" t="s">
        <v>264</v>
      </c>
      <c r="M323" t="s">
        <v>144</v>
      </c>
      <c r="N323">
        <v>41020</v>
      </c>
      <c r="O323" t="s">
        <v>33</v>
      </c>
      <c r="P323" t="s">
        <v>124</v>
      </c>
      <c r="Q323" t="s">
        <v>160</v>
      </c>
      <c r="R323" s="2">
        <v>45511</v>
      </c>
      <c r="S323" s="1" t="s">
        <v>491</v>
      </c>
      <c r="T323">
        <v>1</v>
      </c>
      <c r="U323" t="s">
        <v>36</v>
      </c>
      <c r="V323">
        <v>3</v>
      </c>
      <c r="W323" t="s">
        <v>36</v>
      </c>
      <c r="X323">
        <v>1</v>
      </c>
      <c r="Y323" t="s">
        <v>280</v>
      </c>
      <c r="Z323">
        <v>4</v>
      </c>
      <c r="AA323" t="s">
        <v>276</v>
      </c>
      <c r="AB323">
        <v>4.5999999999999996</v>
      </c>
      <c r="AC323" t="s">
        <v>1003</v>
      </c>
      <c r="AD323">
        <v>3</v>
      </c>
      <c r="AE323" s="2">
        <v>45690</v>
      </c>
      <c r="AF323">
        <v>2</v>
      </c>
      <c r="AG323">
        <v>5</v>
      </c>
    </row>
    <row r="324" spans="1:33">
      <c r="A324">
        <v>10166</v>
      </c>
      <c r="B324" t="s">
        <v>1075</v>
      </c>
      <c r="C324" t="s">
        <v>42</v>
      </c>
      <c r="D324" t="s">
        <v>42</v>
      </c>
      <c r="E324" t="s">
        <v>934</v>
      </c>
      <c r="F324" t="s">
        <v>37</v>
      </c>
      <c r="G324" t="s">
        <v>28</v>
      </c>
      <c r="H324" t="s">
        <v>59</v>
      </c>
      <c r="I324">
        <v>54005</v>
      </c>
      <c r="J324" s="3">
        <v>648060</v>
      </c>
      <c r="K324" s="2">
        <v>27006</v>
      </c>
      <c r="L324" t="s">
        <v>51</v>
      </c>
      <c r="M324" t="s">
        <v>29</v>
      </c>
      <c r="N324">
        <v>2170</v>
      </c>
      <c r="O324" t="s">
        <v>33</v>
      </c>
      <c r="P324" t="s">
        <v>32</v>
      </c>
      <c r="Q324" t="s">
        <v>34</v>
      </c>
      <c r="R324" s="2">
        <v>40812</v>
      </c>
      <c r="S324" s="1" t="s">
        <v>189</v>
      </c>
      <c r="T324">
        <v>1</v>
      </c>
      <c r="U324" t="s">
        <v>138</v>
      </c>
      <c r="V324">
        <v>5</v>
      </c>
      <c r="W324" t="s">
        <v>45</v>
      </c>
      <c r="X324">
        <v>0</v>
      </c>
      <c r="Y324" t="s">
        <v>60</v>
      </c>
      <c r="Z324">
        <v>3</v>
      </c>
      <c r="AA324" t="s">
        <v>49</v>
      </c>
      <c r="AB324">
        <v>3.6</v>
      </c>
      <c r="AC324" t="s">
        <v>930</v>
      </c>
      <c r="AD324">
        <v>0</v>
      </c>
      <c r="AE324" s="2">
        <v>42064</v>
      </c>
      <c r="AF324">
        <v>0</v>
      </c>
      <c r="AG324">
        <v>16</v>
      </c>
    </row>
    <row r="325" spans="1:33">
      <c r="A325">
        <v>10166</v>
      </c>
      <c r="B325" t="s">
        <v>1388</v>
      </c>
      <c r="C325" t="s">
        <v>42</v>
      </c>
      <c r="D325" t="s">
        <v>31</v>
      </c>
      <c r="E325" t="s">
        <v>934</v>
      </c>
      <c r="F325" t="s">
        <v>278</v>
      </c>
      <c r="G325" t="s">
        <v>277</v>
      </c>
      <c r="H325" t="s">
        <v>493</v>
      </c>
      <c r="I325">
        <v>30008</v>
      </c>
      <c r="J325" s="3">
        <v>360096</v>
      </c>
      <c r="K325" s="2">
        <v>36110</v>
      </c>
      <c r="L325" t="s">
        <v>51</v>
      </c>
      <c r="M325" t="s">
        <v>29</v>
      </c>
      <c r="N325">
        <v>31989</v>
      </c>
      <c r="O325" t="s">
        <v>73</v>
      </c>
      <c r="P325" t="s">
        <v>124</v>
      </c>
      <c r="Q325" t="s">
        <v>92</v>
      </c>
      <c r="R325" s="2">
        <v>45604</v>
      </c>
      <c r="S325" s="1" t="s">
        <v>35</v>
      </c>
      <c r="T325">
        <v>0</v>
      </c>
      <c r="U325" t="s">
        <v>36</v>
      </c>
      <c r="V325">
        <v>3</v>
      </c>
      <c r="W325" t="s">
        <v>36</v>
      </c>
      <c r="X325">
        <v>0</v>
      </c>
      <c r="Y325" t="s">
        <v>280</v>
      </c>
      <c r="Z325">
        <v>4</v>
      </c>
      <c r="AA325" t="s">
        <v>136</v>
      </c>
      <c r="AB325">
        <v>3.9</v>
      </c>
      <c r="AC325" t="s">
        <v>962</v>
      </c>
      <c r="AD325">
        <v>2</v>
      </c>
      <c r="AE325" s="2">
        <v>45674</v>
      </c>
      <c r="AF325">
        <v>2</v>
      </c>
      <c r="AG325">
        <v>5</v>
      </c>
    </row>
    <row r="326" spans="1:33">
      <c r="A326">
        <v>10167</v>
      </c>
      <c r="B326" t="s">
        <v>1055</v>
      </c>
      <c r="C326" t="s">
        <v>42</v>
      </c>
      <c r="D326" t="s">
        <v>42</v>
      </c>
      <c r="E326" t="s">
        <v>929</v>
      </c>
      <c r="F326" t="s">
        <v>113</v>
      </c>
      <c r="G326" t="s">
        <v>110</v>
      </c>
      <c r="H326" t="s">
        <v>114</v>
      </c>
      <c r="I326">
        <v>70545</v>
      </c>
      <c r="J326" s="3">
        <v>846540</v>
      </c>
      <c r="K326" s="2">
        <v>32400</v>
      </c>
      <c r="L326" t="s">
        <v>30</v>
      </c>
      <c r="M326" t="s">
        <v>174</v>
      </c>
      <c r="N326">
        <v>3062</v>
      </c>
      <c r="O326" t="s">
        <v>33</v>
      </c>
      <c r="P326" t="s">
        <v>32</v>
      </c>
      <c r="Q326" t="s">
        <v>168</v>
      </c>
      <c r="R326" s="2">
        <v>41869</v>
      </c>
      <c r="S326" s="1" t="s">
        <v>35</v>
      </c>
      <c r="T326">
        <v>0</v>
      </c>
      <c r="U326" t="s">
        <v>36</v>
      </c>
      <c r="V326">
        <v>1</v>
      </c>
      <c r="W326" t="s">
        <v>36</v>
      </c>
      <c r="X326">
        <v>0</v>
      </c>
      <c r="Y326" t="s">
        <v>48</v>
      </c>
      <c r="Z326">
        <v>3</v>
      </c>
      <c r="AA326" t="s">
        <v>49</v>
      </c>
      <c r="AB326">
        <v>3.6</v>
      </c>
      <c r="AC326" t="s">
        <v>930</v>
      </c>
      <c r="AD326">
        <v>0</v>
      </c>
      <c r="AE326" s="2">
        <v>43495</v>
      </c>
      <c r="AF326">
        <v>0</v>
      </c>
      <c r="AG326">
        <v>9</v>
      </c>
    </row>
    <row r="327" spans="1:33">
      <c r="A327">
        <v>10167</v>
      </c>
      <c r="B327" t="s">
        <v>1389</v>
      </c>
      <c r="C327" t="s">
        <v>42</v>
      </c>
      <c r="D327" t="s">
        <v>42</v>
      </c>
      <c r="E327" t="s">
        <v>929</v>
      </c>
      <c r="F327" t="s">
        <v>271</v>
      </c>
      <c r="G327" t="s">
        <v>28</v>
      </c>
      <c r="H327" t="s">
        <v>495</v>
      </c>
      <c r="I327">
        <v>62904</v>
      </c>
      <c r="J327" s="3">
        <v>754848</v>
      </c>
      <c r="K327" s="2">
        <v>34030</v>
      </c>
      <c r="L327" t="s">
        <v>264</v>
      </c>
      <c r="M327" t="s">
        <v>80</v>
      </c>
      <c r="N327">
        <v>9573</v>
      </c>
      <c r="O327" t="s">
        <v>33</v>
      </c>
      <c r="P327" t="s">
        <v>32</v>
      </c>
      <c r="Q327" t="s">
        <v>270</v>
      </c>
      <c r="R327" s="2">
        <v>44895</v>
      </c>
      <c r="S327" s="1" t="s">
        <v>494</v>
      </c>
      <c r="T327">
        <v>0</v>
      </c>
      <c r="U327" t="s">
        <v>36</v>
      </c>
      <c r="V327">
        <v>2</v>
      </c>
      <c r="W327" t="s">
        <v>36</v>
      </c>
      <c r="X327">
        <v>1</v>
      </c>
      <c r="Y327" t="s">
        <v>142</v>
      </c>
      <c r="Z327">
        <v>1</v>
      </c>
      <c r="AA327" t="s">
        <v>276</v>
      </c>
      <c r="AB327">
        <v>2.5</v>
      </c>
      <c r="AC327" t="s">
        <v>962</v>
      </c>
      <c r="AD327">
        <v>1</v>
      </c>
      <c r="AE327" s="2">
        <v>45783</v>
      </c>
      <c r="AF327">
        <v>3</v>
      </c>
      <c r="AG327">
        <v>3</v>
      </c>
    </row>
    <row r="328" spans="1:33">
      <c r="A328">
        <v>10168</v>
      </c>
      <c r="B328" t="s">
        <v>978</v>
      </c>
      <c r="C328" t="s">
        <v>31</v>
      </c>
      <c r="D328" t="s">
        <v>31</v>
      </c>
      <c r="E328" t="s">
        <v>934</v>
      </c>
      <c r="F328" t="s">
        <v>37</v>
      </c>
      <c r="G328" t="s">
        <v>28</v>
      </c>
      <c r="H328" t="s">
        <v>66</v>
      </c>
      <c r="I328">
        <v>64816</v>
      </c>
      <c r="J328" s="3">
        <v>777792</v>
      </c>
      <c r="K328" s="2">
        <v>32294</v>
      </c>
      <c r="L328" t="s">
        <v>51</v>
      </c>
      <c r="M328" t="s">
        <v>29</v>
      </c>
      <c r="N328">
        <v>2044</v>
      </c>
      <c r="O328" t="s">
        <v>33</v>
      </c>
      <c r="P328" t="s">
        <v>124</v>
      </c>
      <c r="Q328" t="s">
        <v>68</v>
      </c>
      <c r="R328" s="2">
        <v>40819</v>
      </c>
      <c r="S328" s="1" t="s">
        <v>35</v>
      </c>
      <c r="T328">
        <v>0</v>
      </c>
      <c r="U328" t="s">
        <v>36</v>
      </c>
      <c r="V328">
        <v>1</v>
      </c>
      <c r="W328" t="s">
        <v>36</v>
      </c>
      <c r="X328">
        <v>0</v>
      </c>
      <c r="Y328" t="s">
        <v>48</v>
      </c>
      <c r="Z328">
        <v>3</v>
      </c>
      <c r="AA328" t="s">
        <v>49</v>
      </c>
      <c r="AB328">
        <v>3.58</v>
      </c>
      <c r="AC328" t="s">
        <v>930</v>
      </c>
      <c r="AD328">
        <v>0</v>
      </c>
      <c r="AE328" s="2">
        <v>43495</v>
      </c>
      <c r="AF328">
        <v>0</v>
      </c>
      <c r="AG328">
        <v>3</v>
      </c>
    </row>
    <row r="329" spans="1:33">
      <c r="A329">
        <v>10168</v>
      </c>
      <c r="B329" t="s">
        <v>1390</v>
      </c>
      <c r="C329" t="s">
        <v>31</v>
      </c>
      <c r="D329" t="s">
        <v>56</v>
      </c>
      <c r="E329" t="s">
        <v>934</v>
      </c>
      <c r="F329" t="s">
        <v>271</v>
      </c>
      <c r="G329" t="s">
        <v>269</v>
      </c>
      <c r="H329" t="s">
        <v>497</v>
      </c>
      <c r="I329">
        <v>79629</v>
      </c>
      <c r="J329" s="3">
        <v>955548</v>
      </c>
      <c r="K329" s="2">
        <v>26473</v>
      </c>
      <c r="L329" t="s">
        <v>51</v>
      </c>
      <c r="M329" t="s">
        <v>191</v>
      </c>
      <c r="N329">
        <v>21402</v>
      </c>
      <c r="O329" t="s">
        <v>33</v>
      </c>
      <c r="P329" t="s">
        <v>124</v>
      </c>
      <c r="Q329" t="s">
        <v>92</v>
      </c>
      <c r="R329" s="2">
        <v>42564</v>
      </c>
      <c r="S329" s="1" t="s">
        <v>496</v>
      </c>
      <c r="T329">
        <v>0</v>
      </c>
      <c r="U329" t="s">
        <v>36</v>
      </c>
      <c r="V329">
        <v>2</v>
      </c>
      <c r="W329" t="s">
        <v>45</v>
      </c>
      <c r="X329">
        <v>1</v>
      </c>
      <c r="Y329" t="s">
        <v>48</v>
      </c>
      <c r="Z329">
        <v>4</v>
      </c>
      <c r="AA329" t="s">
        <v>276</v>
      </c>
      <c r="AB329">
        <v>3.8</v>
      </c>
      <c r="AC329" t="s">
        <v>937</v>
      </c>
      <c r="AD329">
        <v>0</v>
      </c>
      <c r="AE329" s="2">
        <v>45924</v>
      </c>
      <c r="AF329">
        <v>0</v>
      </c>
      <c r="AG329">
        <v>6</v>
      </c>
    </row>
    <row r="330" spans="1:33">
      <c r="A330">
        <v>10169</v>
      </c>
      <c r="B330" t="s">
        <v>1167</v>
      </c>
      <c r="C330" t="s">
        <v>42</v>
      </c>
      <c r="D330" t="s">
        <v>42</v>
      </c>
      <c r="E330" t="s">
        <v>934</v>
      </c>
      <c r="F330" t="s">
        <v>37</v>
      </c>
      <c r="G330" t="s">
        <v>28</v>
      </c>
      <c r="H330" t="s">
        <v>55</v>
      </c>
      <c r="I330">
        <v>56147</v>
      </c>
      <c r="J330" s="3">
        <v>673764</v>
      </c>
      <c r="K330" s="2">
        <v>32334</v>
      </c>
      <c r="L330" t="s">
        <v>51</v>
      </c>
      <c r="M330" t="s">
        <v>29</v>
      </c>
      <c r="N330">
        <v>2154</v>
      </c>
      <c r="O330" t="s">
        <v>33</v>
      </c>
      <c r="P330" t="s">
        <v>32</v>
      </c>
      <c r="Q330" t="s">
        <v>68</v>
      </c>
      <c r="R330" s="2">
        <v>41911</v>
      </c>
      <c r="S330" s="1" t="s">
        <v>35</v>
      </c>
      <c r="T330">
        <v>0</v>
      </c>
      <c r="U330" t="s">
        <v>36</v>
      </c>
      <c r="V330">
        <v>1</v>
      </c>
      <c r="W330" t="s">
        <v>36</v>
      </c>
      <c r="X330">
        <v>0</v>
      </c>
      <c r="Y330" t="s">
        <v>39</v>
      </c>
      <c r="Z330">
        <v>3</v>
      </c>
      <c r="AA330" t="s">
        <v>49</v>
      </c>
      <c r="AB330">
        <v>3.51</v>
      </c>
      <c r="AC330" t="s">
        <v>932</v>
      </c>
      <c r="AD330">
        <v>0</v>
      </c>
      <c r="AE330" s="2">
        <v>43514</v>
      </c>
      <c r="AF330">
        <v>0</v>
      </c>
      <c r="AG330">
        <v>2</v>
      </c>
    </row>
    <row r="331" spans="1:33">
      <c r="A331">
        <v>10169</v>
      </c>
      <c r="B331" t="s">
        <v>1391</v>
      </c>
      <c r="C331" t="s">
        <v>31</v>
      </c>
      <c r="D331" t="s">
        <v>56</v>
      </c>
      <c r="E331" t="s">
        <v>929</v>
      </c>
      <c r="F331" t="s">
        <v>283</v>
      </c>
      <c r="G331" t="s">
        <v>294</v>
      </c>
      <c r="H331" t="s">
        <v>498</v>
      </c>
      <c r="I331">
        <v>111746</v>
      </c>
      <c r="J331" s="3">
        <v>1340952</v>
      </c>
      <c r="K331" s="2">
        <v>24748</v>
      </c>
      <c r="L331" t="s">
        <v>264</v>
      </c>
      <c r="M331" t="s">
        <v>29</v>
      </c>
      <c r="N331">
        <v>50846</v>
      </c>
      <c r="O331" t="s">
        <v>33</v>
      </c>
      <c r="P331" t="s">
        <v>32</v>
      </c>
      <c r="Q331" t="s">
        <v>204</v>
      </c>
      <c r="R331" s="2">
        <v>43165</v>
      </c>
      <c r="S331" s="1" t="s">
        <v>35</v>
      </c>
      <c r="T331">
        <v>0</v>
      </c>
      <c r="U331" t="s">
        <v>36</v>
      </c>
      <c r="V331">
        <v>2</v>
      </c>
      <c r="W331" t="s">
        <v>45</v>
      </c>
      <c r="X331">
        <v>0</v>
      </c>
      <c r="Y331" t="s">
        <v>268</v>
      </c>
      <c r="Z331">
        <v>4</v>
      </c>
      <c r="AA331" t="s">
        <v>276</v>
      </c>
      <c r="AB331">
        <v>4</v>
      </c>
      <c r="AC331" t="s">
        <v>962</v>
      </c>
      <c r="AD331">
        <v>3</v>
      </c>
      <c r="AE331" s="2">
        <v>45905</v>
      </c>
      <c r="AF331">
        <v>5</v>
      </c>
      <c r="AG331">
        <v>3</v>
      </c>
    </row>
    <row r="332" spans="1:33">
      <c r="A332">
        <v>10170</v>
      </c>
      <c r="B332" t="s">
        <v>1076</v>
      </c>
      <c r="C332" t="s">
        <v>42</v>
      </c>
      <c r="D332" t="s">
        <v>42</v>
      </c>
      <c r="E332" t="s">
        <v>934</v>
      </c>
      <c r="F332" t="s">
        <v>37</v>
      </c>
      <c r="G332" t="s">
        <v>28</v>
      </c>
      <c r="H332" t="s">
        <v>61</v>
      </c>
      <c r="I332">
        <v>45433</v>
      </c>
      <c r="J332" s="3">
        <v>545196</v>
      </c>
      <c r="K332" s="2">
        <v>25849</v>
      </c>
      <c r="L332" t="s">
        <v>51</v>
      </c>
      <c r="M332" t="s">
        <v>29</v>
      </c>
      <c r="N332">
        <v>2127</v>
      </c>
      <c r="O332" t="s">
        <v>33</v>
      </c>
      <c r="P332" t="s">
        <v>32</v>
      </c>
      <c r="Q332" t="s">
        <v>34</v>
      </c>
      <c r="R332" s="2">
        <v>40812</v>
      </c>
      <c r="S332" s="1" t="s">
        <v>190</v>
      </c>
      <c r="T332">
        <v>1</v>
      </c>
      <c r="U332" t="s">
        <v>138</v>
      </c>
      <c r="V332">
        <v>5</v>
      </c>
      <c r="W332" t="s">
        <v>45</v>
      </c>
      <c r="X332">
        <v>0</v>
      </c>
      <c r="Y332" t="s">
        <v>60</v>
      </c>
      <c r="Z332">
        <v>3</v>
      </c>
      <c r="AA332" t="s">
        <v>49</v>
      </c>
      <c r="AB332">
        <v>3.49</v>
      </c>
      <c r="AC332" t="s">
        <v>937</v>
      </c>
      <c r="AD332">
        <v>0</v>
      </c>
      <c r="AE332" s="2">
        <v>41304</v>
      </c>
      <c r="AF332">
        <v>0</v>
      </c>
      <c r="AG332">
        <v>6</v>
      </c>
    </row>
    <row r="333" spans="1:33">
      <c r="A333">
        <v>10170</v>
      </c>
      <c r="B333" t="s">
        <v>1392</v>
      </c>
      <c r="C333" t="s">
        <v>42</v>
      </c>
      <c r="D333" t="s">
        <v>31</v>
      </c>
      <c r="E333" t="s">
        <v>934</v>
      </c>
      <c r="F333" t="s">
        <v>113</v>
      </c>
      <c r="G333" t="s">
        <v>277</v>
      </c>
      <c r="H333" t="s">
        <v>499</v>
      </c>
      <c r="I333">
        <v>99569</v>
      </c>
      <c r="J333" s="3">
        <v>1194828</v>
      </c>
      <c r="K333" s="2">
        <v>31603</v>
      </c>
      <c r="L333" t="s">
        <v>51</v>
      </c>
      <c r="M333" t="s">
        <v>29</v>
      </c>
      <c r="N333">
        <v>49151</v>
      </c>
      <c r="O333" t="s">
        <v>73</v>
      </c>
      <c r="P333" t="s">
        <v>124</v>
      </c>
      <c r="Q333" t="s">
        <v>270</v>
      </c>
      <c r="R333" s="2">
        <v>45800</v>
      </c>
      <c r="S333" s="1" t="s">
        <v>35</v>
      </c>
      <c r="T333">
        <v>0</v>
      </c>
      <c r="U333" t="s">
        <v>36</v>
      </c>
      <c r="V333">
        <v>3</v>
      </c>
      <c r="W333" t="s">
        <v>87</v>
      </c>
      <c r="X333">
        <v>1</v>
      </c>
      <c r="Y333" t="s">
        <v>280</v>
      </c>
      <c r="Z333">
        <v>2</v>
      </c>
      <c r="AA333" t="s">
        <v>136</v>
      </c>
      <c r="AB333">
        <v>3.4</v>
      </c>
      <c r="AC333" t="s">
        <v>962</v>
      </c>
      <c r="AD333">
        <v>4</v>
      </c>
      <c r="AE333" s="2">
        <v>45773</v>
      </c>
      <c r="AF333">
        <v>0</v>
      </c>
      <c r="AG333">
        <v>3</v>
      </c>
    </row>
    <row r="334" spans="1:33">
      <c r="A334">
        <v>10171</v>
      </c>
      <c r="B334" t="s">
        <v>1135</v>
      </c>
      <c r="C334" t="s">
        <v>31</v>
      </c>
      <c r="D334" t="s">
        <v>31</v>
      </c>
      <c r="E334" t="s">
        <v>934</v>
      </c>
      <c r="F334" t="s">
        <v>37</v>
      </c>
      <c r="G334" t="s">
        <v>28</v>
      </c>
      <c r="H334" t="s">
        <v>61</v>
      </c>
      <c r="I334">
        <v>45998</v>
      </c>
      <c r="J334" s="3">
        <v>551976</v>
      </c>
      <c r="K334" s="2">
        <v>31613</v>
      </c>
      <c r="L334" t="s">
        <v>51</v>
      </c>
      <c r="M334" t="s">
        <v>29</v>
      </c>
      <c r="N334">
        <v>2176</v>
      </c>
      <c r="O334" t="s">
        <v>33</v>
      </c>
      <c r="P334" t="s">
        <v>32</v>
      </c>
      <c r="Q334" t="s">
        <v>34</v>
      </c>
      <c r="R334" s="2">
        <v>40679</v>
      </c>
      <c r="S334" s="1" t="s">
        <v>217</v>
      </c>
      <c r="T334">
        <v>1</v>
      </c>
      <c r="U334" t="s">
        <v>218</v>
      </c>
      <c r="V334">
        <v>5</v>
      </c>
      <c r="W334" t="s">
        <v>45</v>
      </c>
      <c r="X334">
        <v>0</v>
      </c>
      <c r="Y334" t="s">
        <v>39</v>
      </c>
      <c r="Z334">
        <v>3</v>
      </c>
      <c r="AA334" t="s">
        <v>49</v>
      </c>
      <c r="AB334">
        <v>3.45</v>
      </c>
      <c r="AC334" t="s">
        <v>937</v>
      </c>
      <c r="AD334">
        <v>0</v>
      </c>
      <c r="AE334" s="2">
        <v>41772</v>
      </c>
      <c r="AF334">
        <v>0</v>
      </c>
      <c r="AG334">
        <v>5</v>
      </c>
    </row>
    <row r="335" spans="1:33">
      <c r="A335">
        <v>10171</v>
      </c>
      <c r="B335" t="s">
        <v>1393</v>
      </c>
      <c r="C335" t="s">
        <v>31</v>
      </c>
      <c r="D335" t="s">
        <v>31</v>
      </c>
      <c r="E335" t="s">
        <v>929</v>
      </c>
      <c r="F335" t="s">
        <v>271</v>
      </c>
      <c r="G335" t="s">
        <v>62</v>
      </c>
      <c r="H335" t="s">
        <v>500</v>
      </c>
      <c r="I335">
        <v>43124</v>
      </c>
      <c r="J335" s="3">
        <v>517488</v>
      </c>
      <c r="K335" s="2">
        <v>26807</v>
      </c>
      <c r="L335" t="s">
        <v>51</v>
      </c>
      <c r="M335" t="s">
        <v>29</v>
      </c>
      <c r="N335">
        <v>64058</v>
      </c>
      <c r="O335" t="s">
        <v>73</v>
      </c>
      <c r="P335" t="s">
        <v>124</v>
      </c>
      <c r="Q335" t="s">
        <v>34</v>
      </c>
      <c r="R335" s="2">
        <v>45744</v>
      </c>
      <c r="S335" s="1" t="s">
        <v>35</v>
      </c>
      <c r="T335">
        <v>0</v>
      </c>
      <c r="U335" t="s">
        <v>36</v>
      </c>
      <c r="V335">
        <v>3</v>
      </c>
      <c r="W335" t="s">
        <v>36</v>
      </c>
      <c r="X335">
        <v>0</v>
      </c>
      <c r="Y335" t="s">
        <v>280</v>
      </c>
      <c r="Z335">
        <v>1</v>
      </c>
      <c r="AA335" t="s">
        <v>136</v>
      </c>
      <c r="AB335">
        <v>2.9</v>
      </c>
      <c r="AC335" t="s">
        <v>962</v>
      </c>
      <c r="AD335">
        <v>1</v>
      </c>
      <c r="AE335" s="2">
        <v>45692</v>
      </c>
      <c r="AF335">
        <v>0</v>
      </c>
      <c r="AG335">
        <v>1</v>
      </c>
    </row>
    <row r="336" spans="1:33">
      <c r="A336">
        <v>10172</v>
      </c>
      <c r="B336" t="s">
        <v>1211</v>
      </c>
      <c r="C336" t="s">
        <v>31</v>
      </c>
      <c r="D336" t="s">
        <v>31</v>
      </c>
      <c r="E336" t="s">
        <v>929</v>
      </c>
      <c r="F336" t="s">
        <v>46</v>
      </c>
      <c r="G336" t="s">
        <v>194</v>
      </c>
      <c r="H336" t="s">
        <v>140</v>
      </c>
      <c r="I336">
        <v>84903</v>
      </c>
      <c r="J336" s="3">
        <v>1018836</v>
      </c>
      <c r="K336" s="2">
        <v>29775</v>
      </c>
      <c r="L336" t="s">
        <v>30</v>
      </c>
      <c r="M336" t="s">
        <v>29</v>
      </c>
      <c r="N336">
        <v>1887</v>
      </c>
      <c r="O336" t="s">
        <v>33</v>
      </c>
      <c r="P336" t="s">
        <v>32</v>
      </c>
      <c r="Q336" t="s">
        <v>92</v>
      </c>
      <c r="R336" s="2">
        <v>42781</v>
      </c>
      <c r="S336" s="1" t="s">
        <v>35</v>
      </c>
      <c r="T336">
        <v>0</v>
      </c>
      <c r="U336" t="s">
        <v>36</v>
      </c>
      <c r="V336">
        <v>1</v>
      </c>
      <c r="W336" t="s">
        <v>36</v>
      </c>
      <c r="X336">
        <v>0</v>
      </c>
      <c r="Y336" t="s">
        <v>48</v>
      </c>
      <c r="Z336">
        <v>3</v>
      </c>
      <c r="AA336" t="s">
        <v>49</v>
      </c>
      <c r="AB336">
        <v>3.42</v>
      </c>
      <c r="AC336" t="s">
        <v>937</v>
      </c>
      <c r="AD336">
        <v>7</v>
      </c>
      <c r="AE336" s="2">
        <v>43469</v>
      </c>
      <c r="AF336">
        <v>0</v>
      </c>
      <c r="AG336">
        <v>17</v>
      </c>
    </row>
    <row r="337" spans="1:33">
      <c r="A337">
        <v>10172</v>
      </c>
      <c r="B337" t="s">
        <v>1394</v>
      </c>
      <c r="C337" t="s">
        <v>42</v>
      </c>
      <c r="D337" t="s">
        <v>56</v>
      </c>
      <c r="E337" t="s">
        <v>929</v>
      </c>
      <c r="F337" t="s">
        <v>288</v>
      </c>
      <c r="G337" t="s">
        <v>294</v>
      </c>
      <c r="H337" t="s">
        <v>501</v>
      </c>
      <c r="I337">
        <v>44074</v>
      </c>
      <c r="J337" s="3">
        <v>528888</v>
      </c>
      <c r="K337" s="2">
        <v>37912</v>
      </c>
      <c r="L337" t="s">
        <v>264</v>
      </c>
      <c r="M337" t="s">
        <v>80</v>
      </c>
      <c r="N337">
        <v>78296</v>
      </c>
      <c r="O337" t="s">
        <v>73</v>
      </c>
      <c r="P337" t="s">
        <v>124</v>
      </c>
      <c r="Q337" t="s">
        <v>34</v>
      </c>
      <c r="R337" s="2">
        <v>43648</v>
      </c>
      <c r="S337" s="1" t="s">
        <v>35</v>
      </c>
      <c r="T337">
        <v>1</v>
      </c>
      <c r="U337" t="s">
        <v>36</v>
      </c>
      <c r="V337">
        <v>3</v>
      </c>
      <c r="W337" t="s">
        <v>45</v>
      </c>
      <c r="X337">
        <v>1</v>
      </c>
      <c r="Y337" t="s">
        <v>142</v>
      </c>
      <c r="Z337">
        <v>3</v>
      </c>
      <c r="AA337" t="s">
        <v>276</v>
      </c>
      <c r="AB337">
        <v>3</v>
      </c>
      <c r="AC337" t="s">
        <v>930</v>
      </c>
      <c r="AD337">
        <v>2</v>
      </c>
      <c r="AE337" s="2">
        <v>45731</v>
      </c>
      <c r="AF337">
        <v>3</v>
      </c>
      <c r="AG337">
        <v>4</v>
      </c>
    </row>
    <row r="338" spans="1:33">
      <c r="A338">
        <v>10173</v>
      </c>
      <c r="B338" t="s">
        <v>1188</v>
      </c>
      <c r="C338" t="s">
        <v>42</v>
      </c>
      <c r="D338" t="s">
        <v>42</v>
      </c>
      <c r="E338" t="s">
        <v>929</v>
      </c>
      <c r="F338" t="s">
        <v>46</v>
      </c>
      <c r="G338" t="s">
        <v>139</v>
      </c>
      <c r="H338" t="s">
        <v>140</v>
      </c>
      <c r="I338">
        <v>90100</v>
      </c>
      <c r="J338" s="3">
        <v>1081200</v>
      </c>
      <c r="K338" s="2">
        <v>32074</v>
      </c>
      <c r="L338" t="s">
        <v>30</v>
      </c>
      <c r="M338" t="s">
        <v>29</v>
      </c>
      <c r="N338">
        <v>2134</v>
      </c>
      <c r="O338" t="s">
        <v>33</v>
      </c>
      <c r="P338" t="s">
        <v>32</v>
      </c>
      <c r="Q338" t="s">
        <v>34</v>
      </c>
      <c r="R338" s="2">
        <v>42845</v>
      </c>
      <c r="S338" s="1" t="s">
        <v>35</v>
      </c>
      <c r="T338">
        <v>0</v>
      </c>
      <c r="U338" t="s">
        <v>36</v>
      </c>
      <c r="V338">
        <v>1</v>
      </c>
      <c r="W338" t="s">
        <v>36</v>
      </c>
      <c r="X338">
        <v>0</v>
      </c>
      <c r="Y338" t="s">
        <v>48</v>
      </c>
      <c r="Z338">
        <v>3</v>
      </c>
      <c r="AA338" t="s">
        <v>49</v>
      </c>
      <c r="AB338">
        <v>3.4</v>
      </c>
      <c r="AC338" t="s">
        <v>932</v>
      </c>
      <c r="AD338">
        <v>6</v>
      </c>
      <c r="AE338" s="2">
        <v>43467</v>
      </c>
      <c r="AF338">
        <v>0</v>
      </c>
      <c r="AG338">
        <v>14</v>
      </c>
    </row>
    <row r="339" spans="1:33">
      <c r="A339">
        <v>10173</v>
      </c>
      <c r="B339" t="s">
        <v>1395</v>
      </c>
      <c r="C339" t="s">
        <v>42</v>
      </c>
      <c r="D339" t="s">
        <v>56</v>
      </c>
      <c r="E339" t="s">
        <v>929</v>
      </c>
      <c r="F339" t="s">
        <v>113</v>
      </c>
      <c r="G339" t="s">
        <v>62</v>
      </c>
      <c r="H339" t="s">
        <v>502</v>
      </c>
      <c r="I339">
        <v>44236</v>
      </c>
      <c r="J339" s="3">
        <v>530832</v>
      </c>
      <c r="K339" s="2">
        <v>28749</v>
      </c>
      <c r="L339" t="s">
        <v>264</v>
      </c>
      <c r="M339" t="s">
        <v>191</v>
      </c>
      <c r="N339">
        <v>74354</v>
      </c>
      <c r="O339" t="s">
        <v>73</v>
      </c>
      <c r="P339" t="s">
        <v>124</v>
      </c>
      <c r="Q339" t="s">
        <v>92</v>
      </c>
      <c r="R339" s="2">
        <v>43692</v>
      </c>
      <c r="S339" s="1" t="s">
        <v>35</v>
      </c>
      <c r="T339">
        <v>0</v>
      </c>
      <c r="U339" t="s">
        <v>36</v>
      </c>
      <c r="V339">
        <v>2</v>
      </c>
      <c r="W339" t="s">
        <v>36</v>
      </c>
      <c r="X339">
        <v>0</v>
      </c>
      <c r="Y339" t="s">
        <v>268</v>
      </c>
      <c r="Z339">
        <v>2</v>
      </c>
      <c r="AA339" t="s">
        <v>276</v>
      </c>
      <c r="AB339">
        <v>4.2</v>
      </c>
      <c r="AC339" t="s">
        <v>962</v>
      </c>
      <c r="AD339">
        <v>5</v>
      </c>
      <c r="AE339" s="2">
        <v>45744</v>
      </c>
      <c r="AF339">
        <v>2</v>
      </c>
      <c r="AG339">
        <v>0</v>
      </c>
    </row>
    <row r="340" spans="1:33">
      <c r="A340">
        <v>10174</v>
      </c>
      <c r="B340" t="s">
        <v>1218</v>
      </c>
      <c r="C340" t="s">
        <v>31</v>
      </c>
      <c r="D340" t="s">
        <v>31</v>
      </c>
      <c r="E340" t="s">
        <v>934</v>
      </c>
      <c r="F340" t="s">
        <v>37</v>
      </c>
      <c r="G340" t="s">
        <v>50</v>
      </c>
      <c r="H340" t="s">
        <v>76</v>
      </c>
      <c r="I340">
        <v>60446</v>
      </c>
      <c r="J340" s="3">
        <v>725352</v>
      </c>
      <c r="K340" s="2">
        <v>31157</v>
      </c>
      <c r="L340" t="s">
        <v>51</v>
      </c>
      <c r="M340" t="s">
        <v>29</v>
      </c>
      <c r="N340">
        <v>2302</v>
      </c>
      <c r="O340" t="s">
        <v>33</v>
      </c>
      <c r="P340" t="s">
        <v>32</v>
      </c>
      <c r="Q340" t="s">
        <v>34</v>
      </c>
      <c r="R340" s="2">
        <v>41911</v>
      </c>
      <c r="S340" s="1" t="s">
        <v>35</v>
      </c>
      <c r="T340">
        <v>0</v>
      </c>
      <c r="U340" t="s">
        <v>36</v>
      </c>
      <c r="V340">
        <v>1</v>
      </c>
      <c r="W340" t="s">
        <v>36</v>
      </c>
      <c r="X340">
        <v>0</v>
      </c>
      <c r="Y340" t="s">
        <v>39</v>
      </c>
      <c r="Z340">
        <v>3</v>
      </c>
      <c r="AA340" t="s">
        <v>49</v>
      </c>
      <c r="AB340">
        <v>3.4</v>
      </c>
      <c r="AC340" t="s">
        <v>937</v>
      </c>
      <c r="AD340">
        <v>0</v>
      </c>
      <c r="AE340" s="2">
        <v>43517</v>
      </c>
      <c r="AF340">
        <v>0</v>
      </c>
      <c r="AG340">
        <v>14</v>
      </c>
    </row>
    <row r="341" spans="1:33">
      <c r="A341">
        <v>10174</v>
      </c>
      <c r="B341" t="s">
        <v>1396</v>
      </c>
      <c r="C341" t="s">
        <v>31</v>
      </c>
      <c r="D341" t="s">
        <v>31</v>
      </c>
      <c r="E341" t="s">
        <v>934</v>
      </c>
      <c r="F341" t="s">
        <v>288</v>
      </c>
      <c r="G341" t="s">
        <v>277</v>
      </c>
      <c r="H341" t="s">
        <v>503</v>
      </c>
      <c r="I341">
        <v>32575</v>
      </c>
      <c r="J341" s="3">
        <v>390900</v>
      </c>
      <c r="K341" s="2">
        <v>33078</v>
      </c>
      <c r="L341" t="s">
        <v>51</v>
      </c>
      <c r="M341" t="s">
        <v>80</v>
      </c>
      <c r="N341">
        <v>25539</v>
      </c>
      <c r="O341" t="s">
        <v>73</v>
      </c>
      <c r="P341" t="s">
        <v>124</v>
      </c>
      <c r="Q341" t="s">
        <v>34</v>
      </c>
      <c r="R341" s="2">
        <v>42589</v>
      </c>
      <c r="S341" s="1" t="s">
        <v>35</v>
      </c>
      <c r="T341">
        <v>0</v>
      </c>
      <c r="U341" t="s">
        <v>36</v>
      </c>
      <c r="V341">
        <v>1</v>
      </c>
      <c r="W341" t="s">
        <v>87</v>
      </c>
      <c r="X341">
        <v>0</v>
      </c>
      <c r="Y341" t="s">
        <v>48</v>
      </c>
      <c r="Z341">
        <v>3</v>
      </c>
      <c r="AA341" t="s">
        <v>49</v>
      </c>
      <c r="AB341">
        <v>3.6</v>
      </c>
      <c r="AC341" t="s">
        <v>1003</v>
      </c>
      <c r="AD341">
        <v>0</v>
      </c>
      <c r="AE341" s="2">
        <v>45649</v>
      </c>
      <c r="AF341">
        <v>5</v>
      </c>
      <c r="AG341">
        <v>2</v>
      </c>
    </row>
    <row r="342" spans="1:33">
      <c r="A342">
        <v>10175</v>
      </c>
      <c r="B342" t="s">
        <v>959</v>
      </c>
      <c r="C342" t="s">
        <v>31</v>
      </c>
      <c r="D342" t="s">
        <v>31</v>
      </c>
      <c r="E342" t="s">
        <v>929</v>
      </c>
      <c r="F342" t="s">
        <v>37</v>
      </c>
      <c r="G342" t="s">
        <v>104</v>
      </c>
      <c r="H342" t="s">
        <v>107</v>
      </c>
      <c r="I342">
        <v>74312</v>
      </c>
      <c r="J342" s="3">
        <v>891744</v>
      </c>
      <c r="K342" s="2">
        <v>25637</v>
      </c>
      <c r="L342" t="s">
        <v>30</v>
      </c>
      <c r="M342" t="s">
        <v>29</v>
      </c>
      <c r="N342">
        <v>1901</v>
      </c>
      <c r="O342" t="s">
        <v>33</v>
      </c>
      <c r="P342" t="s">
        <v>32</v>
      </c>
      <c r="Q342" t="s">
        <v>92</v>
      </c>
      <c r="R342" s="2">
        <v>41547</v>
      </c>
      <c r="S342" s="1" t="s">
        <v>105</v>
      </c>
      <c r="T342">
        <v>1</v>
      </c>
      <c r="U342" t="s">
        <v>106</v>
      </c>
      <c r="V342">
        <v>5</v>
      </c>
      <c r="W342" t="s">
        <v>45</v>
      </c>
      <c r="X342">
        <v>0</v>
      </c>
      <c r="Y342" t="s">
        <v>48</v>
      </c>
      <c r="Z342">
        <v>3</v>
      </c>
      <c r="AA342" t="s">
        <v>49</v>
      </c>
      <c r="AB342">
        <v>3.39</v>
      </c>
      <c r="AC342" t="s">
        <v>932</v>
      </c>
      <c r="AD342">
        <v>0</v>
      </c>
      <c r="AE342" s="2">
        <v>41690</v>
      </c>
      <c r="AF342">
        <v>0</v>
      </c>
      <c r="AG342">
        <v>14</v>
      </c>
    </row>
    <row r="343" spans="1:33">
      <c r="A343">
        <v>10175</v>
      </c>
      <c r="B343" t="s">
        <v>1397</v>
      </c>
      <c r="C343" t="s">
        <v>42</v>
      </c>
      <c r="D343" t="s">
        <v>42</v>
      </c>
      <c r="E343" t="s">
        <v>934</v>
      </c>
      <c r="F343" t="s">
        <v>288</v>
      </c>
      <c r="G343" t="s">
        <v>269</v>
      </c>
      <c r="H343" t="s">
        <v>504</v>
      </c>
      <c r="I343">
        <v>34184</v>
      </c>
      <c r="J343" s="3">
        <v>410208</v>
      </c>
      <c r="K343" s="2">
        <v>33206</v>
      </c>
      <c r="L343" t="s">
        <v>51</v>
      </c>
      <c r="M343" t="s">
        <v>210</v>
      </c>
      <c r="N343">
        <v>43602</v>
      </c>
      <c r="O343" t="s">
        <v>73</v>
      </c>
      <c r="P343" t="s">
        <v>124</v>
      </c>
      <c r="Q343" t="s">
        <v>34</v>
      </c>
      <c r="R343" s="2">
        <v>44806</v>
      </c>
      <c r="S343" s="1" t="s">
        <v>35</v>
      </c>
      <c r="T343">
        <v>0</v>
      </c>
      <c r="U343" t="s">
        <v>36</v>
      </c>
      <c r="V343">
        <v>2</v>
      </c>
      <c r="W343" t="s">
        <v>45</v>
      </c>
      <c r="X343">
        <v>1</v>
      </c>
      <c r="Y343" t="s">
        <v>142</v>
      </c>
      <c r="Z343">
        <v>2</v>
      </c>
      <c r="AA343" t="s">
        <v>276</v>
      </c>
      <c r="AB343">
        <v>4.5999999999999996</v>
      </c>
      <c r="AC343" t="s">
        <v>1003</v>
      </c>
      <c r="AD343">
        <v>3</v>
      </c>
      <c r="AE343" s="2">
        <v>45666</v>
      </c>
      <c r="AF343">
        <v>5</v>
      </c>
      <c r="AG343">
        <v>9</v>
      </c>
    </row>
    <row r="344" spans="1:33">
      <c r="A344">
        <v>10176</v>
      </c>
      <c r="B344" t="s">
        <v>1078</v>
      </c>
      <c r="C344" t="s">
        <v>42</v>
      </c>
      <c r="D344" t="s">
        <v>42</v>
      </c>
      <c r="E344" t="s">
        <v>929</v>
      </c>
      <c r="F344" t="s">
        <v>37</v>
      </c>
      <c r="G344" t="s">
        <v>28</v>
      </c>
      <c r="H344" t="s">
        <v>69</v>
      </c>
      <c r="I344">
        <v>63973</v>
      </c>
      <c r="J344" s="3">
        <v>767676</v>
      </c>
      <c r="K344" s="2">
        <v>29253</v>
      </c>
      <c r="L344" t="s">
        <v>30</v>
      </c>
      <c r="M344" t="s">
        <v>29</v>
      </c>
      <c r="N344">
        <v>1801</v>
      </c>
      <c r="O344" t="s">
        <v>33</v>
      </c>
      <c r="P344" t="s">
        <v>32</v>
      </c>
      <c r="Q344" t="s">
        <v>92</v>
      </c>
      <c r="R344" s="2">
        <v>40553</v>
      </c>
      <c r="S344" s="1" t="s">
        <v>35</v>
      </c>
      <c r="T344">
        <v>0</v>
      </c>
      <c r="U344" t="s">
        <v>36</v>
      </c>
      <c r="V344">
        <v>1</v>
      </c>
      <c r="W344" t="s">
        <v>36</v>
      </c>
      <c r="X344">
        <v>0</v>
      </c>
      <c r="Y344" t="s">
        <v>48</v>
      </c>
      <c r="Z344">
        <v>3</v>
      </c>
      <c r="AA344" t="s">
        <v>49</v>
      </c>
      <c r="AB344">
        <v>3.38</v>
      </c>
      <c r="AC344" t="s">
        <v>932</v>
      </c>
      <c r="AD344">
        <v>0</v>
      </c>
      <c r="AE344" s="2">
        <v>43486</v>
      </c>
      <c r="AF344">
        <v>0</v>
      </c>
      <c r="AG344">
        <v>17</v>
      </c>
    </row>
    <row r="345" spans="1:33">
      <c r="A345">
        <v>10176</v>
      </c>
      <c r="B345" t="s">
        <v>1398</v>
      </c>
      <c r="C345" t="s">
        <v>31</v>
      </c>
      <c r="D345" t="s">
        <v>31</v>
      </c>
      <c r="E345" t="s">
        <v>929</v>
      </c>
      <c r="F345" t="s">
        <v>271</v>
      </c>
      <c r="G345" t="s">
        <v>277</v>
      </c>
      <c r="H345" t="s">
        <v>505</v>
      </c>
      <c r="I345">
        <v>95663</v>
      </c>
      <c r="J345" s="3">
        <v>1147956</v>
      </c>
      <c r="K345" s="2">
        <v>29495</v>
      </c>
      <c r="L345" t="s">
        <v>51</v>
      </c>
      <c r="M345" t="s">
        <v>144</v>
      </c>
      <c r="N345">
        <v>51788</v>
      </c>
      <c r="O345" t="s">
        <v>33</v>
      </c>
      <c r="P345" t="s">
        <v>124</v>
      </c>
      <c r="Q345" t="s">
        <v>160</v>
      </c>
      <c r="R345" s="2">
        <v>44553</v>
      </c>
      <c r="S345" s="1" t="s">
        <v>35</v>
      </c>
      <c r="T345">
        <v>1</v>
      </c>
      <c r="U345" t="s">
        <v>36</v>
      </c>
      <c r="V345">
        <v>2</v>
      </c>
      <c r="W345" t="s">
        <v>36</v>
      </c>
      <c r="X345">
        <v>1</v>
      </c>
      <c r="Y345" t="s">
        <v>268</v>
      </c>
      <c r="Z345">
        <v>3</v>
      </c>
      <c r="AA345" t="s">
        <v>136</v>
      </c>
      <c r="AB345">
        <v>4.9000000000000004</v>
      </c>
      <c r="AC345" t="s">
        <v>962</v>
      </c>
      <c r="AD345">
        <v>2</v>
      </c>
      <c r="AE345" s="2">
        <v>45943</v>
      </c>
      <c r="AF345">
        <v>5</v>
      </c>
      <c r="AG345">
        <v>4</v>
      </c>
    </row>
    <row r="346" spans="1:33">
      <c r="A346">
        <v>10177</v>
      </c>
      <c r="B346" t="s">
        <v>960</v>
      </c>
      <c r="C346" t="s">
        <v>42</v>
      </c>
      <c r="D346" t="s">
        <v>42</v>
      </c>
      <c r="E346" t="s">
        <v>934</v>
      </c>
      <c r="F346" t="s">
        <v>37</v>
      </c>
      <c r="G346" t="s">
        <v>28</v>
      </c>
      <c r="H346" t="s">
        <v>76</v>
      </c>
      <c r="I346">
        <v>53492</v>
      </c>
      <c r="J346" s="3">
        <v>641904</v>
      </c>
      <c r="K346" s="2">
        <v>33109</v>
      </c>
      <c r="L346" t="s">
        <v>51</v>
      </c>
      <c r="M346" t="s">
        <v>29</v>
      </c>
      <c r="N346">
        <v>1701</v>
      </c>
      <c r="O346" t="s">
        <v>33</v>
      </c>
      <c r="P346" t="s">
        <v>32</v>
      </c>
      <c r="Q346" t="s">
        <v>34</v>
      </c>
      <c r="R346" s="2">
        <v>41001</v>
      </c>
      <c r="S346" s="1" t="s">
        <v>108</v>
      </c>
      <c r="T346">
        <v>1</v>
      </c>
      <c r="U346" t="s">
        <v>75</v>
      </c>
      <c r="V346">
        <v>5</v>
      </c>
      <c r="W346" t="s">
        <v>45</v>
      </c>
      <c r="X346">
        <v>0</v>
      </c>
      <c r="Y346" t="s">
        <v>60</v>
      </c>
      <c r="Z346">
        <v>3</v>
      </c>
      <c r="AA346" t="s">
        <v>49</v>
      </c>
      <c r="AB346">
        <v>3.35</v>
      </c>
      <c r="AC346" t="s">
        <v>937</v>
      </c>
      <c r="AD346">
        <v>0</v>
      </c>
      <c r="AE346" s="2">
        <v>41337</v>
      </c>
      <c r="AF346">
        <v>0</v>
      </c>
      <c r="AG346">
        <v>6</v>
      </c>
    </row>
    <row r="347" spans="1:33">
      <c r="A347">
        <v>10177</v>
      </c>
      <c r="B347" t="s">
        <v>1399</v>
      </c>
      <c r="C347" t="s">
        <v>42</v>
      </c>
      <c r="D347" t="s">
        <v>31</v>
      </c>
      <c r="E347" t="s">
        <v>929</v>
      </c>
      <c r="F347" t="s">
        <v>288</v>
      </c>
      <c r="G347" t="s">
        <v>294</v>
      </c>
      <c r="H347" t="s">
        <v>506</v>
      </c>
      <c r="I347">
        <v>75021</v>
      </c>
      <c r="J347" s="3">
        <v>900252</v>
      </c>
      <c r="K347" s="2">
        <v>34210</v>
      </c>
      <c r="L347" t="s">
        <v>51</v>
      </c>
      <c r="M347" t="s">
        <v>29</v>
      </c>
      <c r="N347">
        <v>8506</v>
      </c>
      <c r="O347" t="s">
        <v>73</v>
      </c>
      <c r="P347" t="s">
        <v>124</v>
      </c>
      <c r="Q347" t="s">
        <v>204</v>
      </c>
      <c r="R347" s="2">
        <v>43270</v>
      </c>
      <c r="S347" s="1" t="s">
        <v>35</v>
      </c>
      <c r="T347">
        <v>1</v>
      </c>
      <c r="U347" t="s">
        <v>290</v>
      </c>
      <c r="V347">
        <v>2</v>
      </c>
      <c r="W347" t="s">
        <v>87</v>
      </c>
      <c r="X347">
        <v>1</v>
      </c>
      <c r="Y347" t="s">
        <v>48</v>
      </c>
      <c r="Z347">
        <v>3</v>
      </c>
      <c r="AA347" t="s">
        <v>136</v>
      </c>
      <c r="AB347">
        <v>4</v>
      </c>
      <c r="AC347" t="s">
        <v>930</v>
      </c>
      <c r="AD347">
        <v>1</v>
      </c>
      <c r="AE347" s="2">
        <v>45965</v>
      </c>
      <c r="AF347">
        <v>5</v>
      </c>
      <c r="AG347">
        <v>10</v>
      </c>
    </row>
    <row r="348" spans="1:33">
      <c r="A348">
        <v>10178</v>
      </c>
      <c r="B348" t="s">
        <v>1170</v>
      </c>
      <c r="C348" t="s">
        <v>42</v>
      </c>
      <c r="D348" t="s">
        <v>42</v>
      </c>
      <c r="E348" t="s">
        <v>929</v>
      </c>
      <c r="F348" t="s">
        <v>46</v>
      </c>
      <c r="G348" t="s">
        <v>79</v>
      </c>
      <c r="H348" t="s">
        <v>47</v>
      </c>
      <c r="I348">
        <v>87826</v>
      </c>
      <c r="J348" s="3">
        <v>1053912</v>
      </c>
      <c r="K348" s="2">
        <v>25607</v>
      </c>
      <c r="L348" t="s">
        <v>30</v>
      </c>
      <c r="M348" t="s">
        <v>29</v>
      </c>
      <c r="N348">
        <v>2110</v>
      </c>
      <c r="O348" t="s">
        <v>73</v>
      </c>
      <c r="P348" t="s">
        <v>32</v>
      </c>
      <c r="Q348" t="s">
        <v>34</v>
      </c>
      <c r="R348" s="2">
        <v>42009</v>
      </c>
      <c r="S348" s="1" t="s">
        <v>35</v>
      </c>
      <c r="T348">
        <v>0</v>
      </c>
      <c r="U348" t="s">
        <v>36</v>
      </c>
      <c r="V348">
        <v>1</v>
      </c>
      <c r="W348" t="s">
        <v>36</v>
      </c>
      <c r="X348">
        <v>0</v>
      </c>
      <c r="Y348" t="s">
        <v>67</v>
      </c>
      <c r="Z348">
        <v>3</v>
      </c>
      <c r="AA348" t="s">
        <v>49</v>
      </c>
      <c r="AB348">
        <v>3.32</v>
      </c>
      <c r="AC348" t="s">
        <v>932</v>
      </c>
      <c r="AD348">
        <v>7</v>
      </c>
      <c r="AE348" s="2">
        <v>43479</v>
      </c>
      <c r="AF348">
        <v>0</v>
      </c>
      <c r="AG348">
        <v>16</v>
      </c>
    </row>
    <row r="349" spans="1:33">
      <c r="A349">
        <v>10178</v>
      </c>
      <c r="B349" t="s">
        <v>1400</v>
      </c>
      <c r="C349" t="s">
        <v>42</v>
      </c>
      <c r="D349" t="s">
        <v>31</v>
      </c>
      <c r="E349" t="s">
        <v>929</v>
      </c>
      <c r="F349" t="s">
        <v>288</v>
      </c>
      <c r="G349" t="s">
        <v>62</v>
      </c>
      <c r="H349" t="s">
        <v>507</v>
      </c>
      <c r="I349">
        <v>101658</v>
      </c>
      <c r="J349" s="3">
        <v>1219896</v>
      </c>
      <c r="K349" s="2">
        <v>33516</v>
      </c>
      <c r="L349" t="s">
        <v>51</v>
      </c>
      <c r="M349" t="s">
        <v>210</v>
      </c>
      <c r="N349">
        <v>10034</v>
      </c>
      <c r="O349" t="s">
        <v>33</v>
      </c>
      <c r="P349" t="s">
        <v>124</v>
      </c>
      <c r="Q349" t="s">
        <v>92</v>
      </c>
      <c r="R349" s="2">
        <v>44452</v>
      </c>
      <c r="S349" s="1" t="s">
        <v>35</v>
      </c>
      <c r="T349">
        <v>1</v>
      </c>
      <c r="U349" t="s">
        <v>298</v>
      </c>
      <c r="V349">
        <v>3</v>
      </c>
      <c r="W349" t="s">
        <v>87</v>
      </c>
      <c r="X349">
        <v>0</v>
      </c>
      <c r="Y349" t="s">
        <v>142</v>
      </c>
      <c r="Z349">
        <v>4</v>
      </c>
      <c r="AA349" t="s">
        <v>276</v>
      </c>
      <c r="AB349">
        <v>3.8</v>
      </c>
      <c r="AC349" t="s">
        <v>937</v>
      </c>
      <c r="AD349">
        <v>2</v>
      </c>
      <c r="AE349" s="2">
        <v>45729</v>
      </c>
      <c r="AF349">
        <v>2</v>
      </c>
      <c r="AG349">
        <v>0</v>
      </c>
    </row>
    <row r="350" spans="1:33">
      <c r="A350">
        <v>10179</v>
      </c>
      <c r="B350" t="s">
        <v>1168</v>
      </c>
      <c r="C350" t="s">
        <v>42</v>
      </c>
      <c r="D350" t="s">
        <v>42</v>
      </c>
      <c r="E350" t="s">
        <v>934</v>
      </c>
      <c r="F350" t="s">
        <v>46</v>
      </c>
      <c r="G350" t="s">
        <v>152</v>
      </c>
      <c r="H350" t="s">
        <v>72</v>
      </c>
      <c r="I350">
        <v>50750</v>
      </c>
      <c r="J350" s="3">
        <v>609000</v>
      </c>
      <c r="K350" s="2">
        <v>29690</v>
      </c>
      <c r="L350" t="s">
        <v>51</v>
      </c>
      <c r="M350" t="s">
        <v>29</v>
      </c>
      <c r="N350">
        <v>1773</v>
      </c>
      <c r="O350" t="s">
        <v>33</v>
      </c>
      <c r="P350" t="s">
        <v>32</v>
      </c>
      <c r="Q350" t="s">
        <v>34</v>
      </c>
      <c r="R350" s="2">
        <v>41912</v>
      </c>
      <c r="S350" s="1" t="s">
        <v>35</v>
      </c>
      <c r="T350">
        <v>0</v>
      </c>
      <c r="U350" t="s">
        <v>36</v>
      </c>
      <c r="V350">
        <v>1</v>
      </c>
      <c r="W350" t="s">
        <v>36</v>
      </c>
      <c r="X350">
        <v>0</v>
      </c>
      <c r="Y350" t="s">
        <v>39</v>
      </c>
      <c r="Z350">
        <v>3</v>
      </c>
      <c r="AA350" t="s">
        <v>49</v>
      </c>
      <c r="AB350">
        <v>3.31</v>
      </c>
      <c r="AC350" t="s">
        <v>932</v>
      </c>
      <c r="AD350">
        <v>6</v>
      </c>
      <c r="AE350" s="2">
        <v>43472</v>
      </c>
      <c r="AF350">
        <v>0</v>
      </c>
      <c r="AG350">
        <v>7</v>
      </c>
    </row>
    <row r="351" spans="1:33">
      <c r="A351">
        <v>10179</v>
      </c>
      <c r="B351" t="s">
        <v>1401</v>
      </c>
      <c r="C351" t="s">
        <v>31</v>
      </c>
      <c r="D351" t="s">
        <v>56</v>
      </c>
      <c r="E351" t="s">
        <v>934</v>
      </c>
      <c r="F351" t="s">
        <v>274</v>
      </c>
      <c r="G351" t="s">
        <v>294</v>
      </c>
      <c r="H351" t="s">
        <v>509</v>
      </c>
      <c r="I351">
        <v>105683</v>
      </c>
      <c r="J351" s="3">
        <v>1268196</v>
      </c>
      <c r="K351" s="2">
        <v>30404</v>
      </c>
      <c r="L351" t="s">
        <v>51</v>
      </c>
      <c r="M351" t="s">
        <v>210</v>
      </c>
      <c r="N351">
        <v>42168</v>
      </c>
      <c r="O351" t="s">
        <v>73</v>
      </c>
      <c r="P351" t="s">
        <v>32</v>
      </c>
      <c r="Q351" t="s">
        <v>92</v>
      </c>
      <c r="R351" s="2">
        <v>42379</v>
      </c>
      <c r="S351" s="1" t="s">
        <v>508</v>
      </c>
      <c r="T351">
        <v>1</v>
      </c>
      <c r="U351" t="s">
        <v>266</v>
      </c>
      <c r="V351">
        <v>1</v>
      </c>
      <c r="W351" t="s">
        <v>36</v>
      </c>
      <c r="X351">
        <v>0</v>
      </c>
      <c r="Y351" t="s">
        <v>280</v>
      </c>
      <c r="Z351">
        <v>3</v>
      </c>
      <c r="AA351" t="s">
        <v>95</v>
      </c>
      <c r="AB351">
        <v>3.4</v>
      </c>
      <c r="AC351" t="s">
        <v>1003</v>
      </c>
      <c r="AD351">
        <v>2</v>
      </c>
      <c r="AE351" s="2">
        <v>45870</v>
      </c>
      <c r="AF351">
        <v>5</v>
      </c>
      <c r="AG351">
        <v>5</v>
      </c>
    </row>
    <row r="352" spans="1:33">
      <c r="A352">
        <v>10180</v>
      </c>
      <c r="B352" t="s">
        <v>1177</v>
      </c>
      <c r="C352" t="s">
        <v>42</v>
      </c>
      <c r="D352" t="s">
        <v>42</v>
      </c>
      <c r="E352" t="s">
        <v>929</v>
      </c>
      <c r="F352" t="s">
        <v>46</v>
      </c>
      <c r="G352" t="s">
        <v>131</v>
      </c>
      <c r="H352" t="s">
        <v>72</v>
      </c>
      <c r="I352">
        <v>87565</v>
      </c>
      <c r="J352" s="3">
        <v>1050780</v>
      </c>
      <c r="K352" s="2">
        <v>30356</v>
      </c>
      <c r="L352" t="s">
        <v>30</v>
      </c>
      <c r="M352" t="s">
        <v>29</v>
      </c>
      <c r="N352">
        <v>1545</v>
      </c>
      <c r="O352" t="s">
        <v>33</v>
      </c>
      <c r="P352" t="s">
        <v>32</v>
      </c>
      <c r="Q352" t="s">
        <v>92</v>
      </c>
      <c r="R352" s="2">
        <v>42551</v>
      </c>
      <c r="S352" s="1" t="s">
        <v>35</v>
      </c>
      <c r="T352">
        <v>0</v>
      </c>
      <c r="U352" t="s">
        <v>36</v>
      </c>
      <c r="V352">
        <v>2</v>
      </c>
      <c r="W352" t="s">
        <v>36</v>
      </c>
      <c r="X352">
        <v>0</v>
      </c>
      <c r="Y352" t="s">
        <v>39</v>
      </c>
      <c r="Z352">
        <v>3</v>
      </c>
      <c r="AA352" t="s">
        <v>49</v>
      </c>
      <c r="AB352">
        <v>3.27</v>
      </c>
      <c r="AC352" t="s">
        <v>937</v>
      </c>
      <c r="AD352">
        <v>5</v>
      </c>
      <c r="AE352" s="2">
        <v>43479</v>
      </c>
      <c r="AF352">
        <v>0</v>
      </c>
      <c r="AG352">
        <v>13</v>
      </c>
    </row>
    <row r="353" spans="1:33">
      <c r="A353">
        <v>10180</v>
      </c>
      <c r="B353" t="s">
        <v>1402</v>
      </c>
      <c r="C353" t="s">
        <v>42</v>
      </c>
      <c r="D353" t="s">
        <v>56</v>
      </c>
      <c r="E353" t="s">
        <v>934</v>
      </c>
      <c r="F353" t="s">
        <v>278</v>
      </c>
      <c r="G353" t="s">
        <v>269</v>
      </c>
      <c r="H353" t="s">
        <v>511</v>
      </c>
      <c r="I353">
        <v>119198</v>
      </c>
      <c r="J353" s="3">
        <v>1430376</v>
      </c>
      <c r="K353" s="2">
        <v>24426</v>
      </c>
      <c r="L353" t="s">
        <v>51</v>
      </c>
      <c r="M353" t="s">
        <v>191</v>
      </c>
      <c r="N353">
        <v>83925</v>
      </c>
      <c r="O353" t="s">
        <v>33</v>
      </c>
      <c r="P353" t="s">
        <v>124</v>
      </c>
      <c r="Q353" t="s">
        <v>204</v>
      </c>
      <c r="R353" s="2">
        <v>45332</v>
      </c>
      <c r="S353" s="1" t="s">
        <v>510</v>
      </c>
      <c r="T353">
        <v>0</v>
      </c>
      <c r="U353" t="s">
        <v>36</v>
      </c>
      <c r="V353">
        <v>2</v>
      </c>
      <c r="W353" t="s">
        <v>45</v>
      </c>
      <c r="X353">
        <v>0</v>
      </c>
      <c r="Y353" t="s">
        <v>48</v>
      </c>
      <c r="Z353">
        <v>3</v>
      </c>
      <c r="AA353" t="s">
        <v>136</v>
      </c>
      <c r="AB353">
        <v>4.3</v>
      </c>
      <c r="AC353" t="s">
        <v>937</v>
      </c>
      <c r="AD353">
        <v>4</v>
      </c>
      <c r="AE353" s="2">
        <v>45752</v>
      </c>
      <c r="AF353">
        <v>3</v>
      </c>
      <c r="AG353">
        <v>3</v>
      </c>
    </row>
    <row r="354" spans="1:33">
      <c r="A354">
        <v>10181</v>
      </c>
      <c r="B354" t="s">
        <v>967</v>
      </c>
      <c r="C354" t="s">
        <v>42</v>
      </c>
      <c r="D354" t="s">
        <v>42</v>
      </c>
      <c r="E354" t="s">
        <v>929</v>
      </c>
      <c r="F354" t="s">
        <v>37</v>
      </c>
      <c r="G354" t="s">
        <v>50</v>
      </c>
      <c r="H354" t="s">
        <v>66</v>
      </c>
      <c r="I354">
        <v>62162</v>
      </c>
      <c r="J354" s="3">
        <v>745944</v>
      </c>
      <c r="K354" s="2">
        <v>28356</v>
      </c>
      <c r="L354" t="s">
        <v>30</v>
      </c>
      <c r="M354" t="s">
        <v>29</v>
      </c>
      <c r="N354">
        <v>1890</v>
      </c>
      <c r="O354" t="s">
        <v>33</v>
      </c>
      <c r="P354" t="s">
        <v>32</v>
      </c>
      <c r="Q354" t="s">
        <v>34</v>
      </c>
      <c r="R354" s="2">
        <v>40637</v>
      </c>
      <c r="S354" s="1" t="s">
        <v>35</v>
      </c>
      <c r="T354">
        <v>0</v>
      </c>
      <c r="U354" t="s">
        <v>36</v>
      </c>
      <c r="V354">
        <v>1</v>
      </c>
      <c r="W354" t="s">
        <v>36</v>
      </c>
      <c r="X354">
        <v>0</v>
      </c>
      <c r="Y354" t="s">
        <v>48</v>
      </c>
      <c r="Z354">
        <v>3</v>
      </c>
      <c r="AA354" t="s">
        <v>49</v>
      </c>
      <c r="AB354">
        <v>3.25</v>
      </c>
      <c r="AC354" t="s">
        <v>930</v>
      </c>
      <c r="AD354">
        <v>0</v>
      </c>
      <c r="AE354" s="2">
        <v>43479</v>
      </c>
      <c r="AF354">
        <v>0</v>
      </c>
      <c r="AG354">
        <v>15</v>
      </c>
    </row>
    <row r="355" spans="1:33">
      <c r="A355">
        <v>10181</v>
      </c>
      <c r="B355" t="s">
        <v>1403</v>
      </c>
      <c r="C355" t="s">
        <v>31</v>
      </c>
      <c r="D355" t="s">
        <v>42</v>
      </c>
      <c r="E355" t="s">
        <v>929</v>
      </c>
      <c r="F355" t="s">
        <v>278</v>
      </c>
      <c r="G355" t="s">
        <v>277</v>
      </c>
      <c r="H355" t="s">
        <v>513</v>
      </c>
      <c r="I355">
        <v>38036</v>
      </c>
      <c r="J355" s="3">
        <v>456432</v>
      </c>
      <c r="K355" s="2">
        <v>30702</v>
      </c>
      <c r="L355" t="s">
        <v>264</v>
      </c>
      <c r="M355" t="s">
        <v>210</v>
      </c>
      <c r="N355">
        <v>19175</v>
      </c>
      <c r="O355" t="s">
        <v>33</v>
      </c>
      <c r="P355" t="s">
        <v>124</v>
      </c>
      <c r="Q355" t="s">
        <v>92</v>
      </c>
      <c r="R355" s="2">
        <v>45294</v>
      </c>
      <c r="S355" s="1" t="s">
        <v>512</v>
      </c>
      <c r="T355">
        <v>1</v>
      </c>
      <c r="U355" t="s">
        <v>266</v>
      </c>
      <c r="V355">
        <v>1</v>
      </c>
      <c r="W355" t="s">
        <v>87</v>
      </c>
      <c r="X355">
        <v>0</v>
      </c>
      <c r="Y355" t="s">
        <v>39</v>
      </c>
      <c r="Z355">
        <v>2</v>
      </c>
      <c r="AA355" t="s">
        <v>276</v>
      </c>
      <c r="AB355">
        <v>2.8</v>
      </c>
      <c r="AC355" t="s">
        <v>937</v>
      </c>
      <c r="AD355">
        <v>3</v>
      </c>
      <c r="AE355" s="2">
        <v>45665</v>
      </c>
      <c r="AF355">
        <v>5</v>
      </c>
      <c r="AG355">
        <v>3</v>
      </c>
    </row>
    <row r="356" spans="1:33">
      <c r="A356">
        <v>10182</v>
      </c>
      <c r="B356" t="s">
        <v>1058</v>
      </c>
      <c r="C356" t="s">
        <v>42</v>
      </c>
      <c r="D356" t="s">
        <v>42</v>
      </c>
      <c r="E356" t="s">
        <v>934</v>
      </c>
      <c r="F356" t="s">
        <v>102</v>
      </c>
      <c r="G356" t="s">
        <v>178</v>
      </c>
      <c r="H356" t="s">
        <v>103</v>
      </c>
      <c r="I356">
        <v>49920</v>
      </c>
      <c r="J356" s="3">
        <v>599040</v>
      </c>
      <c r="K356" s="2">
        <v>31306</v>
      </c>
      <c r="L356" t="s">
        <v>51</v>
      </c>
      <c r="M356" t="s">
        <v>29</v>
      </c>
      <c r="N356">
        <v>2170</v>
      </c>
      <c r="O356" t="s">
        <v>33</v>
      </c>
      <c r="P356" t="s">
        <v>32</v>
      </c>
      <c r="Q356" t="s">
        <v>68</v>
      </c>
      <c r="R356" s="2">
        <v>42051</v>
      </c>
      <c r="S356" s="1" t="s">
        <v>179</v>
      </c>
      <c r="T356">
        <v>1</v>
      </c>
      <c r="U356" t="s">
        <v>149</v>
      </c>
      <c r="V356">
        <v>1</v>
      </c>
      <c r="W356" t="s">
        <v>87</v>
      </c>
      <c r="X356">
        <v>0</v>
      </c>
      <c r="Y356" t="s">
        <v>48</v>
      </c>
      <c r="Z356">
        <v>3</v>
      </c>
      <c r="AA356" t="s">
        <v>49</v>
      </c>
      <c r="AB356">
        <v>3.24</v>
      </c>
      <c r="AC356" t="s">
        <v>932</v>
      </c>
      <c r="AD356">
        <v>4</v>
      </c>
      <c r="AE356" s="2">
        <v>42109</v>
      </c>
      <c r="AF356">
        <v>0</v>
      </c>
      <c r="AG356">
        <v>6</v>
      </c>
    </row>
    <row r="357" spans="1:33">
      <c r="A357">
        <v>10182</v>
      </c>
      <c r="B357" t="s">
        <v>1404</v>
      </c>
      <c r="C357" t="s">
        <v>42</v>
      </c>
      <c r="D357" t="s">
        <v>42</v>
      </c>
      <c r="E357" t="s">
        <v>934</v>
      </c>
      <c r="F357" t="s">
        <v>278</v>
      </c>
      <c r="G357" t="s">
        <v>62</v>
      </c>
      <c r="H357" t="s">
        <v>514</v>
      </c>
      <c r="I357">
        <v>109157</v>
      </c>
      <c r="J357" s="3">
        <v>1309884</v>
      </c>
      <c r="K357" s="2">
        <v>31181</v>
      </c>
      <c r="L357" t="s">
        <v>51</v>
      </c>
      <c r="M357" t="s">
        <v>80</v>
      </c>
      <c r="N357">
        <v>3033</v>
      </c>
      <c r="O357" t="s">
        <v>73</v>
      </c>
      <c r="P357" t="s">
        <v>32</v>
      </c>
      <c r="Q357" t="s">
        <v>270</v>
      </c>
      <c r="R357" s="2">
        <v>44393</v>
      </c>
      <c r="S357" s="1" t="s">
        <v>35</v>
      </c>
      <c r="T357">
        <v>1</v>
      </c>
      <c r="U357" t="s">
        <v>266</v>
      </c>
      <c r="V357">
        <v>3</v>
      </c>
      <c r="W357" t="s">
        <v>45</v>
      </c>
      <c r="X357">
        <v>0</v>
      </c>
      <c r="Y357" t="s">
        <v>268</v>
      </c>
      <c r="Z357">
        <v>3</v>
      </c>
      <c r="AA357" t="s">
        <v>276</v>
      </c>
      <c r="AB357">
        <v>4.9000000000000004</v>
      </c>
      <c r="AC357" t="s">
        <v>962</v>
      </c>
      <c r="AD357">
        <v>4</v>
      </c>
      <c r="AE357" s="2">
        <v>45676</v>
      </c>
      <c r="AF357">
        <v>1</v>
      </c>
      <c r="AG357">
        <v>7</v>
      </c>
    </row>
    <row r="358" spans="1:33">
      <c r="A358">
        <v>10183</v>
      </c>
      <c r="B358" t="s">
        <v>1207</v>
      </c>
      <c r="C358" t="s">
        <v>31</v>
      </c>
      <c r="D358" t="s">
        <v>31</v>
      </c>
      <c r="E358" t="s">
        <v>934</v>
      </c>
      <c r="F358" t="s">
        <v>37</v>
      </c>
      <c r="G358" t="s">
        <v>28</v>
      </c>
      <c r="H358" t="s">
        <v>38</v>
      </c>
      <c r="I358">
        <v>62068</v>
      </c>
      <c r="J358" s="3">
        <v>744816</v>
      </c>
      <c r="K358" s="2">
        <v>31143</v>
      </c>
      <c r="L358" t="s">
        <v>51</v>
      </c>
      <c r="M358" t="s">
        <v>29</v>
      </c>
      <c r="N358">
        <v>2124</v>
      </c>
      <c r="O358" t="s">
        <v>33</v>
      </c>
      <c r="P358" t="s">
        <v>32</v>
      </c>
      <c r="Q358" t="s">
        <v>34</v>
      </c>
      <c r="R358" s="2">
        <v>42190</v>
      </c>
      <c r="S358" s="1" t="s">
        <v>35</v>
      </c>
      <c r="T358">
        <v>0</v>
      </c>
      <c r="U358" t="s">
        <v>36</v>
      </c>
      <c r="V358">
        <v>2</v>
      </c>
      <c r="W358" t="s">
        <v>36</v>
      </c>
      <c r="X358">
        <v>0</v>
      </c>
      <c r="Y358" t="s">
        <v>39</v>
      </c>
      <c r="Z358">
        <v>3</v>
      </c>
      <c r="AA358" t="s">
        <v>49</v>
      </c>
      <c r="AB358">
        <v>3.21</v>
      </c>
      <c r="AC358" t="s">
        <v>932</v>
      </c>
      <c r="AD358">
        <v>0</v>
      </c>
      <c r="AE358" s="2">
        <v>43494</v>
      </c>
      <c r="AF358">
        <v>0</v>
      </c>
      <c r="AG358">
        <v>7</v>
      </c>
    </row>
    <row r="359" spans="1:33">
      <c r="A359">
        <v>10183</v>
      </c>
      <c r="B359" t="s">
        <v>1405</v>
      </c>
      <c r="C359" t="s">
        <v>42</v>
      </c>
      <c r="D359" t="s">
        <v>42</v>
      </c>
      <c r="E359" t="s">
        <v>934</v>
      </c>
      <c r="F359" t="s">
        <v>283</v>
      </c>
      <c r="G359" t="s">
        <v>294</v>
      </c>
      <c r="H359" t="s">
        <v>515</v>
      </c>
      <c r="I359">
        <v>116508</v>
      </c>
      <c r="J359" s="3">
        <v>1398096</v>
      </c>
      <c r="K359" s="2">
        <v>31499</v>
      </c>
      <c r="L359" t="s">
        <v>51</v>
      </c>
      <c r="M359" t="s">
        <v>80</v>
      </c>
      <c r="N359">
        <v>52775</v>
      </c>
      <c r="O359" t="s">
        <v>73</v>
      </c>
      <c r="P359" t="s">
        <v>124</v>
      </c>
      <c r="Q359" t="s">
        <v>204</v>
      </c>
      <c r="R359" s="2">
        <v>44347</v>
      </c>
      <c r="S359" s="1" t="s">
        <v>35</v>
      </c>
      <c r="T359">
        <v>0</v>
      </c>
      <c r="U359" t="s">
        <v>36</v>
      </c>
      <c r="V359">
        <v>3</v>
      </c>
      <c r="W359" t="s">
        <v>36</v>
      </c>
      <c r="X359">
        <v>0</v>
      </c>
      <c r="Y359" t="s">
        <v>48</v>
      </c>
      <c r="Z359">
        <v>4</v>
      </c>
      <c r="AA359" t="s">
        <v>95</v>
      </c>
      <c r="AB359">
        <v>4.4000000000000004</v>
      </c>
      <c r="AC359" t="s">
        <v>937</v>
      </c>
      <c r="AD359">
        <v>3</v>
      </c>
      <c r="AE359" s="2">
        <v>45655</v>
      </c>
      <c r="AF359">
        <v>3</v>
      </c>
      <c r="AG359">
        <v>0</v>
      </c>
    </row>
    <row r="360" spans="1:33">
      <c r="A360">
        <v>10184</v>
      </c>
      <c r="B360" t="s">
        <v>1406</v>
      </c>
      <c r="C360" t="s">
        <v>31</v>
      </c>
      <c r="D360" t="s">
        <v>56</v>
      </c>
      <c r="E360" t="s">
        <v>934</v>
      </c>
      <c r="F360" t="s">
        <v>113</v>
      </c>
      <c r="G360" t="s">
        <v>28</v>
      </c>
      <c r="H360" t="s">
        <v>516</v>
      </c>
      <c r="I360">
        <v>62955</v>
      </c>
      <c r="J360" s="3">
        <v>755460</v>
      </c>
      <c r="K360" s="2">
        <v>27905</v>
      </c>
      <c r="L360" t="s">
        <v>264</v>
      </c>
      <c r="M360" t="s">
        <v>144</v>
      </c>
      <c r="N360">
        <v>9150</v>
      </c>
      <c r="O360" t="s">
        <v>73</v>
      </c>
      <c r="P360" t="s">
        <v>32</v>
      </c>
      <c r="Q360" t="s">
        <v>34</v>
      </c>
      <c r="R360" s="2">
        <v>42549</v>
      </c>
      <c r="S360" s="1" t="s">
        <v>35</v>
      </c>
      <c r="T360">
        <v>0</v>
      </c>
      <c r="U360" t="s">
        <v>36</v>
      </c>
      <c r="V360">
        <v>2</v>
      </c>
      <c r="W360" t="s">
        <v>36</v>
      </c>
      <c r="X360">
        <v>0</v>
      </c>
      <c r="Y360" t="s">
        <v>142</v>
      </c>
      <c r="Z360">
        <v>1</v>
      </c>
      <c r="AA360" t="s">
        <v>95</v>
      </c>
      <c r="AB360">
        <v>3</v>
      </c>
      <c r="AC360" t="s">
        <v>930</v>
      </c>
      <c r="AD360">
        <v>0</v>
      </c>
      <c r="AE360" s="2">
        <v>45702</v>
      </c>
      <c r="AF360">
        <v>0</v>
      </c>
      <c r="AG360">
        <v>9</v>
      </c>
    </row>
    <row r="361" spans="1:33">
      <c r="A361">
        <v>10185</v>
      </c>
      <c r="B361" t="s">
        <v>1118</v>
      </c>
      <c r="C361" t="s">
        <v>42</v>
      </c>
      <c r="D361" t="s">
        <v>42</v>
      </c>
      <c r="E361" t="s">
        <v>929</v>
      </c>
      <c r="F361" t="s">
        <v>37</v>
      </c>
      <c r="G361" t="s">
        <v>28</v>
      </c>
      <c r="H361" t="s">
        <v>61</v>
      </c>
      <c r="I361">
        <v>46664</v>
      </c>
      <c r="J361" s="3">
        <v>559968</v>
      </c>
      <c r="K361" s="2">
        <v>30403</v>
      </c>
      <c r="L361" t="s">
        <v>30</v>
      </c>
      <c r="M361" t="s">
        <v>29</v>
      </c>
      <c r="N361">
        <v>2421</v>
      </c>
      <c r="O361" t="s">
        <v>33</v>
      </c>
      <c r="P361" t="s">
        <v>32</v>
      </c>
      <c r="Q361" t="s">
        <v>34</v>
      </c>
      <c r="R361" s="2">
        <v>41365</v>
      </c>
      <c r="S361" s="1" t="s">
        <v>207</v>
      </c>
      <c r="T361">
        <v>1</v>
      </c>
      <c r="U361" t="s">
        <v>138</v>
      </c>
      <c r="V361">
        <v>5</v>
      </c>
      <c r="W361" t="s">
        <v>45</v>
      </c>
      <c r="X361">
        <v>0</v>
      </c>
      <c r="Y361" t="s">
        <v>67</v>
      </c>
      <c r="Z361">
        <v>3</v>
      </c>
      <c r="AA361" t="s">
        <v>49</v>
      </c>
      <c r="AB361">
        <v>3.18</v>
      </c>
      <c r="AC361" t="s">
        <v>932</v>
      </c>
      <c r="AD361">
        <v>0</v>
      </c>
      <c r="AE361" s="2">
        <v>42435</v>
      </c>
      <c r="AF361">
        <v>0</v>
      </c>
      <c r="AG361">
        <v>10</v>
      </c>
    </row>
    <row r="362" spans="1:33">
      <c r="A362">
        <v>10185</v>
      </c>
      <c r="B362" t="s">
        <v>1407</v>
      </c>
      <c r="C362" t="s">
        <v>42</v>
      </c>
      <c r="D362" t="s">
        <v>56</v>
      </c>
      <c r="E362" t="s">
        <v>929</v>
      </c>
      <c r="F362" t="s">
        <v>274</v>
      </c>
      <c r="G362" t="s">
        <v>269</v>
      </c>
      <c r="H362" t="s">
        <v>518</v>
      </c>
      <c r="I362">
        <v>98152</v>
      </c>
      <c r="J362" s="3">
        <v>1177824</v>
      </c>
      <c r="K362" s="2">
        <v>33523</v>
      </c>
      <c r="L362" t="s">
        <v>51</v>
      </c>
      <c r="M362" t="s">
        <v>191</v>
      </c>
      <c r="N362">
        <v>47116</v>
      </c>
      <c r="O362" t="s">
        <v>33</v>
      </c>
      <c r="P362" t="s">
        <v>124</v>
      </c>
      <c r="Q362" t="s">
        <v>270</v>
      </c>
      <c r="R362" s="2">
        <v>44642</v>
      </c>
      <c r="S362" s="1" t="s">
        <v>517</v>
      </c>
      <c r="T362">
        <v>0</v>
      </c>
      <c r="U362" t="s">
        <v>36</v>
      </c>
      <c r="V362">
        <v>2</v>
      </c>
      <c r="W362" t="s">
        <v>45</v>
      </c>
      <c r="X362">
        <v>0</v>
      </c>
      <c r="Y362" t="s">
        <v>48</v>
      </c>
      <c r="Z362">
        <v>1</v>
      </c>
      <c r="AA362" t="s">
        <v>95</v>
      </c>
      <c r="AB362">
        <v>5</v>
      </c>
      <c r="AC362" t="s">
        <v>930</v>
      </c>
      <c r="AD362">
        <v>5</v>
      </c>
      <c r="AE362" s="2">
        <v>45842</v>
      </c>
      <c r="AF362">
        <v>2</v>
      </c>
      <c r="AG362">
        <v>9</v>
      </c>
    </row>
    <row r="363" spans="1:33">
      <c r="A363">
        <v>10186</v>
      </c>
      <c r="B363" t="s">
        <v>1091</v>
      </c>
      <c r="C363" t="s">
        <v>42</v>
      </c>
      <c r="D363" t="s">
        <v>42</v>
      </c>
      <c r="E363" t="s">
        <v>934</v>
      </c>
      <c r="F363" t="s">
        <v>37</v>
      </c>
      <c r="G363" t="s">
        <v>28</v>
      </c>
      <c r="H363" t="s">
        <v>38</v>
      </c>
      <c r="I363">
        <v>52624</v>
      </c>
      <c r="J363" s="3">
        <v>631488</v>
      </c>
      <c r="K363" s="2">
        <v>29671</v>
      </c>
      <c r="L363" t="s">
        <v>51</v>
      </c>
      <c r="M363" t="s">
        <v>29</v>
      </c>
      <c r="N363">
        <v>1886</v>
      </c>
      <c r="O363" t="s">
        <v>33</v>
      </c>
      <c r="P363" t="s">
        <v>32</v>
      </c>
      <c r="Q363" t="s">
        <v>34</v>
      </c>
      <c r="R363" s="2">
        <v>40729</v>
      </c>
      <c r="S363" s="1" t="s">
        <v>197</v>
      </c>
      <c r="T363">
        <v>1</v>
      </c>
      <c r="U363" t="s">
        <v>78</v>
      </c>
      <c r="V363">
        <v>5</v>
      </c>
      <c r="W363" t="s">
        <v>45</v>
      </c>
      <c r="X363">
        <v>0</v>
      </c>
      <c r="Y363" t="s">
        <v>48</v>
      </c>
      <c r="Z363">
        <v>3</v>
      </c>
      <c r="AA363" t="s">
        <v>49</v>
      </c>
      <c r="AB363">
        <v>3.18</v>
      </c>
      <c r="AC363" t="s">
        <v>937</v>
      </c>
      <c r="AD363">
        <v>0</v>
      </c>
      <c r="AE363" s="2">
        <v>43161</v>
      </c>
      <c r="AF363">
        <v>0</v>
      </c>
      <c r="AG363">
        <v>16</v>
      </c>
    </row>
    <row r="364" spans="1:33">
      <c r="A364">
        <v>10186</v>
      </c>
      <c r="B364" t="s">
        <v>1408</v>
      </c>
      <c r="C364" t="s">
        <v>31</v>
      </c>
      <c r="D364" t="s">
        <v>42</v>
      </c>
      <c r="E364" t="s">
        <v>934</v>
      </c>
      <c r="F364" t="s">
        <v>271</v>
      </c>
      <c r="G364" t="s">
        <v>277</v>
      </c>
      <c r="H364" t="s">
        <v>520</v>
      </c>
      <c r="I364">
        <v>38760</v>
      </c>
      <c r="J364" s="3">
        <v>465120</v>
      </c>
      <c r="K364" s="2">
        <v>26740</v>
      </c>
      <c r="L364" t="s">
        <v>51</v>
      </c>
      <c r="M364" t="s">
        <v>29</v>
      </c>
      <c r="N364">
        <v>16150</v>
      </c>
      <c r="O364" t="s">
        <v>73</v>
      </c>
      <c r="P364" t="s">
        <v>124</v>
      </c>
      <c r="Q364" t="s">
        <v>160</v>
      </c>
      <c r="R364" s="2">
        <v>43499</v>
      </c>
      <c r="S364" s="1" t="s">
        <v>519</v>
      </c>
      <c r="T364">
        <v>0</v>
      </c>
      <c r="U364" t="s">
        <v>36</v>
      </c>
      <c r="V364">
        <v>3</v>
      </c>
      <c r="W364" t="s">
        <v>87</v>
      </c>
      <c r="X364">
        <v>0</v>
      </c>
      <c r="Y364" t="s">
        <v>48</v>
      </c>
      <c r="Z364">
        <v>1</v>
      </c>
      <c r="AA364" t="s">
        <v>95</v>
      </c>
      <c r="AB364">
        <v>2.8</v>
      </c>
      <c r="AC364" t="s">
        <v>937</v>
      </c>
      <c r="AD364">
        <v>5</v>
      </c>
      <c r="AE364" s="2">
        <v>45484</v>
      </c>
      <c r="AF364">
        <v>0</v>
      </c>
      <c r="AG364">
        <v>1</v>
      </c>
    </row>
    <row r="365" spans="1:33">
      <c r="A365">
        <v>10187</v>
      </c>
      <c r="B365" t="s">
        <v>1143</v>
      </c>
      <c r="C365" t="s">
        <v>31</v>
      </c>
      <c r="D365" t="s">
        <v>56</v>
      </c>
      <c r="E365" t="s">
        <v>934</v>
      </c>
      <c r="F365" t="s">
        <v>37</v>
      </c>
      <c r="G365" t="s">
        <v>28</v>
      </c>
      <c r="H365" t="s">
        <v>54</v>
      </c>
      <c r="I365">
        <v>46799</v>
      </c>
      <c r="J365" s="3">
        <v>561588</v>
      </c>
      <c r="K365" s="2">
        <v>30970</v>
      </c>
      <c r="L365" t="s">
        <v>51</v>
      </c>
      <c r="M365" t="s">
        <v>29</v>
      </c>
      <c r="N365">
        <v>1742</v>
      </c>
      <c r="O365" t="s">
        <v>33</v>
      </c>
      <c r="P365" t="s">
        <v>88</v>
      </c>
      <c r="Q365" t="s">
        <v>92</v>
      </c>
      <c r="R365" s="2">
        <v>40679</v>
      </c>
      <c r="S365" s="1" t="s">
        <v>223</v>
      </c>
      <c r="T365">
        <v>1</v>
      </c>
      <c r="U365" t="s">
        <v>75</v>
      </c>
      <c r="V365">
        <v>5</v>
      </c>
      <c r="W365" t="s">
        <v>45</v>
      </c>
      <c r="X365">
        <v>0</v>
      </c>
      <c r="Y365" t="s">
        <v>60</v>
      </c>
      <c r="Z365">
        <v>3</v>
      </c>
      <c r="AA365" t="s">
        <v>49</v>
      </c>
      <c r="AB365">
        <v>3.17</v>
      </c>
      <c r="AC365" t="s">
        <v>937</v>
      </c>
      <c r="AD365">
        <v>0</v>
      </c>
      <c r="AE365" s="2">
        <v>43192</v>
      </c>
      <c r="AF365">
        <v>0</v>
      </c>
      <c r="AG365">
        <v>14</v>
      </c>
    </row>
    <row r="366" spans="1:33">
      <c r="A366">
        <v>10187</v>
      </c>
      <c r="B366" t="s">
        <v>1409</v>
      </c>
      <c r="C366" t="s">
        <v>42</v>
      </c>
      <c r="D366" t="s">
        <v>31</v>
      </c>
      <c r="E366" t="s">
        <v>929</v>
      </c>
      <c r="F366" t="s">
        <v>274</v>
      </c>
      <c r="G366" t="s">
        <v>28</v>
      </c>
      <c r="H366" t="s">
        <v>521</v>
      </c>
      <c r="I366">
        <v>103294</v>
      </c>
      <c r="J366" s="3">
        <v>1239528</v>
      </c>
      <c r="K366" s="2">
        <v>30267</v>
      </c>
      <c r="L366" t="s">
        <v>264</v>
      </c>
      <c r="M366" t="s">
        <v>29</v>
      </c>
      <c r="N366">
        <v>54067</v>
      </c>
      <c r="O366" t="s">
        <v>33</v>
      </c>
      <c r="P366" t="s">
        <v>124</v>
      </c>
      <c r="Q366" t="s">
        <v>34</v>
      </c>
      <c r="R366" s="2">
        <v>45025</v>
      </c>
      <c r="S366" s="1" t="s">
        <v>35</v>
      </c>
      <c r="T366">
        <v>0</v>
      </c>
      <c r="U366" t="s">
        <v>36</v>
      </c>
      <c r="V366">
        <v>1</v>
      </c>
      <c r="W366" t="s">
        <v>45</v>
      </c>
      <c r="X366">
        <v>0</v>
      </c>
      <c r="Y366" t="s">
        <v>39</v>
      </c>
      <c r="Z366">
        <v>2</v>
      </c>
      <c r="AA366" t="s">
        <v>49</v>
      </c>
      <c r="AB366">
        <v>4</v>
      </c>
      <c r="AC366" t="s">
        <v>930</v>
      </c>
      <c r="AD366">
        <v>0</v>
      </c>
      <c r="AE366" s="2">
        <v>45640</v>
      </c>
      <c r="AF366">
        <v>1</v>
      </c>
      <c r="AG366">
        <v>2</v>
      </c>
    </row>
    <row r="367" spans="1:33">
      <c r="A367">
        <v>10188</v>
      </c>
      <c r="B367" t="s">
        <v>965</v>
      </c>
      <c r="C367" t="s">
        <v>42</v>
      </c>
      <c r="D367" t="s">
        <v>42</v>
      </c>
      <c r="E367" t="s">
        <v>934</v>
      </c>
      <c r="F367" t="s">
        <v>113</v>
      </c>
      <c r="G367" t="s">
        <v>110</v>
      </c>
      <c r="H367" t="s">
        <v>114</v>
      </c>
      <c r="I367">
        <v>74326</v>
      </c>
      <c r="J367" s="3">
        <v>891912</v>
      </c>
      <c r="K367" s="2">
        <v>23529</v>
      </c>
      <c r="L367" t="s">
        <v>51</v>
      </c>
      <c r="M367" t="s">
        <v>111</v>
      </c>
      <c r="N367">
        <v>21851</v>
      </c>
      <c r="O367" t="s">
        <v>33</v>
      </c>
      <c r="P367" t="s">
        <v>88</v>
      </c>
      <c r="Q367" t="s">
        <v>68</v>
      </c>
      <c r="R367" s="2">
        <v>40770</v>
      </c>
      <c r="S367" s="1" t="s">
        <v>112</v>
      </c>
      <c r="T367">
        <v>1</v>
      </c>
      <c r="U367" t="s">
        <v>75</v>
      </c>
      <c r="V367">
        <v>5</v>
      </c>
      <c r="W367" t="s">
        <v>45</v>
      </c>
      <c r="X367">
        <v>0</v>
      </c>
      <c r="Y367" t="s">
        <v>60</v>
      </c>
      <c r="Z367">
        <v>3</v>
      </c>
      <c r="AA367" t="s">
        <v>49</v>
      </c>
      <c r="AB367">
        <v>3.14</v>
      </c>
      <c r="AC367" t="s">
        <v>930</v>
      </c>
      <c r="AD367">
        <v>0</v>
      </c>
      <c r="AE367" s="2">
        <v>41315</v>
      </c>
      <c r="AF367">
        <v>1</v>
      </c>
      <c r="AG367">
        <v>19</v>
      </c>
    </row>
    <row r="368" spans="1:33">
      <c r="A368">
        <v>10188</v>
      </c>
      <c r="B368" t="s">
        <v>1410</v>
      </c>
      <c r="C368" t="s">
        <v>31</v>
      </c>
      <c r="D368" t="s">
        <v>56</v>
      </c>
      <c r="E368" t="s">
        <v>934</v>
      </c>
      <c r="F368" t="s">
        <v>113</v>
      </c>
      <c r="G368" t="s">
        <v>294</v>
      </c>
      <c r="H368" t="s">
        <v>523</v>
      </c>
      <c r="I368">
        <v>102598</v>
      </c>
      <c r="J368" s="3">
        <v>1231176</v>
      </c>
      <c r="K368" s="2">
        <v>29221</v>
      </c>
      <c r="L368" t="s">
        <v>264</v>
      </c>
      <c r="M368" t="s">
        <v>191</v>
      </c>
      <c r="N368">
        <v>11852</v>
      </c>
      <c r="O368" t="s">
        <v>73</v>
      </c>
      <c r="P368" t="s">
        <v>32</v>
      </c>
      <c r="Q368" t="s">
        <v>34</v>
      </c>
      <c r="R368" s="2">
        <v>44505</v>
      </c>
      <c r="S368" s="1" t="s">
        <v>522</v>
      </c>
      <c r="T368">
        <v>1</v>
      </c>
      <c r="U368" t="s">
        <v>266</v>
      </c>
      <c r="V368">
        <v>1</v>
      </c>
      <c r="W368" t="s">
        <v>87</v>
      </c>
      <c r="X368">
        <v>0</v>
      </c>
      <c r="Y368" t="s">
        <v>280</v>
      </c>
      <c r="Z368">
        <v>1</v>
      </c>
      <c r="AA368" t="s">
        <v>49</v>
      </c>
      <c r="AB368">
        <v>3.1</v>
      </c>
      <c r="AC368" t="s">
        <v>962</v>
      </c>
      <c r="AD368">
        <v>1</v>
      </c>
      <c r="AE368" s="2">
        <v>45715</v>
      </c>
      <c r="AF368">
        <v>2</v>
      </c>
      <c r="AG368">
        <v>10</v>
      </c>
    </row>
    <row r="369" spans="1:33">
      <c r="A369">
        <v>10189</v>
      </c>
      <c r="B369" t="s">
        <v>1017</v>
      </c>
      <c r="C369" t="s">
        <v>42</v>
      </c>
      <c r="D369" t="s">
        <v>42</v>
      </c>
      <c r="E369" t="s">
        <v>934</v>
      </c>
      <c r="F369" t="s">
        <v>37</v>
      </c>
      <c r="G369" t="s">
        <v>28</v>
      </c>
      <c r="H369" t="s">
        <v>59</v>
      </c>
      <c r="I369">
        <v>57748</v>
      </c>
      <c r="J369" s="3">
        <v>692976</v>
      </c>
      <c r="K369" s="2">
        <v>20193</v>
      </c>
      <c r="L369" t="s">
        <v>51</v>
      </c>
      <c r="M369" t="s">
        <v>29</v>
      </c>
      <c r="N369">
        <v>2176</v>
      </c>
      <c r="O369" t="s">
        <v>33</v>
      </c>
      <c r="P369" t="s">
        <v>32</v>
      </c>
      <c r="Q369" t="s">
        <v>34</v>
      </c>
      <c r="R369" s="2">
        <v>40854</v>
      </c>
      <c r="S369" s="1" t="s">
        <v>151</v>
      </c>
      <c r="T369">
        <v>1</v>
      </c>
      <c r="U369" t="s">
        <v>146</v>
      </c>
      <c r="V369">
        <v>5</v>
      </c>
      <c r="W369" t="s">
        <v>45</v>
      </c>
      <c r="X369">
        <v>0</v>
      </c>
      <c r="Y369" t="s">
        <v>60</v>
      </c>
      <c r="Z369">
        <v>3</v>
      </c>
      <c r="AA369" t="s">
        <v>49</v>
      </c>
      <c r="AB369">
        <v>3.13</v>
      </c>
      <c r="AC369" t="s">
        <v>932</v>
      </c>
      <c r="AD369">
        <v>0</v>
      </c>
      <c r="AE369" s="2">
        <v>42404</v>
      </c>
      <c r="AF369">
        <v>0</v>
      </c>
      <c r="AG369">
        <v>16</v>
      </c>
    </row>
    <row r="370" spans="1:33">
      <c r="A370">
        <v>10189</v>
      </c>
      <c r="B370" t="s">
        <v>1411</v>
      </c>
      <c r="C370" t="s">
        <v>31</v>
      </c>
      <c r="D370" t="s">
        <v>42</v>
      </c>
      <c r="E370" t="s">
        <v>929</v>
      </c>
      <c r="F370" t="s">
        <v>113</v>
      </c>
      <c r="G370" t="s">
        <v>62</v>
      </c>
      <c r="H370" t="s">
        <v>524</v>
      </c>
      <c r="I370">
        <v>89156</v>
      </c>
      <c r="J370" s="3">
        <v>1069872</v>
      </c>
      <c r="K370" s="2">
        <v>23779</v>
      </c>
      <c r="L370" t="s">
        <v>51</v>
      </c>
      <c r="M370" t="s">
        <v>210</v>
      </c>
      <c r="N370">
        <v>47888</v>
      </c>
      <c r="O370" t="s">
        <v>33</v>
      </c>
      <c r="P370" t="s">
        <v>124</v>
      </c>
      <c r="Q370" t="s">
        <v>92</v>
      </c>
      <c r="R370" s="2">
        <v>43602</v>
      </c>
      <c r="S370" s="1" t="s">
        <v>35</v>
      </c>
      <c r="T370">
        <v>0</v>
      </c>
      <c r="U370" t="s">
        <v>36</v>
      </c>
      <c r="V370">
        <v>3</v>
      </c>
      <c r="W370" t="s">
        <v>45</v>
      </c>
      <c r="X370">
        <v>0</v>
      </c>
      <c r="Y370" t="s">
        <v>268</v>
      </c>
      <c r="Z370">
        <v>2</v>
      </c>
      <c r="AA370" t="s">
        <v>276</v>
      </c>
      <c r="AB370">
        <v>3.2</v>
      </c>
      <c r="AC370" t="s">
        <v>937</v>
      </c>
      <c r="AD370">
        <v>2</v>
      </c>
      <c r="AE370" s="2">
        <v>45869</v>
      </c>
      <c r="AF370">
        <v>0</v>
      </c>
      <c r="AG370">
        <v>4</v>
      </c>
    </row>
    <row r="371" spans="1:33">
      <c r="A371">
        <v>10190</v>
      </c>
      <c r="B371" t="s">
        <v>1208</v>
      </c>
      <c r="C371" t="s">
        <v>31</v>
      </c>
      <c r="D371" t="s">
        <v>31</v>
      </c>
      <c r="E371" t="s">
        <v>929</v>
      </c>
      <c r="F371" t="s">
        <v>37</v>
      </c>
      <c r="G371" t="s">
        <v>50</v>
      </c>
      <c r="H371" t="s">
        <v>66</v>
      </c>
      <c r="I371">
        <v>66541</v>
      </c>
      <c r="J371" s="3">
        <v>798492</v>
      </c>
      <c r="K371" s="2">
        <v>27800</v>
      </c>
      <c r="L371" t="s">
        <v>30</v>
      </c>
      <c r="M371" t="s">
        <v>29</v>
      </c>
      <c r="N371">
        <v>2459</v>
      </c>
      <c r="O371" t="s">
        <v>33</v>
      </c>
      <c r="P371" t="s">
        <v>32</v>
      </c>
      <c r="Q371" t="s">
        <v>68</v>
      </c>
      <c r="R371" s="2">
        <v>41869</v>
      </c>
      <c r="S371" s="1" t="s">
        <v>35</v>
      </c>
      <c r="T371">
        <v>0</v>
      </c>
      <c r="U371" t="s">
        <v>36</v>
      </c>
      <c r="V371">
        <v>1</v>
      </c>
      <c r="W371" t="s">
        <v>36</v>
      </c>
      <c r="X371">
        <v>0</v>
      </c>
      <c r="Y371" t="s">
        <v>67</v>
      </c>
      <c r="Z371">
        <v>3</v>
      </c>
      <c r="AA371" t="s">
        <v>49</v>
      </c>
      <c r="AB371">
        <v>3.11</v>
      </c>
      <c r="AC371" t="s">
        <v>930</v>
      </c>
      <c r="AD371">
        <v>0</v>
      </c>
      <c r="AE371" s="2">
        <v>43508</v>
      </c>
      <c r="AF371">
        <v>0</v>
      </c>
      <c r="AG371">
        <v>4</v>
      </c>
    </row>
    <row r="372" spans="1:33">
      <c r="A372">
        <v>10190</v>
      </c>
      <c r="B372" t="s">
        <v>1412</v>
      </c>
      <c r="C372" t="s">
        <v>42</v>
      </c>
      <c r="D372" t="s">
        <v>56</v>
      </c>
      <c r="E372" t="s">
        <v>934</v>
      </c>
      <c r="F372" t="s">
        <v>278</v>
      </c>
      <c r="G372" t="s">
        <v>294</v>
      </c>
      <c r="H372" t="s">
        <v>525</v>
      </c>
      <c r="I372">
        <v>58580</v>
      </c>
      <c r="J372" s="3">
        <v>702960</v>
      </c>
      <c r="K372" s="2">
        <v>23938</v>
      </c>
      <c r="L372" t="s">
        <v>264</v>
      </c>
      <c r="M372" t="s">
        <v>144</v>
      </c>
      <c r="N372">
        <v>88412</v>
      </c>
      <c r="O372" t="s">
        <v>73</v>
      </c>
      <c r="P372" t="s">
        <v>32</v>
      </c>
      <c r="Q372" t="s">
        <v>92</v>
      </c>
      <c r="R372" s="2">
        <v>45279</v>
      </c>
      <c r="S372" s="1" t="s">
        <v>35</v>
      </c>
      <c r="T372">
        <v>0</v>
      </c>
      <c r="U372" t="s">
        <v>36</v>
      </c>
      <c r="V372">
        <v>1</v>
      </c>
      <c r="W372" t="s">
        <v>36</v>
      </c>
      <c r="X372">
        <v>1</v>
      </c>
      <c r="Y372" t="s">
        <v>142</v>
      </c>
      <c r="Z372">
        <v>4</v>
      </c>
      <c r="AA372" t="s">
        <v>95</v>
      </c>
      <c r="AB372">
        <v>3.8</v>
      </c>
      <c r="AC372" t="s">
        <v>962</v>
      </c>
      <c r="AD372">
        <v>4</v>
      </c>
      <c r="AE372" s="2">
        <v>45963</v>
      </c>
      <c r="AF372">
        <v>4</v>
      </c>
      <c r="AG372">
        <v>9</v>
      </c>
    </row>
    <row r="373" spans="1:33">
      <c r="A373">
        <v>10191</v>
      </c>
      <c r="B373" t="s">
        <v>1098</v>
      </c>
      <c r="C373" t="s">
        <v>31</v>
      </c>
      <c r="D373" t="s">
        <v>65</v>
      </c>
      <c r="E373" t="s">
        <v>929</v>
      </c>
      <c r="F373" t="s">
        <v>37</v>
      </c>
      <c r="G373" t="s">
        <v>28</v>
      </c>
      <c r="H373" t="s">
        <v>61</v>
      </c>
      <c r="I373">
        <v>52788</v>
      </c>
      <c r="J373" s="3">
        <v>633456</v>
      </c>
      <c r="K373" s="2">
        <v>26612</v>
      </c>
      <c r="L373" t="s">
        <v>30</v>
      </c>
      <c r="M373" t="s">
        <v>29</v>
      </c>
      <c r="N373">
        <v>1938</v>
      </c>
      <c r="O373" t="s">
        <v>33</v>
      </c>
      <c r="P373" t="s">
        <v>32</v>
      </c>
      <c r="Q373" t="s">
        <v>34</v>
      </c>
      <c r="R373" s="2">
        <v>41176</v>
      </c>
      <c r="S373" s="1" t="s">
        <v>200</v>
      </c>
      <c r="T373">
        <v>1</v>
      </c>
      <c r="U373" t="s">
        <v>53</v>
      </c>
      <c r="V373">
        <v>5</v>
      </c>
      <c r="W373" t="s">
        <v>45</v>
      </c>
      <c r="X373">
        <v>0</v>
      </c>
      <c r="Y373" t="s">
        <v>48</v>
      </c>
      <c r="Z373">
        <v>3</v>
      </c>
      <c r="AA373" t="s">
        <v>49</v>
      </c>
      <c r="AB373">
        <v>3.08</v>
      </c>
      <c r="AC373" t="s">
        <v>937</v>
      </c>
      <c r="AD373">
        <v>0</v>
      </c>
      <c r="AE373" s="2">
        <v>42826</v>
      </c>
      <c r="AF373">
        <v>0</v>
      </c>
      <c r="AG373">
        <v>18</v>
      </c>
    </row>
    <row r="374" spans="1:33">
      <c r="A374">
        <v>10191</v>
      </c>
      <c r="B374" t="s">
        <v>1413</v>
      </c>
      <c r="C374" t="s">
        <v>31</v>
      </c>
      <c r="D374" t="s">
        <v>42</v>
      </c>
      <c r="E374" t="s">
        <v>929</v>
      </c>
      <c r="F374" t="s">
        <v>113</v>
      </c>
      <c r="G374" t="s">
        <v>294</v>
      </c>
      <c r="H374" t="s">
        <v>526</v>
      </c>
      <c r="I374">
        <v>88757</v>
      </c>
      <c r="J374" s="3">
        <v>1065084</v>
      </c>
      <c r="K374" s="2">
        <v>29235</v>
      </c>
      <c r="L374" t="s">
        <v>51</v>
      </c>
      <c r="M374" t="s">
        <v>210</v>
      </c>
      <c r="N374">
        <v>1651</v>
      </c>
      <c r="O374" t="s">
        <v>33</v>
      </c>
      <c r="P374" t="s">
        <v>32</v>
      </c>
      <c r="Q374" t="s">
        <v>270</v>
      </c>
      <c r="R374" s="2">
        <v>42389</v>
      </c>
      <c r="S374" s="1" t="s">
        <v>35</v>
      </c>
      <c r="T374">
        <v>1</v>
      </c>
      <c r="U374" t="s">
        <v>290</v>
      </c>
      <c r="V374">
        <v>3</v>
      </c>
      <c r="W374" t="s">
        <v>45</v>
      </c>
      <c r="X374">
        <v>1</v>
      </c>
      <c r="Y374" t="s">
        <v>39</v>
      </c>
      <c r="Z374">
        <v>1</v>
      </c>
      <c r="AA374" t="s">
        <v>95</v>
      </c>
      <c r="AB374">
        <v>4.0999999999999996</v>
      </c>
      <c r="AC374" t="s">
        <v>962</v>
      </c>
      <c r="AD374">
        <v>3</v>
      </c>
      <c r="AE374" s="2">
        <v>45674</v>
      </c>
      <c r="AF374">
        <v>3</v>
      </c>
      <c r="AG374">
        <v>9</v>
      </c>
    </row>
    <row r="375" spans="1:33">
      <c r="A375">
        <v>10192</v>
      </c>
      <c r="B375" t="s">
        <v>1073</v>
      </c>
      <c r="C375" t="s">
        <v>31</v>
      </c>
      <c r="D375" t="s">
        <v>31</v>
      </c>
      <c r="E375" t="s">
        <v>929</v>
      </c>
      <c r="F375" t="s">
        <v>37</v>
      </c>
      <c r="G375" t="s">
        <v>28</v>
      </c>
      <c r="H375" t="s">
        <v>38</v>
      </c>
      <c r="I375">
        <v>50482</v>
      </c>
      <c r="J375" s="3">
        <v>605784</v>
      </c>
      <c r="K375" s="2">
        <v>27778</v>
      </c>
      <c r="L375" t="s">
        <v>30</v>
      </c>
      <c r="M375" t="s">
        <v>29</v>
      </c>
      <c r="N375">
        <v>1887</v>
      </c>
      <c r="O375" t="s">
        <v>33</v>
      </c>
      <c r="P375" t="s">
        <v>32</v>
      </c>
      <c r="Q375" t="s">
        <v>34</v>
      </c>
      <c r="R375" s="2">
        <v>41547</v>
      </c>
      <c r="S375" s="1" t="s">
        <v>35</v>
      </c>
      <c r="T375">
        <v>0</v>
      </c>
      <c r="U375" t="s">
        <v>36</v>
      </c>
      <c r="V375">
        <v>1</v>
      </c>
      <c r="W375" t="s">
        <v>36</v>
      </c>
      <c r="X375">
        <v>0</v>
      </c>
      <c r="Y375" t="s">
        <v>48</v>
      </c>
      <c r="Z375">
        <v>3</v>
      </c>
      <c r="AA375" t="s">
        <v>49</v>
      </c>
      <c r="AB375">
        <v>3.07</v>
      </c>
      <c r="AC375" t="s">
        <v>937</v>
      </c>
      <c r="AD375">
        <v>0</v>
      </c>
      <c r="AE375" s="2">
        <v>43488</v>
      </c>
      <c r="AF375">
        <v>0</v>
      </c>
      <c r="AG375">
        <v>10</v>
      </c>
    </row>
    <row r="376" spans="1:33">
      <c r="A376">
        <v>10192</v>
      </c>
      <c r="B376" t="s">
        <v>1414</v>
      </c>
      <c r="C376" t="s">
        <v>42</v>
      </c>
      <c r="D376" t="s">
        <v>42</v>
      </c>
      <c r="E376" t="s">
        <v>934</v>
      </c>
      <c r="F376" t="s">
        <v>113</v>
      </c>
      <c r="G376" t="s">
        <v>277</v>
      </c>
      <c r="H376" t="s">
        <v>528</v>
      </c>
      <c r="I376">
        <v>109293</v>
      </c>
      <c r="J376" s="3">
        <v>1311516</v>
      </c>
      <c r="K376" s="2">
        <v>24681</v>
      </c>
      <c r="L376" t="s">
        <v>51</v>
      </c>
      <c r="M376" t="s">
        <v>144</v>
      </c>
      <c r="N376">
        <v>68779</v>
      </c>
      <c r="O376" t="s">
        <v>73</v>
      </c>
      <c r="P376" t="s">
        <v>32</v>
      </c>
      <c r="Q376" t="s">
        <v>204</v>
      </c>
      <c r="R376" s="2">
        <v>44069</v>
      </c>
      <c r="S376" s="1" t="s">
        <v>527</v>
      </c>
      <c r="T376">
        <v>0</v>
      </c>
      <c r="U376" t="s">
        <v>36</v>
      </c>
      <c r="V376">
        <v>2</v>
      </c>
      <c r="W376" t="s">
        <v>45</v>
      </c>
      <c r="X376">
        <v>1</v>
      </c>
      <c r="Y376" t="s">
        <v>39</v>
      </c>
      <c r="Z376">
        <v>1</v>
      </c>
      <c r="AA376" t="s">
        <v>276</v>
      </c>
      <c r="AB376">
        <v>3.6</v>
      </c>
      <c r="AC376" t="s">
        <v>932</v>
      </c>
      <c r="AD376">
        <v>5</v>
      </c>
      <c r="AE376" s="2">
        <v>45752</v>
      </c>
      <c r="AF376">
        <v>2</v>
      </c>
      <c r="AG376">
        <v>6</v>
      </c>
    </row>
    <row r="377" spans="1:33">
      <c r="A377">
        <v>10193</v>
      </c>
      <c r="B377" t="s">
        <v>988</v>
      </c>
      <c r="C377" t="s">
        <v>42</v>
      </c>
      <c r="D377" t="s">
        <v>42</v>
      </c>
      <c r="E377" t="s">
        <v>929</v>
      </c>
      <c r="F377" t="s">
        <v>46</v>
      </c>
      <c r="G377" t="s">
        <v>79</v>
      </c>
      <c r="H377" t="s">
        <v>47</v>
      </c>
      <c r="I377">
        <v>83552</v>
      </c>
      <c r="J377" s="3">
        <v>1002624</v>
      </c>
      <c r="K377" s="2">
        <v>31650</v>
      </c>
      <c r="L377" t="s">
        <v>30</v>
      </c>
      <c r="M377" t="s">
        <v>29</v>
      </c>
      <c r="N377">
        <v>1810</v>
      </c>
      <c r="O377" t="s">
        <v>33</v>
      </c>
      <c r="P377" t="s">
        <v>32</v>
      </c>
      <c r="Q377" t="s">
        <v>34</v>
      </c>
      <c r="R377" s="2">
        <v>42093</v>
      </c>
      <c r="S377" s="1" t="s">
        <v>35</v>
      </c>
      <c r="T377">
        <v>0</v>
      </c>
      <c r="U377" t="s">
        <v>36</v>
      </c>
      <c r="V377">
        <v>1</v>
      </c>
      <c r="W377" t="s">
        <v>36</v>
      </c>
      <c r="X377">
        <v>0</v>
      </c>
      <c r="Y377" t="s">
        <v>48</v>
      </c>
      <c r="Z377">
        <v>3</v>
      </c>
      <c r="AA377" t="s">
        <v>49</v>
      </c>
      <c r="AB377">
        <v>3.04</v>
      </c>
      <c r="AC377" t="s">
        <v>932</v>
      </c>
      <c r="AD377">
        <v>6</v>
      </c>
      <c r="AE377" s="2">
        <v>43487</v>
      </c>
      <c r="AF377">
        <v>0</v>
      </c>
      <c r="AG377">
        <v>2</v>
      </c>
    </row>
    <row r="378" spans="1:33">
      <c r="A378">
        <v>10193</v>
      </c>
      <c r="B378" t="s">
        <v>1415</v>
      </c>
      <c r="C378" t="s">
        <v>31</v>
      </c>
      <c r="D378" t="s">
        <v>56</v>
      </c>
      <c r="E378" t="s">
        <v>929</v>
      </c>
      <c r="F378" t="s">
        <v>271</v>
      </c>
      <c r="G378" t="s">
        <v>277</v>
      </c>
      <c r="H378" t="s">
        <v>529</v>
      </c>
      <c r="I378">
        <v>102478</v>
      </c>
      <c r="J378" s="3">
        <v>1229736</v>
      </c>
      <c r="K378" s="2">
        <v>29984</v>
      </c>
      <c r="L378" t="s">
        <v>51</v>
      </c>
      <c r="M378" t="s">
        <v>191</v>
      </c>
      <c r="N378">
        <v>9032</v>
      </c>
      <c r="O378" t="s">
        <v>33</v>
      </c>
      <c r="P378" t="s">
        <v>32</v>
      </c>
      <c r="Q378" t="s">
        <v>34</v>
      </c>
      <c r="R378" s="2">
        <v>44932</v>
      </c>
      <c r="S378" s="1" t="s">
        <v>35</v>
      </c>
      <c r="T378">
        <v>0</v>
      </c>
      <c r="U378" t="s">
        <v>36</v>
      </c>
      <c r="V378">
        <v>3</v>
      </c>
      <c r="W378" t="s">
        <v>45</v>
      </c>
      <c r="X378">
        <v>1</v>
      </c>
      <c r="Y378" t="s">
        <v>268</v>
      </c>
      <c r="Z378">
        <v>1</v>
      </c>
      <c r="AA378" t="s">
        <v>276</v>
      </c>
      <c r="AB378">
        <v>2.7</v>
      </c>
      <c r="AC378" t="s">
        <v>962</v>
      </c>
      <c r="AD378">
        <v>1</v>
      </c>
      <c r="AE378" s="2">
        <v>45818</v>
      </c>
      <c r="AF378">
        <v>4</v>
      </c>
      <c r="AG378">
        <v>10</v>
      </c>
    </row>
    <row r="379" spans="1:33">
      <c r="A379">
        <v>10194</v>
      </c>
      <c r="B379" t="s">
        <v>939</v>
      </c>
      <c r="C379" t="s">
        <v>31</v>
      </c>
      <c r="D379" t="s">
        <v>31</v>
      </c>
      <c r="E379" t="s">
        <v>934</v>
      </c>
      <c r="F379" t="s">
        <v>63</v>
      </c>
      <c r="G379" t="s">
        <v>62</v>
      </c>
      <c r="H379" t="s">
        <v>64</v>
      </c>
      <c r="I379">
        <v>95660</v>
      </c>
      <c r="J379" s="3">
        <v>1147920</v>
      </c>
      <c r="K379" s="2">
        <v>28999</v>
      </c>
      <c r="L379" t="s">
        <v>51</v>
      </c>
      <c r="M379" t="s">
        <v>29</v>
      </c>
      <c r="N379">
        <v>2110</v>
      </c>
      <c r="O379" t="s">
        <v>33</v>
      </c>
      <c r="P379" t="s">
        <v>32</v>
      </c>
      <c r="Q379" t="s">
        <v>34</v>
      </c>
      <c r="R379" s="2">
        <v>41953</v>
      </c>
      <c r="S379" s="1" t="s">
        <v>35</v>
      </c>
      <c r="T379">
        <v>0</v>
      </c>
      <c r="U379" t="s">
        <v>36</v>
      </c>
      <c r="V379">
        <v>1</v>
      </c>
      <c r="W379" t="s">
        <v>36</v>
      </c>
      <c r="X379">
        <v>0</v>
      </c>
      <c r="Y379" t="s">
        <v>39</v>
      </c>
      <c r="Z379">
        <v>3</v>
      </c>
      <c r="AA379" t="s">
        <v>49</v>
      </c>
      <c r="AB379">
        <v>3.04</v>
      </c>
      <c r="AC379" t="s">
        <v>932</v>
      </c>
      <c r="AD379">
        <v>4</v>
      </c>
      <c r="AE379" s="2">
        <v>43467</v>
      </c>
      <c r="AF379">
        <v>0</v>
      </c>
      <c r="AG379">
        <v>19</v>
      </c>
    </row>
    <row r="380" spans="1:33">
      <c r="A380">
        <v>10194</v>
      </c>
      <c r="B380" t="s">
        <v>1416</v>
      </c>
      <c r="C380" t="s">
        <v>31</v>
      </c>
      <c r="D380" t="s">
        <v>42</v>
      </c>
      <c r="E380" t="s">
        <v>929</v>
      </c>
      <c r="F380" t="s">
        <v>278</v>
      </c>
      <c r="G380" t="s">
        <v>62</v>
      </c>
      <c r="H380" t="s">
        <v>530</v>
      </c>
      <c r="I380">
        <v>37532</v>
      </c>
      <c r="J380" s="3">
        <v>450384</v>
      </c>
      <c r="K380" s="2">
        <v>26963</v>
      </c>
      <c r="L380" t="s">
        <v>51</v>
      </c>
      <c r="M380" t="s">
        <v>191</v>
      </c>
      <c r="N380">
        <v>2012</v>
      </c>
      <c r="O380" t="s">
        <v>73</v>
      </c>
      <c r="P380" t="s">
        <v>124</v>
      </c>
      <c r="Q380" t="s">
        <v>160</v>
      </c>
      <c r="R380" s="2">
        <v>44782</v>
      </c>
      <c r="S380" s="1" t="s">
        <v>35</v>
      </c>
      <c r="T380">
        <v>0</v>
      </c>
      <c r="U380" t="s">
        <v>36</v>
      </c>
      <c r="V380">
        <v>1</v>
      </c>
      <c r="W380" t="s">
        <v>45</v>
      </c>
      <c r="X380">
        <v>1</v>
      </c>
      <c r="Y380" t="s">
        <v>39</v>
      </c>
      <c r="Z380">
        <v>4</v>
      </c>
      <c r="AA380" t="s">
        <v>136</v>
      </c>
      <c r="AB380">
        <v>4.7</v>
      </c>
      <c r="AC380" t="s">
        <v>937</v>
      </c>
      <c r="AD380">
        <v>3</v>
      </c>
      <c r="AE380" s="2">
        <v>45729</v>
      </c>
      <c r="AF380">
        <v>2</v>
      </c>
      <c r="AG380">
        <v>9</v>
      </c>
    </row>
    <row r="381" spans="1:33">
      <c r="A381">
        <v>10195</v>
      </c>
      <c r="B381" t="s">
        <v>1056</v>
      </c>
      <c r="C381" t="s">
        <v>42</v>
      </c>
      <c r="D381" t="s">
        <v>42</v>
      </c>
      <c r="E381" t="s">
        <v>934</v>
      </c>
      <c r="F381" t="s">
        <v>37</v>
      </c>
      <c r="G381" t="s">
        <v>50</v>
      </c>
      <c r="H381" t="s">
        <v>38</v>
      </c>
      <c r="I381">
        <v>63478</v>
      </c>
      <c r="J381" s="3">
        <v>761736</v>
      </c>
      <c r="K381" s="2">
        <v>30728</v>
      </c>
      <c r="L381" t="s">
        <v>51</v>
      </c>
      <c r="M381" t="s">
        <v>29</v>
      </c>
      <c r="N381">
        <v>2445</v>
      </c>
      <c r="O381" t="s">
        <v>33</v>
      </c>
      <c r="P381" t="s">
        <v>124</v>
      </c>
      <c r="Q381" t="s">
        <v>34</v>
      </c>
      <c r="R381" s="2">
        <v>40770</v>
      </c>
      <c r="S381" s="1" t="s">
        <v>175</v>
      </c>
      <c r="T381">
        <v>1</v>
      </c>
      <c r="U381" t="s">
        <v>123</v>
      </c>
      <c r="V381">
        <v>5</v>
      </c>
      <c r="W381" t="s">
        <v>45</v>
      </c>
      <c r="X381">
        <v>0</v>
      </c>
      <c r="Y381" t="s">
        <v>48</v>
      </c>
      <c r="Z381">
        <v>3</v>
      </c>
      <c r="AA381" t="s">
        <v>49</v>
      </c>
      <c r="AB381">
        <v>3.03</v>
      </c>
      <c r="AC381" t="s">
        <v>930</v>
      </c>
      <c r="AD381">
        <v>0</v>
      </c>
      <c r="AE381" s="2">
        <v>40973</v>
      </c>
      <c r="AF381">
        <v>0</v>
      </c>
      <c r="AG381">
        <v>16</v>
      </c>
    </row>
    <row r="382" spans="1:33">
      <c r="A382">
        <v>10195</v>
      </c>
      <c r="B382" t="s">
        <v>1417</v>
      </c>
      <c r="C382" t="s">
        <v>31</v>
      </c>
      <c r="D382" t="s">
        <v>56</v>
      </c>
      <c r="E382" t="s">
        <v>929</v>
      </c>
      <c r="F382" t="s">
        <v>274</v>
      </c>
      <c r="G382" t="s">
        <v>277</v>
      </c>
      <c r="H382" t="s">
        <v>531</v>
      </c>
      <c r="I382">
        <v>88532</v>
      </c>
      <c r="J382" s="3">
        <v>1062384</v>
      </c>
      <c r="K382" s="2">
        <v>32307</v>
      </c>
      <c r="L382" t="s">
        <v>51</v>
      </c>
      <c r="M382" t="s">
        <v>210</v>
      </c>
      <c r="N382">
        <v>78783</v>
      </c>
      <c r="O382" t="s">
        <v>33</v>
      </c>
      <c r="P382" t="s">
        <v>32</v>
      </c>
      <c r="Q382" t="s">
        <v>92</v>
      </c>
      <c r="R382" s="2">
        <v>42505</v>
      </c>
      <c r="S382" s="1" t="s">
        <v>35</v>
      </c>
      <c r="T382">
        <v>0</v>
      </c>
      <c r="U382" t="s">
        <v>36</v>
      </c>
      <c r="V382">
        <v>2</v>
      </c>
      <c r="W382" t="s">
        <v>36</v>
      </c>
      <c r="X382">
        <v>1</v>
      </c>
      <c r="Y382" t="s">
        <v>268</v>
      </c>
      <c r="Z382">
        <v>2</v>
      </c>
      <c r="AA382" t="s">
        <v>276</v>
      </c>
      <c r="AB382">
        <v>3.8</v>
      </c>
      <c r="AC382" t="s">
        <v>932</v>
      </c>
      <c r="AD382">
        <v>1</v>
      </c>
      <c r="AE382" s="2">
        <v>45842</v>
      </c>
      <c r="AF382">
        <v>4</v>
      </c>
      <c r="AG382">
        <v>9</v>
      </c>
    </row>
    <row r="383" spans="1:33">
      <c r="A383">
        <v>10196</v>
      </c>
      <c r="B383" t="s">
        <v>933</v>
      </c>
      <c r="C383" t="s">
        <v>42</v>
      </c>
      <c r="D383" t="s">
        <v>42</v>
      </c>
      <c r="E383" t="s">
        <v>934</v>
      </c>
      <c r="F383" t="s">
        <v>37</v>
      </c>
      <c r="G383" t="s">
        <v>50</v>
      </c>
      <c r="H383" t="s">
        <v>54</v>
      </c>
      <c r="I383">
        <v>64955</v>
      </c>
      <c r="J383" s="3">
        <v>779460</v>
      </c>
      <c r="K383" s="2">
        <v>32405</v>
      </c>
      <c r="L383" t="s">
        <v>51</v>
      </c>
      <c r="M383" t="s">
        <v>29</v>
      </c>
      <c r="N383">
        <v>1810</v>
      </c>
      <c r="O383" t="s">
        <v>33</v>
      </c>
      <c r="P383" t="s">
        <v>32</v>
      </c>
      <c r="Q383" t="s">
        <v>34</v>
      </c>
      <c r="R383" s="2">
        <v>40729</v>
      </c>
      <c r="S383" s="1" t="s">
        <v>52</v>
      </c>
      <c r="T383">
        <v>1</v>
      </c>
      <c r="U383" t="s">
        <v>53</v>
      </c>
      <c r="V383">
        <v>5</v>
      </c>
      <c r="W383" t="s">
        <v>45</v>
      </c>
      <c r="X383">
        <v>0</v>
      </c>
      <c r="Y383" t="s">
        <v>39</v>
      </c>
      <c r="Z383">
        <v>3</v>
      </c>
      <c r="AA383" t="s">
        <v>49</v>
      </c>
      <c r="AB383">
        <v>3.02</v>
      </c>
      <c r="AC383" t="s">
        <v>932</v>
      </c>
      <c r="AD383">
        <v>0</v>
      </c>
      <c r="AE383" s="2">
        <v>41044</v>
      </c>
      <c r="AF383">
        <v>0</v>
      </c>
      <c r="AG383">
        <v>3</v>
      </c>
    </row>
    <row r="384" spans="1:33">
      <c r="A384">
        <v>10196</v>
      </c>
      <c r="B384" t="s">
        <v>1418</v>
      </c>
      <c r="C384" t="s">
        <v>42</v>
      </c>
      <c r="D384" t="s">
        <v>31</v>
      </c>
      <c r="E384" t="s">
        <v>929</v>
      </c>
      <c r="F384" t="s">
        <v>288</v>
      </c>
      <c r="G384" t="s">
        <v>28</v>
      </c>
      <c r="H384" t="s">
        <v>532</v>
      </c>
      <c r="I384">
        <v>45630</v>
      </c>
      <c r="J384" s="3">
        <v>547560</v>
      </c>
      <c r="K384" s="2">
        <v>37580</v>
      </c>
      <c r="L384" t="s">
        <v>51</v>
      </c>
      <c r="M384" t="s">
        <v>29</v>
      </c>
      <c r="N384">
        <v>92567</v>
      </c>
      <c r="O384" t="s">
        <v>33</v>
      </c>
      <c r="P384" t="s">
        <v>32</v>
      </c>
      <c r="Q384" t="s">
        <v>34</v>
      </c>
      <c r="R384" s="2">
        <v>45676</v>
      </c>
      <c r="S384" s="1" t="s">
        <v>35</v>
      </c>
      <c r="T384">
        <v>0</v>
      </c>
      <c r="U384" t="s">
        <v>36</v>
      </c>
      <c r="V384">
        <v>2</v>
      </c>
      <c r="W384" t="s">
        <v>87</v>
      </c>
      <c r="X384">
        <v>1</v>
      </c>
      <c r="Y384" t="s">
        <v>39</v>
      </c>
      <c r="Z384">
        <v>3</v>
      </c>
      <c r="AA384" t="s">
        <v>136</v>
      </c>
      <c r="AB384">
        <v>4.5</v>
      </c>
      <c r="AC384" t="s">
        <v>932</v>
      </c>
      <c r="AD384">
        <v>4</v>
      </c>
      <c r="AE384" s="2">
        <v>45454</v>
      </c>
      <c r="AF384">
        <v>3</v>
      </c>
      <c r="AG384">
        <v>9</v>
      </c>
    </row>
    <row r="385" spans="1:33">
      <c r="A385">
        <v>10197</v>
      </c>
      <c r="B385" t="s">
        <v>1000</v>
      </c>
      <c r="C385" t="s">
        <v>31</v>
      </c>
      <c r="D385" t="s">
        <v>31</v>
      </c>
      <c r="E385" t="s">
        <v>929</v>
      </c>
      <c r="F385" t="s">
        <v>46</v>
      </c>
      <c r="G385" t="s">
        <v>139</v>
      </c>
      <c r="H385" t="s">
        <v>140</v>
      </c>
      <c r="I385">
        <v>96820</v>
      </c>
      <c r="J385" s="3">
        <v>1161840</v>
      </c>
      <c r="K385" s="2">
        <v>30563</v>
      </c>
      <c r="L385" t="s">
        <v>30</v>
      </c>
      <c r="M385" t="s">
        <v>29</v>
      </c>
      <c r="N385">
        <v>2045</v>
      </c>
      <c r="O385" t="s">
        <v>33</v>
      </c>
      <c r="P385" t="s">
        <v>32</v>
      </c>
      <c r="Q385" t="s">
        <v>34</v>
      </c>
      <c r="R385" s="2">
        <v>42781</v>
      </c>
      <c r="S385" s="1" t="s">
        <v>35</v>
      </c>
      <c r="T385">
        <v>0</v>
      </c>
      <c r="U385" t="s">
        <v>36</v>
      </c>
      <c r="V385">
        <v>1</v>
      </c>
      <c r="W385" t="s">
        <v>36</v>
      </c>
      <c r="X385">
        <v>0</v>
      </c>
      <c r="Y385" t="s">
        <v>48</v>
      </c>
      <c r="Z385">
        <v>3</v>
      </c>
      <c r="AA385" t="s">
        <v>49</v>
      </c>
      <c r="AB385">
        <v>3.01</v>
      </c>
      <c r="AC385" t="s">
        <v>930</v>
      </c>
      <c r="AD385">
        <v>7</v>
      </c>
      <c r="AE385" s="2">
        <v>43488</v>
      </c>
      <c r="AF385">
        <v>0</v>
      </c>
      <c r="AG385">
        <v>15</v>
      </c>
    </row>
    <row r="386" spans="1:33">
      <c r="A386">
        <v>10197</v>
      </c>
      <c r="B386" t="s">
        <v>1419</v>
      </c>
      <c r="C386" t="s">
        <v>31</v>
      </c>
      <c r="D386" t="s">
        <v>56</v>
      </c>
      <c r="E386" t="s">
        <v>934</v>
      </c>
      <c r="F386" t="s">
        <v>283</v>
      </c>
      <c r="G386" t="s">
        <v>277</v>
      </c>
      <c r="H386" t="s">
        <v>534</v>
      </c>
      <c r="I386">
        <v>83360</v>
      </c>
      <c r="J386" s="3">
        <v>1000320</v>
      </c>
      <c r="K386" s="2">
        <v>37195</v>
      </c>
      <c r="L386" t="s">
        <v>51</v>
      </c>
      <c r="M386" t="s">
        <v>80</v>
      </c>
      <c r="N386">
        <v>69123</v>
      </c>
      <c r="O386" t="s">
        <v>33</v>
      </c>
      <c r="P386" t="s">
        <v>32</v>
      </c>
      <c r="Q386" t="s">
        <v>92</v>
      </c>
      <c r="R386" s="2">
        <v>43703</v>
      </c>
      <c r="S386" s="1" t="s">
        <v>533</v>
      </c>
      <c r="T386">
        <v>1</v>
      </c>
      <c r="U386" t="s">
        <v>266</v>
      </c>
      <c r="V386">
        <v>2</v>
      </c>
      <c r="W386" t="s">
        <v>87</v>
      </c>
      <c r="X386">
        <v>1</v>
      </c>
      <c r="Y386" t="s">
        <v>280</v>
      </c>
      <c r="Z386">
        <v>4</v>
      </c>
      <c r="AA386" t="s">
        <v>49</v>
      </c>
      <c r="AB386">
        <v>3</v>
      </c>
      <c r="AC386" t="s">
        <v>937</v>
      </c>
      <c r="AD386">
        <v>3</v>
      </c>
      <c r="AE386" s="2">
        <v>45673</v>
      </c>
      <c r="AF386">
        <v>0</v>
      </c>
      <c r="AG386">
        <v>0</v>
      </c>
    </row>
    <row r="387" spans="1:33">
      <c r="A387">
        <v>10198</v>
      </c>
      <c r="B387" t="s">
        <v>47</v>
      </c>
      <c r="C387" t="s">
        <v>31</v>
      </c>
      <c r="D387" t="s">
        <v>31</v>
      </c>
      <c r="E387" t="s">
        <v>929</v>
      </c>
      <c r="F387" t="s">
        <v>46</v>
      </c>
      <c r="G387" t="s">
        <v>235</v>
      </c>
      <c r="H387" t="s">
        <v>116</v>
      </c>
      <c r="I387">
        <v>140920</v>
      </c>
      <c r="J387" s="3">
        <v>1691040</v>
      </c>
      <c r="K387" s="2">
        <v>26759</v>
      </c>
      <c r="L387" t="s">
        <v>30</v>
      </c>
      <c r="M387" t="s">
        <v>29</v>
      </c>
      <c r="N387">
        <v>2481</v>
      </c>
      <c r="O387" t="s">
        <v>33</v>
      </c>
      <c r="P387" t="s">
        <v>32</v>
      </c>
      <c r="Q387" t="s">
        <v>34</v>
      </c>
      <c r="R387" s="2">
        <v>41294</v>
      </c>
      <c r="S387" s="1" t="s">
        <v>35</v>
      </c>
      <c r="T387">
        <v>0</v>
      </c>
      <c r="U387" t="s">
        <v>36</v>
      </c>
      <c r="V387">
        <v>1</v>
      </c>
      <c r="W387" t="s">
        <v>36</v>
      </c>
      <c r="X387">
        <v>0</v>
      </c>
      <c r="Y387" t="s">
        <v>48</v>
      </c>
      <c r="Z387">
        <v>3</v>
      </c>
      <c r="AA387" t="s">
        <v>49</v>
      </c>
      <c r="AB387">
        <v>3.6</v>
      </c>
      <c r="AC387" t="s">
        <v>930</v>
      </c>
      <c r="AD387">
        <v>7</v>
      </c>
      <c r="AE387" s="2">
        <v>43514</v>
      </c>
      <c r="AF387">
        <v>0</v>
      </c>
      <c r="AG387">
        <v>13</v>
      </c>
    </row>
    <row r="388" spans="1:33">
      <c r="A388">
        <v>10198</v>
      </c>
      <c r="B388" t="s">
        <v>1420</v>
      </c>
      <c r="C388" t="s">
        <v>31</v>
      </c>
      <c r="D388" t="s">
        <v>31</v>
      </c>
      <c r="E388" t="s">
        <v>929</v>
      </c>
      <c r="F388" t="s">
        <v>113</v>
      </c>
      <c r="G388" t="s">
        <v>28</v>
      </c>
      <c r="H388" t="s">
        <v>535</v>
      </c>
      <c r="I388">
        <v>65665</v>
      </c>
      <c r="J388" s="3">
        <v>787980</v>
      </c>
      <c r="K388" s="2">
        <v>24561</v>
      </c>
      <c r="L388" t="s">
        <v>51</v>
      </c>
      <c r="M388" t="s">
        <v>144</v>
      </c>
      <c r="N388">
        <v>43131</v>
      </c>
      <c r="O388" t="s">
        <v>73</v>
      </c>
      <c r="P388" t="s">
        <v>124</v>
      </c>
      <c r="Q388" t="s">
        <v>270</v>
      </c>
      <c r="R388" s="2">
        <v>44013</v>
      </c>
      <c r="S388" s="1" t="s">
        <v>35</v>
      </c>
      <c r="T388">
        <v>0</v>
      </c>
      <c r="U388" t="s">
        <v>36</v>
      </c>
      <c r="V388">
        <v>1</v>
      </c>
      <c r="W388" t="s">
        <v>36</v>
      </c>
      <c r="X388">
        <v>0</v>
      </c>
      <c r="Y388" t="s">
        <v>39</v>
      </c>
      <c r="Z388">
        <v>4</v>
      </c>
      <c r="AA388" t="s">
        <v>276</v>
      </c>
      <c r="AB388">
        <v>2.8</v>
      </c>
      <c r="AC388" t="s">
        <v>962</v>
      </c>
      <c r="AD388">
        <v>4</v>
      </c>
      <c r="AE388" s="2">
        <v>45646</v>
      </c>
      <c r="AF388">
        <v>3</v>
      </c>
      <c r="AG388">
        <v>0</v>
      </c>
    </row>
    <row r="389" spans="1:33">
      <c r="A389">
        <v>10199</v>
      </c>
      <c r="B389" t="s">
        <v>957</v>
      </c>
      <c r="C389" t="s">
        <v>31</v>
      </c>
      <c r="D389" t="s">
        <v>31</v>
      </c>
      <c r="E389" t="s">
        <v>929</v>
      </c>
      <c r="F389" t="s">
        <v>46</v>
      </c>
      <c r="G389" t="s">
        <v>97</v>
      </c>
      <c r="H389" t="s">
        <v>47</v>
      </c>
      <c r="I389">
        <v>103613</v>
      </c>
      <c r="J389" s="3">
        <v>1243356</v>
      </c>
      <c r="K389" s="2">
        <v>23588</v>
      </c>
      <c r="L389" t="s">
        <v>30</v>
      </c>
      <c r="M389" t="s">
        <v>98</v>
      </c>
      <c r="N389">
        <v>6033</v>
      </c>
      <c r="O389" t="s">
        <v>33</v>
      </c>
      <c r="P389" t="s">
        <v>32</v>
      </c>
      <c r="Q389" t="s">
        <v>68</v>
      </c>
      <c r="R389" s="2">
        <v>41687</v>
      </c>
      <c r="S389" s="1" t="s">
        <v>99</v>
      </c>
      <c r="T389">
        <v>1</v>
      </c>
      <c r="U389" t="s">
        <v>100</v>
      </c>
      <c r="V389">
        <v>4</v>
      </c>
      <c r="W389" t="s">
        <v>87</v>
      </c>
      <c r="X389">
        <v>0</v>
      </c>
      <c r="Y389" t="s">
        <v>39</v>
      </c>
      <c r="Z389">
        <v>3</v>
      </c>
      <c r="AA389" t="s">
        <v>49</v>
      </c>
      <c r="AB389">
        <v>3.5</v>
      </c>
      <c r="AC389" t="s">
        <v>930</v>
      </c>
      <c r="AD389">
        <v>7</v>
      </c>
      <c r="AE389" s="2">
        <v>42379</v>
      </c>
      <c r="AF389">
        <v>0</v>
      </c>
      <c r="AG389">
        <v>2</v>
      </c>
    </row>
    <row r="390" spans="1:33">
      <c r="A390">
        <v>10199</v>
      </c>
      <c r="B390" t="s">
        <v>1421</v>
      </c>
      <c r="C390" t="s">
        <v>31</v>
      </c>
      <c r="D390" t="s">
        <v>42</v>
      </c>
      <c r="E390" t="s">
        <v>929</v>
      </c>
      <c r="F390" t="s">
        <v>283</v>
      </c>
      <c r="G390" t="s">
        <v>269</v>
      </c>
      <c r="H390" t="s">
        <v>536</v>
      </c>
      <c r="I390">
        <v>38030</v>
      </c>
      <c r="J390" s="3">
        <v>456360</v>
      </c>
      <c r="K390" s="2">
        <v>24568</v>
      </c>
      <c r="L390" t="s">
        <v>51</v>
      </c>
      <c r="M390" t="s">
        <v>210</v>
      </c>
      <c r="N390">
        <v>12459</v>
      </c>
      <c r="O390" t="s">
        <v>73</v>
      </c>
      <c r="P390" t="s">
        <v>124</v>
      </c>
      <c r="Q390" t="s">
        <v>92</v>
      </c>
      <c r="R390" s="2">
        <v>44565</v>
      </c>
      <c r="S390" s="1" t="s">
        <v>35</v>
      </c>
      <c r="T390">
        <v>0</v>
      </c>
      <c r="U390" t="s">
        <v>36</v>
      </c>
      <c r="V390">
        <v>1</v>
      </c>
      <c r="W390" t="s">
        <v>45</v>
      </c>
      <c r="X390">
        <v>0</v>
      </c>
      <c r="Y390" t="s">
        <v>268</v>
      </c>
      <c r="Z390">
        <v>2</v>
      </c>
      <c r="AA390" t="s">
        <v>136</v>
      </c>
      <c r="AB390">
        <v>4.5</v>
      </c>
      <c r="AC390" t="s">
        <v>962</v>
      </c>
      <c r="AD390">
        <v>2</v>
      </c>
      <c r="AE390" s="2">
        <v>45656</v>
      </c>
      <c r="AF390">
        <v>4</v>
      </c>
      <c r="AG390">
        <v>0</v>
      </c>
    </row>
    <row r="391" spans="1:33">
      <c r="A391">
        <v>10200</v>
      </c>
      <c r="B391" t="s">
        <v>976</v>
      </c>
      <c r="C391" t="s">
        <v>31</v>
      </c>
      <c r="D391" t="s">
        <v>31</v>
      </c>
      <c r="E391" t="s">
        <v>929</v>
      </c>
      <c r="F391" t="s">
        <v>113</v>
      </c>
      <c r="G391" t="s">
        <v>110</v>
      </c>
      <c r="H391" t="s">
        <v>121</v>
      </c>
      <c r="I391">
        <v>66808</v>
      </c>
      <c r="J391" s="3">
        <v>801696</v>
      </c>
      <c r="K391" s="2">
        <v>25730</v>
      </c>
      <c r="L391" t="s">
        <v>30</v>
      </c>
      <c r="M391" t="s">
        <v>80</v>
      </c>
      <c r="N391">
        <v>78207</v>
      </c>
      <c r="O391" t="s">
        <v>33</v>
      </c>
      <c r="P391" t="s">
        <v>88</v>
      </c>
      <c r="Q391" t="s">
        <v>68</v>
      </c>
      <c r="R391" s="2">
        <v>41043</v>
      </c>
      <c r="S391" s="1" t="s">
        <v>35</v>
      </c>
      <c r="T391">
        <v>0</v>
      </c>
      <c r="U391" t="s">
        <v>36</v>
      </c>
      <c r="V391">
        <v>1</v>
      </c>
      <c r="W391" t="s">
        <v>36</v>
      </c>
      <c r="X391">
        <v>0</v>
      </c>
      <c r="Y391" t="s">
        <v>67</v>
      </c>
      <c r="Z391">
        <v>3</v>
      </c>
      <c r="AA391" t="s">
        <v>49</v>
      </c>
      <c r="AB391">
        <v>3</v>
      </c>
      <c r="AC391" t="s">
        <v>930</v>
      </c>
      <c r="AD391">
        <v>0</v>
      </c>
      <c r="AE391" s="2">
        <v>43484</v>
      </c>
      <c r="AF391">
        <v>0</v>
      </c>
      <c r="AG391">
        <v>17</v>
      </c>
    </row>
    <row r="392" spans="1:33">
      <c r="A392">
        <v>10200</v>
      </c>
      <c r="B392" t="s">
        <v>1422</v>
      </c>
      <c r="C392" t="s">
        <v>42</v>
      </c>
      <c r="D392" t="s">
        <v>31</v>
      </c>
      <c r="E392" t="s">
        <v>929</v>
      </c>
      <c r="F392" t="s">
        <v>274</v>
      </c>
      <c r="G392" t="s">
        <v>294</v>
      </c>
      <c r="H392" t="s">
        <v>537</v>
      </c>
      <c r="I392">
        <v>78539</v>
      </c>
      <c r="J392" s="3">
        <v>942468</v>
      </c>
      <c r="K392" s="2">
        <v>34633</v>
      </c>
      <c r="L392" t="s">
        <v>51</v>
      </c>
      <c r="M392" t="s">
        <v>191</v>
      </c>
      <c r="N392">
        <v>47408</v>
      </c>
      <c r="O392" t="s">
        <v>33</v>
      </c>
      <c r="P392" t="s">
        <v>32</v>
      </c>
      <c r="Q392" t="s">
        <v>160</v>
      </c>
      <c r="R392" s="2">
        <v>45222</v>
      </c>
      <c r="S392" s="1" t="s">
        <v>35</v>
      </c>
      <c r="T392">
        <v>0</v>
      </c>
      <c r="U392" t="s">
        <v>36</v>
      </c>
      <c r="V392">
        <v>1</v>
      </c>
      <c r="W392" t="s">
        <v>45</v>
      </c>
      <c r="X392">
        <v>1</v>
      </c>
      <c r="Y392" t="s">
        <v>39</v>
      </c>
      <c r="Z392">
        <v>4</v>
      </c>
      <c r="AA392" t="s">
        <v>136</v>
      </c>
      <c r="AB392">
        <v>4.7</v>
      </c>
      <c r="AC392" t="s">
        <v>1003</v>
      </c>
      <c r="AD392">
        <v>0</v>
      </c>
      <c r="AE392" s="2">
        <v>45516</v>
      </c>
      <c r="AF392">
        <v>3</v>
      </c>
      <c r="AG392">
        <v>8</v>
      </c>
    </row>
    <row r="393" spans="1:33">
      <c r="A393">
        <v>10201</v>
      </c>
      <c r="B393" t="s">
        <v>1060</v>
      </c>
      <c r="C393" t="s">
        <v>31</v>
      </c>
      <c r="D393" t="s">
        <v>31</v>
      </c>
      <c r="E393" t="s">
        <v>934</v>
      </c>
      <c r="F393" t="s">
        <v>37</v>
      </c>
      <c r="G393" t="s">
        <v>50</v>
      </c>
      <c r="H393" t="s">
        <v>55</v>
      </c>
      <c r="I393">
        <v>69340</v>
      </c>
      <c r="J393" s="3">
        <v>832080</v>
      </c>
      <c r="K393" s="2">
        <v>30752</v>
      </c>
      <c r="L393" t="s">
        <v>51</v>
      </c>
      <c r="M393" t="s">
        <v>29</v>
      </c>
      <c r="N393">
        <v>2021</v>
      </c>
      <c r="O393" t="s">
        <v>33</v>
      </c>
      <c r="P393" t="s">
        <v>32</v>
      </c>
      <c r="Q393" t="s">
        <v>34</v>
      </c>
      <c r="R393" s="2">
        <v>42527</v>
      </c>
      <c r="S393" s="1" t="s">
        <v>35</v>
      </c>
      <c r="T393">
        <v>0</v>
      </c>
      <c r="U393" t="s">
        <v>36</v>
      </c>
      <c r="V393">
        <v>2</v>
      </c>
      <c r="W393" t="s">
        <v>36</v>
      </c>
      <c r="X393">
        <v>0</v>
      </c>
      <c r="Y393" t="s">
        <v>39</v>
      </c>
      <c r="Z393">
        <v>3</v>
      </c>
      <c r="AA393" t="s">
        <v>49</v>
      </c>
      <c r="AB393">
        <v>3</v>
      </c>
      <c r="AC393" t="s">
        <v>930</v>
      </c>
      <c r="AD393">
        <v>0</v>
      </c>
      <c r="AE393" s="2">
        <v>43483</v>
      </c>
      <c r="AF393">
        <v>0</v>
      </c>
      <c r="AG393">
        <v>4</v>
      </c>
    </row>
    <row r="394" spans="1:33">
      <c r="A394">
        <v>10201</v>
      </c>
      <c r="B394" t="s">
        <v>1423</v>
      </c>
      <c r="C394" t="s">
        <v>42</v>
      </c>
      <c r="D394" t="s">
        <v>56</v>
      </c>
      <c r="E394" t="s">
        <v>929</v>
      </c>
      <c r="F394" t="s">
        <v>274</v>
      </c>
      <c r="G394" t="s">
        <v>269</v>
      </c>
      <c r="H394" t="s">
        <v>538</v>
      </c>
      <c r="I394">
        <v>103081</v>
      </c>
      <c r="J394" s="3">
        <v>1236972</v>
      </c>
      <c r="K394" s="2">
        <v>29044</v>
      </c>
      <c r="L394" t="s">
        <v>264</v>
      </c>
      <c r="M394" t="s">
        <v>144</v>
      </c>
      <c r="N394">
        <v>63268</v>
      </c>
      <c r="O394" t="s">
        <v>33</v>
      </c>
      <c r="P394" t="s">
        <v>124</v>
      </c>
      <c r="Q394" t="s">
        <v>204</v>
      </c>
      <c r="R394" s="2">
        <v>44334</v>
      </c>
      <c r="S394" s="1" t="s">
        <v>35</v>
      </c>
      <c r="T394">
        <v>0</v>
      </c>
      <c r="U394" t="s">
        <v>36</v>
      </c>
      <c r="V394">
        <v>2</v>
      </c>
      <c r="W394" t="s">
        <v>36</v>
      </c>
      <c r="X394">
        <v>0</v>
      </c>
      <c r="Y394" t="s">
        <v>48</v>
      </c>
      <c r="Z394">
        <v>3</v>
      </c>
      <c r="AA394" t="s">
        <v>49</v>
      </c>
      <c r="AB394">
        <v>2.9</v>
      </c>
      <c r="AC394" t="s">
        <v>937</v>
      </c>
      <c r="AD394">
        <v>4</v>
      </c>
      <c r="AE394" s="2">
        <v>45672</v>
      </c>
      <c r="AF394">
        <v>2</v>
      </c>
      <c r="AG394">
        <v>3</v>
      </c>
    </row>
    <row r="395" spans="1:33">
      <c r="A395">
        <v>10202</v>
      </c>
      <c r="B395" t="s">
        <v>1105</v>
      </c>
      <c r="C395" t="s">
        <v>42</v>
      </c>
      <c r="D395" t="s">
        <v>42</v>
      </c>
      <c r="E395" t="s">
        <v>929</v>
      </c>
      <c r="F395" t="s">
        <v>113</v>
      </c>
      <c r="G395" t="s">
        <v>110</v>
      </c>
      <c r="H395" t="s">
        <v>121</v>
      </c>
      <c r="I395">
        <v>63291</v>
      </c>
      <c r="J395" s="3">
        <v>759492</v>
      </c>
      <c r="K395" s="2">
        <v>30864</v>
      </c>
      <c r="L395" t="s">
        <v>30</v>
      </c>
      <c r="M395" t="s">
        <v>80</v>
      </c>
      <c r="N395">
        <v>78789</v>
      </c>
      <c r="O395" t="s">
        <v>33</v>
      </c>
      <c r="P395" t="s">
        <v>32</v>
      </c>
      <c r="Q395" t="s">
        <v>81</v>
      </c>
      <c r="R395" s="2">
        <v>42557</v>
      </c>
      <c r="S395" s="1" t="s">
        <v>35</v>
      </c>
      <c r="T395">
        <v>0</v>
      </c>
      <c r="U395" t="s">
        <v>36</v>
      </c>
      <c r="V395">
        <v>2</v>
      </c>
      <c r="W395" t="s">
        <v>36</v>
      </c>
      <c r="X395">
        <v>0</v>
      </c>
      <c r="Y395" t="s">
        <v>142</v>
      </c>
      <c r="Z395">
        <v>3</v>
      </c>
      <c r="AA395" t="s">
        <v>49</v>
      </c>
      <c r="AB395">
        <v>3.4</v>
      </c>
      <c r="AC395" t="s">
        <v>937</v>
      </c>
      <c r="AD395">
        <v>0</v>
      </c>
      <c r="AE395" s="2">
        <v>43494</v>
      </c>
      <c r="AF395">
        <v>0</v>
      </c>
      <c r="AG395">
        <v>7</v>
      </c>
    </row>
    <row r="396" spans="1:33">
      <c r="A396">
        <v>10202</v>
      </c>
      <c r="B396" t="s">
        <v>1424</v>
      </c>
      <c r="C396" t="s">
        <v>31</v>
      </c>
      <c r="D396" t="s">
        <v>56</v>
      </c>
      <c r="E396" t="s">
        <v>929</v>
      </c>
      <c r="F396" t="s">
        <v>288</v>
      </c>
      <c r="G396" t="s">
        <v>277</v>
      </c>
      <c r="H396" t="s">
        <v>540</v>
      </c>
      <c r="I396">
        <v>50800</v>
      </c>
      <c r="J396" s="3">
        <v>609600</v>
      </c>
      <c r="K396" s="2">
        <v>29909</v>
      </c>
      <c r="L396" t="s">
        <v>51</v>
      </c>
      <c r="M396" t="s">
        <v>80</v>
      </c>
      <c r="N396">
        <v>20720</v>
      </c>
      <c r="O396" t="s">
        <v>33</v>
      </c>
      <c r="P396" t="s">
        <v>32</v>
      </c>
      <c r="Q396" t="s">
        <v>160</v>
      </c>
      <c r="R396" s="2">
        <v>44014</v>
      </c>
      <c r="S396" s="1" t="s">
        <v>539</v>
      </c>
      <c r="T396">
        <v>0</v>
      </c>
      <c r="U396" t="s">
        <v>36</v>
      </c>
      <c r="V396">
        <v>3</v>
      </c>
      <c r="W396" t="s">
        <v>87</v>
      </c>
      <c r="X396">
        <v>1</v>
      </c>
      <c r="Y396" t="s">
        <v>142</v>
      </c>
      <c r="Z396">
        <v>3</v>
      </c>
      <c r="AA396" t="s">
        <v>276</v>
      </c>
      <c r="AB396">
        <v>2.9</v>
      </c>
      <c r="AC396" t="s">
        <v>1003</v>
      </c>
      <c r="AD396">
        <v>0</v>
      </c>
      <c r="AE396" s="2">
        <v>45821</v>
      </c>
      <c r="AF396">
        <v>3</v>
      </c>
      <c r="AG396">
        <v>3</v>
      </c>
    </row>
    <row r="397" spans="1:33">
      <c r="A397">
        <v>10203</v>
      </c>
      <c r="B397" t="s">
        <v>963</v>
      </c>
      <c r="C397" t="s">
        <v>31</v>
      </c>
      <c r="D397" t="s">
        <v>964</v>
      </c>
      <c r="E397" t="s">
        <v>934</v>
      </c>
      <c r="F397" t="s">
        <v>37</v>
      </c>
      <c r="G397" t="s">
        <v>28</v>
      </c>
      <c r="H397" t="s">
        <v>54</v>
      </c>
      <c r="I397">
        <v>64375</v>
      </c>
      <c r="J397" s="3">
        <v>772500</v>
      </c>
      <c r="K397" s="2">
        <v>25506</v>
      </c>
      <c r="L397" t="s">
        <v>51</v>
      </c>
      <c r="M397" t="s">
        <v>29</v>
      </c>
      <c r="N397">
        <v>2043</v>
      </c>
      <c r="O397" t="s">
        <v>33</v>
      </c>
      <c r="P397" t="s">
        <v>32</v>
      </c>
      <c r="Q397" t="s">
        <v>68</v>
      </c>
      <c r="R397" s="2">
        <v>41589</v>
      </c>
      <c r="S397" s="1" t="s">
        <v>35</v>
      </c>
      <c r="T397">
        <v>0</v>
      </c>
      <c r="U397" t="s">
        <v>36</v>
      </c>
      <c r="V397">
        <v>3</v>
      </c>
      <c r="W397" t="s">
        <v>36</v>
      </c>
      <c r="X397">
        <v>1</v>
      </c>
      <c r="Y397" t="s">
        <v>70</v>
      </c>
      <c r="Z397">
        <v>3</v>
      </c>
      <c r="AA397" t="s">
        <v>49</v>
      </c>
      <c r="AB397">
        <v>3.5</v>
      </c>
      <c r="AC397" t="s">
        <v>930</v>
      </c>
      <c r="AD397">
        <v>0</v>
      </c>
      <c r="AE397" s="2">
        <v>43486</v>
      </c>
      <c r="AF397">
        <v>0</v>
      </c>
      <c r="AG397">
        <v>17</v>
      </c>
    </row>
    <row r="398" spans="1:33">
      <c r="A398">
        <v>10203</v>
      </c>
      <c r="B398" t="s">
        <v>1425</v>
      </c>
      <c r="C398" t="s">
        <v>31</v>
      </c>
      <c r="D398" t="s">
        <v>31</v>
      </c>
      <c r="E398" t="s">
        <v>934</v>
      </c>
      <c r="F398" t="s">
        <v>274</v>
      </c>
      <c r="G398" t="s">
        <v>28</v>
      </c>
      <c r="H398" t="s">
        <v>541</v>
      </c>
      <c r="I398">
        <v>40677</v>
      </c>
      <c r="J398" s="3">
        <v>488124</v>
      </c>
      <c r="K398" s="2">
        <v>33485</v>
      </c>
      <c r="L398" t="s">
        <v>51</v>
      </c>
      <c r="M398" t="s">
        <v>144</v>
      </c>
      <c r="N398">
        <v>42471</v>
      </c>
      <c r="O398" t="s">
        <v>73</v>
      </c>
      <c r="P398" t="s">
        <v>32</v>
      </c>
      <c r="Q398" t="s">
        <v>34</v>
      </c>
      <c r="R398" s="2">
        <v>43080</v>
      </c>
      <c r="S398" s="1" t="s">
        <v>35</v>
      </c>
      <c r="T398">
        <v>0</v>
      </c>
      <c r="U398" t="s">
        <v>36</v>
      </c>
      <c r="V398">
        <v>1</v>
      </c>
      <c r="W398" t="s">
        <v>36</v>
      </c>
      <c r="X398">
        <v>1</v>
      </c>
      <c r="Y398" t="s">
        <v>48</v>
      </c>
      <c r="Z398">
        <v>4</v>
      </c>
      <c r="AA398" t="s">
        <v>49</v>
      </c>
      <c r="AB398">
        <v>4.0999999999999996</v>
      </c>
      <c r="AC398" t="s">
        <v>1003</v>
      </c>
      <c r="AD398">
        <v>2</v>
      </c>
      <c r="AE398" s="2">
        <v>45755</v>
      </c>
      <c r="AF398">
        <v>5</v>
      </c>
      <c r="AG398">
        <v>2</v>
      </c>
    </row>
    <row r="399" spans="1:33">
      <c r="A399">
        <v>10204</v>
      </c>
      <c r="B399" t="s">
        <v>1215</v>
      </c>
      <c r="C399" t="s">
        <v>31</v>
      </c>
      <c r="D399" t="s">
        <v>56</v>
      </c>
      <c r="E399" t="s">
        <v>934</v>
      </c>
      <c r="F399" t="s">
        <v>37</v>
      </c>
      <c r="G399" t="s">
        <v>28</v>
      </c>
      <c r="H399" t="s">
        <v>66</v>
      </c>
      <c r="I399">
        <v>58062</v>
      </c>
      <c r="J399" s="3">
        <v>696744</v>
      </c>
      <c r="K399" s="2">
        <v>30527</v>
      </c>
      <c r="L399" t="s">
        <v>51</v>
      </c>
      <c r="M399" t="s">
        <v>29</v>
      </c>
      <c r="N399">
        <v>1876</v>
      </c>
      <c r="O399" t="s">
        <v>33</v>
      </c>
      <c r="P399" t="s">
        <v>32</v>
      </c>
      <c r="Q399" t="s">
        <v>34</v>
      </c>
      <c r="R399" s="2">
        <v>40553</v>
      </c>
      <c r="S399" s="1" t="s">
        <v>120</v>
      </c>
      <c r="T399">
        <v>1</v>
      </c>
      <c r="U399" t="s">
        <v>75</v>
      </c>
      <c r="V399">
        <v>5</v>
      </c>
      <c r="W399" t="s">
        <v>45</v>
      </c>
      <c r="X399">
        <v>0</v>
      </c>
      <c r="Y399" t="s">
        <v>60</v>
      </c>
      <c r="Z399">
        <v>3</v>
      </c>
      <c r="AA399" t="s">
        <v>49</v>
      </c>
      <c r="AB399">
        <v>3.6</v>
      </c>
      <c r="AC399" t="s">
        <v>930</v>
      </c>
      <c r="AD399">
        <v>0</v>
      </c>
      <c r="AE399" s="2">
        <v>40580</v>
      </c>
      <c r="AF399">
        <v>0</v>
      </c>
      <c r="AG399">
        <v>9</v>
      </c>
    </row>
    <row r="400" spans="1:33">
      <c r="A400">
        <v>10204</v>
      </c>
      <c r="B400" t="s">
        <v>1426</v>
      </c>
      <c r="C400" t="s">
        <v>31</v>
      </c>
      <c r="D400" t="s">
        <v>31</v>
      </c>
      <c r="E400" t="s">
        <v>929</v>
      </c>
      <c r="F400" t="s">
        <v>278</v>
      </c>
      <c r="G400" t="s">
        <v>269</v>
      </c>
      <c r="H400" t="s">
        <v>544</v>
      </c>
      <c r="I400">
        <v>111985</v>
      </c>
      <c r="J400" s="3">
        <v>1343820</v>
      </c>
      <c r="K400" s="2">
        <v>24091</v>
      </c>
      <c r="L400" t="s">
        <v>264</v>
      </c>
      <c r="M400" t="s">
        <v>144</v>
      </c>
      <c r="N400">
        <v>99056</v>
      </c>
      <c r="O400" t="s">
        <v>33</v>
      </c>
      <c r="P400" t="s">
        <v>32</v>
      </c>
      <c r="Q400" t="s">
        <v>160</v>
      </c>
      <c r="R400" s="2">
        <v>44193</v>
      </c>
      <c r="S400" s="1" t="s">
        <v>543</v>
      </c>
      <c r="T400">
        <v>0</v>
      </c>
      <c r="U400" t="s">
        <v>36</v>
      </c>
      <c r="V400">
        <v>2</v>
      </c>
      <c r="W400" t="s">
        <v>36</v>
      </c>
      <c r="X400">
        <v>1</v>
      </c>
      <c r="Y400" t="s">
        <v>48</v>
      </c>
      <c r="Z400">
        <v>4</v>
      </c>
      <c r="AA400" t="s">
        <v>95</v>
      </c>
      <c r="AB400">
        <v>5</v>
      </c>
      <c r="AC400" t="s">
        <v>937</v>
      </c>
      <c r="AD400">
        <v>4</v>
      </c>
      <c r="AE400" s="2">
        <v>45675</v>
      </c>
      <c r="AF400">
        <v>3</v>
      </c>
      <c r="AG400">
        <v>6</v>
      </c>
    </row>
    <row r="401" spans="1:33">
      <c r="A401">
        <v>10205</v>
      </c>
      <c r="B401" t="s">
        <v>1201</v>
      </c>
      <c r="C401" t="s">
        <v>42</v>
      </c>
      <c r="D401" t="s">
        <v>42</v>
      </c>
      <c r="E401" t="s">
        <v>934</v>
      </c>
      <c r="F401" t="s">
        <v>113</v>
      </c>
      <c r="G401" t="s">
        <v>110</v>
      </c>
      <c r="H401" t="s">
        <v>114</v>
      </c>
      <c r="I401">
        <v>57859</v>
      </c>
      <c r="J401" s="3">
        <v>694308</v>
      </c>
      <c r="K401" s="2">
        <v>33381</v>
      </c>
      <c r="L401" t="s">
        <v>51</v>
      </c>
      <c r="M401" t="s">
        <v>251</v>
      </c>
      <c r="N401">
        <v>85006</v>
      </c>
      <c r="O401" t="s">
        <v>33</v>
      </c>
      <c r="P401" t="s">
        <v>32</v>
      </c>
      <c r="Q401" t="s">
        <v>81</v>
      </c>
      <c r="R401" s="2">
        <v>40729</v>
      </c>
      <c r="S401" s="1" t="s">
        <v>35</v>
      </c>
      <c r="T401">
        <v>0</v>
      </c>
      <c r="U401" t="s">
        <v>36</v>
      </c>
      <c r="V401">
        <v>1</v>
      </c>
      <c r="W401" t="s">
        <v>36</v>
      </c>
      <c r="X401">
        <v>0</v>
      </c>
      <c r="Y401" t="s">
        <v>48</v>
      </c>
      <c r="Z401">
        <v>3</v>
      </c>
      <c r="AA401" t="s">
        <v>49</v>
      </c>
      <c r="AB401">
        <v>2.81</v>
      </c>
      <c r="AC401" t="s">
        <v>932</v>
      </c>
      <c r="AD401">
        <v>0</v>
      </c>
      <c r="AE401" s="2">
        <v>43482</v>
      </c>
      <c r="AF401">
        <v>0</v>
      </c>
      <c r="AG401">
        <v>16</v>
      </c>
    </row>
    <row r="402" spans="1:33">
      <c r="A402">
        <v>10205</v>
      </c>
      <c r="B402" t="s">
        <v>1427</v>
      </c>
      <c r="C402" t="s">
        <v>42</v>
      </c>
      <c r="D402" t="s">
        <v>42</v>
      </c>
      <c r="E402" t="s">
        <v>934</v>
      </c>
      <c r="F402" t="s">
        <v>288</v>
      </c>
      <c r="G402" t="s">
        <v>62</v>
      </c>
      <c r="H402" t="s">
        <v>545</v>
      </c>
      <c r="I402">
        <v>99046</v>
      </c>
      <c r="J402" s="3">
        <v>1188552</v>
      </c>
      <c r="K402" s="2">
        <v>35216</v>
      </c>
      <c r="L402" t="s">
        <v>51</v>
      </c>
      <c r="M402" t="s">
        <v>191</v>
      </c>
      <c r="N402">
        <v>95336</v>
      </c>
      <c r="O402" t="s">
        <v>33</v>
      </c>
      <c r="P402" t="s">
        <v>32</v>
      </c>
      <c r="Q402" t="s">
        <v>204</v>
      </c>
      <c r="R402" s="2">
        <v>42384</v>
      </c>
      <c r="S402" s="1" t="s">
        <v>35</v>
      </c>
      <c r="T402">
        <v>1</v>
      </c>
      <c r="U402" t="s">
        <v>36</v>
      </c>
      <c r="V402">
        <v>3</v>
      </c>
      <c r="W402" t="s">
        <v>87</v>
      </c>
      <c r="X402">
        <v>0</v>
      </c>
      <c r="Y402" t="s">
        <v>39</v>
      </c>
      <c r="Z402">
        <v>1</v>
      </c>
      <c r="AA402" t="s">
        <v>49</v>
      </c>
      <c r="AB402">
        <v>2.8</v>
      </c>
      <c r="AC402" t="s">
        <v>932</v>
      </c>
      <c r="AD402">
        <v>0</v>
      </c>
      <c r="AE402" s="2">
        <v>45751</v>
      </c>
      <c r="AF402">
        <v>4</v>
      </c>
      <c r="AG402">
        <v>0</v>
      </c>
    </row>
    <row r="403" spans="1:33">
      <c r="A403">
        <v>10206</v>
      </c>
      <c r="B403" t="s">
        <v>1122</v>
      </c>
      <c r="C403" t="s">
        <v>31</v>
      </c>
      <c r="D403" t="s">
        <v>31</v>
      </c>
      <c r="E403" t="s">
        <v>934</v>
      </c>
      <c r="F403" t="s">
        <v>37</v>
      </c>
      <c r="G403" t="s">
        <v>28</v>
      </c>
      <c r="H403" t="s">
        <v>76</v>
      </c>
      <c r="I403">
        <v>62061</v>
      </c>
      <c r="J403" s="3">
        <v>744732</v>
      </c>
      <c r="K403" s="2">
        <v>30870</v>
      </c>
      <c r="L403" t="s">
        <v>51</v>
      </c>
      <c r="M403" t="s">
        <v>29</v>
      </c>
      <c r="N403">
        <v>2132</v>
      </c>
      <c r="O403" t="s">
        <v>33</v>
      </c>
      <c r="P403" t="s">
        <v>32</v>
      </c>
      <c r="Q403" t="s">
        <v>34</v>
      </c>
      <c r="R403" s="2">
        <v>41463</v>
      </c>
      <c r="S403" s="1" t="s">
        <v>35</v>
      </c>
      <c r="T403">
        <v>0</v>
      </c>
      <c r="U403" t="s">
        <v>36</v>
      </c>
      <c r="V403">
        <v>1</v>
      </c>
      <c r="W403" t="s">
        <v>36</v>
      </c>
      <c r="X403">
        <v>0</v>
      </c>
      <c r="Y403" t="s">
        <v>39</v>
      </c>
      <c r="Z403">
        <v>3</v>
      </c>
      <c r="AA403" t="s">
        <v>49</v>
      </c>
      <c r="AB403">
        <v>3.6</v>
      </c>
      <c r="AC403" t="s">
        <v>930</v>
      </c>
      <c r="AD403">
        <v>0</v>
      </c>
      <c r="AE403" s="2">
        <v>43467</v>
      </c>
      <c r="AF403">
        <v>0</v>
      </c>
      <c r="AG403">
        <v>4</v>
      </c>
    </row>
    <row r="404" spans="1:33">
      <c r="A404">
        <v>10206</v>
      </c>
      <c r="B404" t="s">
        <v>1428</v>
      </c>
      <c r="C404" t="s">
        <v>31</v>
      </c>
      <c r="D404" t="s">
        <v>56</v>
      </c>
      <c r="E404" t="s">
        <v>929</v>
      </c>
      <c r="F404" t="s">
        <v>278</v>
      </c>
      <c r="G404" t="s">
        <v>62</v>
      </c>
      <c r="H404" t="s">
        <v>546</v>
      </c>
      <c r="I404">
        <v>71940</v>
      </c>
      <c r="J404" s="3">
        <v>863280</v>
      </c>
      <c r="K404" s="2">
        <v>29537</v>
      </c>
      <c r="L404" t="s">
        <v>51</v>
      </c>
      <c r="M404" t="s">
        <v>29</v>
      </c>
      <c r="N404">
        <v>56855</v>
      </c>
      <c r="O404" t="s">
        <v>73</v>
      </c>
      <c r="P404" t="s">
        <v>32</v>
      </c>
      <c r="Q404" t="s">
        <v>92</v>
      </c>
      <c r="R404" s="2">
        <v>45753</v>
      </c>
      <c r="S404" s="1" t="s">
        <v>35</v>
      </c>
      <c r="T404">
        <v>1</v>
      </c>
      <c r="U404" t="s">
        <v>298</v>
      </c>
      <c r="V404">
        <v>1</v>
      </c>
      <c r="W404" t="s">
        <v>87</v>
      </c>
      <c r="X404">
        <v>1</v>
      </c>
      <c r="Y404" t="s">
        <v>39</v>
      </c>
      <c r="Z404">
        <v>2</v>
      </c>
      <c r="AA404" t="s">
        <v>49</v>
      </c>
      <c r="AB404">
        <v>4.5</v>
      </c>
      <c r="AC404" t="s">
        <v>937</v>
      </c>
      <c r="AD404">
        <v>1</v>
      </c>
      <c r="AE404" s="2">
        <v>45877</v>
      </c>
      <c r="AF404">
        <v>1</v>
      </c>
      <c r="AG404">
        <v>10</v>
      </c>
    </row>
    <row r="405" spans="1:33">
      <c r="A405">
        <v>10207</v>
      </c>
      <c r="B405" t="s">
        <v>1005</v>
      </c>
      <c r="C405" t="s">
        <v>31</v>
      </c>
      <c r="D405" t="s">
        <v>31</v>
      </c>
      <c r="E405" t="s">
        <v>934</v>
      </c>
      <c r="F405" t="s">
        <v>37</v>
      </c>
      <c r="G405" t="s">
        <v>28</v>
      </c>
      <c r="H405" t="s">
        <v>76</v>
      </c>
      <c r="I405">
        <v>46335</v>
      </c>
      <c r="J405" s="3">
        <v>556020</v>
      </c>
      <c r="K405" s="2">
        <v>31692</v>
      </c>
      <c r="L405" t="s">
        <v>51</v>
      </c>
      <c r="M405" t="s">
        <v>29</v>
      </c>
      <c r="N405">
        <v>2125</v>
      </c>
      <c r="O405" t="s">
        <v>73</v>
      </c>
      <c r="P405" t="s">
        <v>32</v>
      </c>
      <c r="Q405" t="s">
        <v>34</v>
      </c>
      <c r="R405" s="2">
        <v>41001</v>
      </c>
      <c r="S405" s="1" t="s">
        <v>35</v>
      </c>
      <c r="T405">
        <v>0</v>
      </c>
      <c r="U405" t="s">
        <v>36</v>
      </c>
      <c r="V405">
        <v>1</v>
      </c>
      <c r="W405" t="s">
        <v>36</v>
      </c>
      <c r="X405">
        <v>0</v>
      </c>
      <c r="Y405" t="s">
        <v>94</v>
      </c>
      <c r="Z405">
        <v>3</v>
      </c>
      <c r="AA405" t="s">
        <v>49</v>
      </c>
      <c r="AB405">
        <v>3.4</v>
      </c>
      <c r="AC405" t="s">
        <v>930</v>
      </c>
      <c r="AD405">
        <v>0</v>
      </c>
      <c r="AE405" s="2">
        <v>43515</v>
      </c>
      <c r="AF405">
        <v>0</v>
      </c>
      <c r="AG405">
        <v>15</v>
      </c>
    </row>
    <row r="406" spans="1:33">
      <c r="A406">
        <v>10207</v>
      </c>
      <c r="B406" t="s">
        <v>1429</v>
      </c>
      <c r="C406" t="s">
        <v>31</v>
      </c>
      <c r="D406" t="s">
        <v>42</v>
      </c>
      <c r="E406" t="s">
        <v>934</v>
      </c>
      <c r="F406" t="s">
        <v>271</v>
      </c>
      <c r="G406" t="s">
        <v>294</v>
      </c>
      <c r="H406" t="s">
        <v>548</v>
      </c>
      <c r="I406">
        <v>90248</v>
      </c>
      <c r="J406" s="3">
        <v>1082976</v>
      </c>
      <c r="K406" s="2">
        <v>26594</v>
      </c>
      <c r="L406" t="s">
        <v>264</v>
      </c>
      <c r="M406" t="s">
        <v>210</v>
      </c>
      <c r="N406">
        <v>10680</v>
      </c>
      <c r="O406" t="s">
        <v>73</v>
      </c>
      <c r="P406" t="s">
        <v>124</v>
      </c>
      <c r="Q406" t="s">
        <v>204</v>
      </c>
      <c r="R406" s="2">
        <v>44738</v>
      </c>
      <c r="S406" s="1" t="s">
        <v>547</v>
      </c>
      <c r="T406">
        <v>1</v>
      </c>
      <c r="U406" t="s">
        <v>36</v>
      </c>
      <c r="V406">
        <v>2</v>
      </c>
      <c r="W406" t="s">
        <v>36</v>
      </c>
      <c r="X406">
        <v>1</v>
      </c>
      <c r="Y406" t="s">
        <v>48</v>
      </c>
      <c r="Z406">
        <v>1</v>
      </c>
      <c r="AA406" t="s">
        <v>95</v>
      </c>
      <c r="AB406">
        <v>4.3</v>
      </c>
      <c r="AC406" t="s">
        <v>937</v>
      </c>
      <c r="AD406">
        <v>3</v>
      </c>
      <c r="AE406" s="2">
        <v>45678</v>
      </c>
      <c r="AF406">
        <v>5</v>
      </c>
      <c r="AG406">
        <v>4</v>
      </c>
    </row>
    <row r="407" spans="1:33">
      <c r="A407">
        <v>10208</v>
      </c>
      <c r="B407" t="s">
        <v>1077</v>
      </c>
      <c r="C407" t="s">
        <v>31</v>
      </c>
      <c r="D407" t="s">
        <v>31</v>
      </c>
      <c r="E407" t="s">
        <v>929</v>
      </c>
      <c r="F407" t="s">
        <v>37</v>
      </c>
      <c r="G407" t="s">
        <v>28</v>
      </c>
      <c r="H407" t="s">
        <v>66</v>
      </c>
      <c r="I407">
        <v>46654</v>
      </c>
      <c r="J407" s="3">
        <v>559848</v>
      </c>
      <c r="K407" s="2">
        <v>28439</v>
      </c>
      <c r="L407" t="s">
        <v>30</v>
      </c>
      <c r="M407" t="s">
        <v>29</v>
      </c>
      <c r="N407">
        <v>1721</v>
      </c>
      <c r="O407" t="s">
        <v>33</v>
      </c>
      <c r="P407" t="s">
        <v>32</v>
      </c>
      <c r="Q407" t="s">
        <v>68</v>
      </c>
      <c r="R407" s="2">
        <v>41687</v>
      </c>
      <c r="S407" s="1" t="s">
        <v>35</v>
      </c>
      <c r="T407">
        <v>0</v>
      </c>
      <c r="U407" t="s">
        <v>36</v>
      </c>
      <c r="V407">
        <v>1</v>
      </c>
      <c r="W407" t="s">
        <v>36</v>
      </c>
      <c r="X407">
        <v>0</v>
      </c>
      <c r="Y407" t="s">
        <v>39</v>
      </c>
      <c r="Z407">
        <v>3</v>
      </c>
      <c r="AA407" t="s">
        <v>49</v>
      </c>
      <c r="AB407">
        <v>3.1</v>
      </c>
      <c r="AC407" t="s">
        <v>932</v>
      </c>
      <c r="AD407">
        <v>0</v>
      </c>
      <c r="AE407" s="2">
        <v>43502</v>
      </c>
      <c r="AF407">
        <v>0</v>
      </c>
      <c r="AG407">
        <v>3</v>
      </c>
    </row>
    <row r="408" spans="1:33">
      <c r="A408">
        <v>10208</v>
      </c>
      <c r="B408" t="s">
        <v>1430</v>
      </c>
      <c r="C408" t="s">
        <v>42</v>
      </c>
      <c r="D408" t="s">
        <v>56</v>
      </c>
      <c r="E408" t="s">
        <v>929</v>
      </c>
      <c r="F408" t="s">
        <v>274</v>
      </c>
      <c r="G408" t="s">
        <v>294</v>
      </c>
      <c r="H408" t="s">
        <v>549</v>
      </c>
      <c r="I408">
        <v>51402</v>
      </c>
      <c r="J408" s="3">
        <v>616824</v>
      </c>
      <c r="K408" s="2">
        <v>34544</v>
      </c>
      <c r="L408" t="s">
        <v>51</v>
      </c>
      <c r="M408" t="s">
        <v>191</v>
      </c>
      <c r="N408">
        <v>59463</v>
      </c>
      <c r="O408" t="s">
        <v>73</v>
      </c>
      <c r="P408" t="s">
        <v>32</v>
      </c>
      <c r="Q408" t="s">
        <v>204</v>
      </c>
      <c r="R408" s="2">
        <v>44362</v>
      </c>
      <c r="S408" s="1" t="s">
        <v>35</v>
      </c>
      <c r="T408">
        <v>1</v>
      </c>
      <c r="U408" t="s">
        <v>273</v>
      </c>
      <c r="V408">
        <v>3</v>
      </c>
      <c r="W408" t="s">
        <v>36</v>
      </c>
      <c r="X408">
        <v>1</v>
      </c>
      <c r="Y408" t="s">
        <v>268</v>
      </c>
      <c r="Z408">
        <v>1</v>
      </c>
      <c r="AA408" t="s">
        <v>276</v>
      </c>
      <c r="AB408">
        <v>4.4000000000000004</v>
      </c>
      <c r="AC408" t="s">
        <v>1003</v>
      </c>
      <c r="AD408">
        <v>2</v>
      </c>
      <c r="AE408" s="2">
        <v>45608</v>
      </c>
      <c r="AF408">
        <v>5</v>
      </c>
      <c r="AG408">
        <v>10</v>
      </c>
    </row>
    <row r="409" spans="1:33">
      <c r="A409">
        <v>10209</v>
      </c>
      <c r="B409" t="s">
        <v>1186</v>
      </c>
      <c r="C409" t="s">
        <v>31</v>
      </c>
      <c r="D409" t="s">
        <v>31</v>
      </c>
      <c r="E409" t="s">
        <v>934</v>
      </c>
      <c r="F409" t="s">
        <v>37</v>
      </c>
      <c r="G409" t="s">
        <v>28</v>
      </c>
      <c r="H409" t="s">
        <v>55</v>
      </c>
      <c r="I409">
        <v>59238</v>
      </c>
      <c r="J409" s="3">
        <v>710856</v>
      </c>
      <c r="K409" s="2">
        <v>25065</v>
      </c>
      <c r="L409" t="s">
        <v>51</v>
      </c>
      <c r="M409" t="s">
        <v>29</v>
      </c>
      <c r="N409">
        <v>2718</v>
      </c>
      <c r="O409" t="s">
        <v>33</v>
      </c>
      <c r="P409" t="s">
        <v>88</v>
      </c>
      <c r="Q409" t="s">
        <v>92</v>
      </c>
      <c r="R409" s="2">
        <v>41043</v>
      </c>
      <c r="S409" s="1" t="s">
        <v>35</v>
      </c>
      <c r="T409">
        <v>0</v>
      </c>
      <c r="U409" t="s">
        <v>36</v>
      </c>
      <c r="V409">
        <v>1</v>
      </c>
      <c r="W409" t="s">
        <v>36</v>
      </c>
      <c r="X409">
        <v>0</v>
      </c>
      <c r="Y409" t="s">
        <v>48</v>
      </c>
      <c r="Z409">
        <v>3</v>
      </c>
      <c r="AA409" t="s">
        <v>49</v>
      </c>
      <c r="AB409">
        <v>3.4</v>
      </c>
      <c r="AC409" t="s">
        <v>930</v>
      </c>
      <c r="AD409">
        <v>0</v>
      </c>
      <c r="AE409" s="2">
        <v>43496</v>
      </c>
      <c r="AF409">
        <v>0</v>
      </c>
      <c r="AG409">
        <v>13</v>
      </c>
    </row>
    <row r="410" spans="1:33">
      <c r="A410">
        <v>10209</v>
      </c>
      <c r="B410" t="s">
        <v>1431</v>
      </c>
      <c r="C410" t="s">
        <v>42</v>
      </c>
      <c r="D410" t="s">
        <v>31</v>
      </c>
      <c r="E410" t="s">
        <v>929</v>
      </c>
      <c r="F410" t="s">
        <v>271</v>
      </c>
      <c r="G410" t="s">
        <v>28</v>
      </c>
      <c r="H410" t="s">
        <v>550</v>
      </c>
      <c r="I410">
        <v>38528</v>
      </c>
      <c r="J410" s="3">
        <v>462336</v>
      </c>
      <c r="K410" s="2">
        <v>33544</v>
      </c>
      <c r="L410" t="s">
        <v>51</v>
      </c>
      <c r="M410" t="s">
        <v>191</v>
      </c>
      <c r="N410">
        <v>2145</v>
      </c>
      <c r="O410" t="s">
        <v>33</v>
      </c>
      <c r="P410" t="s">
        <v>32</v>
      </c>
      <c r="Q410" t="s">
        <v>270</v>
      </c>
      <c r="R410" s="2">
        <v>45937</v>
      </c>
      <c r="S410" s="1" t="s">
        <v>35</v>
      </c>
      <c r="T410">
        <v>0</v>
      </c>
      <c r="U410" t="s">
        <v>36</v>
      </c>
      <c r="V410">
        <v>2</v>
      </c>
      <c r="W410" t="s">
        <v>45</v>
      </c>
      <c r="X410">
        <v>0</v>
      </c>
      <c r="Y410" t="s">
        <v>142</v>
      </c>
      <c r="Z410">
        <v>2</v>
      </c>
      <c r="AA410" t="s">
        <v>136</v>
      </c>
      <c r="AB410">
        <v>4.9000000000000004</v>
      </c>
      <c r="AC410" t="s">
        <v>962</v>
      </c>
      <c r="AD410">
        <v>2</v>
      </c>
      <c r="AE410" s="2">
        <v>45731</v>
      </c>
      <c r="AF410">
        <v>1</v>
      </c>
      <c r="AG410">
        <v>2</v>
      </c>
    </row>
    <row r="411" spans="1:33">
      <c r="A411">
        <v>10210</v>
      </c>
      <c r="B411" t="s">
        <v>975</v>
      </c>
      <c r="C411" t="s">
        <v>31</v>
      </c>
      <c r="D411" t="s">
        <v>31</v>
      </c>
      <c r="E411" t="s">
        <v>934</v>
      </c>
      <c r="F411" t="s">
        <v>37</v>
      </c>
      <c r="G411" t="s">
        <v>28</v>
      </c>
      <c r="H411" t="s">
        <v>55</v>
      </c>
      <c r="I411">
        <v>54237</v>
      </c>
      <c r="J411" s="3">
        <v>650844</v>
      </c>
      <c r="K411" s="2">
        <v>28898</v>
      </c>
      <c r="L411" t="s">
        <v>51</v>
      </c>
      <c r="M411" t="s">
        <v>29</v>
      </c>
      <c r="N411">
        <v>2170</v>
      </c>
      <c r="O411" t="s">
        <v>33</v>
      </c>
      <c r="P411" t="s">
        <v>32</v>
      </c>
      <c r="Q411" t="s">
        <v>34</v>
      </c>
      <c r="R411" s="2">
        <v>41771</v>
      </c>
      <c r="S411" s="1" t="s">
        <v>35</v>
      </c>
      <c r="T411">
        <v>0</v>
      </c>
      <c r="U411" t="s">
        <v>36</v>
      </c>
      <c r="V411">
        <v>1</v>
      </c>
      <c r="W411" t="s">
        <v>36</v>
      </c>
      <c r="X411">
        <v>0</v>
      </c>
      <c r="Y411" t="s">
        <v>48</v>
      </c>
      <c r="Z411">
        <v>3</v>
      </c>
      <c r="AA411" t="s">
        <v>49</v>
      </c>
      <c r="AB411">
        <v>3.3</v>
      </c>
      <c r="AC411" t="s">
        <v>937</v>
      </c>
      <c r="AD411">
        <v>0</v>
      </c>
      <c r="AE411" s="2">
        <v>43515</v>
      </c>
      <c r="AF411">
        <v>0</v>
      </c>
      <c r="AG411">
        <v>11</v>
      </c>
    </row>
    <row r="412" spans="1:33">
      <c r="A412">
        <v>10210</v>
      </c>
      <c r="B412" t="s">
        <v>1432</v>
      </c>
      <c r="C412" t="s">
        <v>31</v>
      </c>
      <c r="D412" t="s">
        <v>42</v>
      </c>
      <c r="E412" t="s">
        <v>934</v>
      </c>
      <c r="F412" t="s">
        <v>274</v>
      </c>
      <c r="G412" t="s">
        <v>62</v>
      </c>
      <c r="H412" t="s">
        <v>551</v>
      </c>
      <c r="I412">
        <v>61564</v>
      </c>
      <c r="J412" s="3">
        <v>738768</v>
      </c>
      <c r="K412" s="2">
        <v>25052</v>
      </c>
      <c r="L412" t="s">
        <v>51</v>
      </c>
      <c r="M412" t="s">
        <v>210</v>
      </c>
      <c r="N412">
        <v>79513</v>
      </c>
      <c r="O412" t="s">
        <v>33</v>
      </c>
      <c r="P412" t="s">
        <v>124</v>
      </c>
      <c r="Q412" t="s">
        <v>204</v>
      </c>
      <c r="R412" s="2">
        <v>44546</v>
      </c>
      <c r="S412" s="1" t="s">
        <v>35</v>
      </c>
      <c r="T412">
        <v>1</v>
      </c>
      <c r="U412" t="s">
        <v>36</v>
      </c>
      <c r="V412">
        <v>1</v>
      </c>
      <c r="W412" t="s">
        <v>36</v>
      </c>
      <c r="X412">
        <v>1</v>
      </c>
      <c r="Y412" t="s">
        <v>48</v>
      </c>
      <c r="Z412">
        <v>3</v>
      </c>
      <c r="AA412" t="s">
        <v>49</v>
      </c>
      <c r="AB412">
        <v>3.3</v>
      </c>
      <c r="AC412" t="s">
        <v>962</v>
      </c>
      <c r="AD412">
        <v>4</v>
      </c>
      <c r="AE412" s="2">
        <v>45624</v>
      </c>
      <c r="AF412">
        <v>0</v>
      </c>
      <c r="AG412">
        <v>9</v>
      </c>
    </row>
    <row r="413" spans="1:33">
      <c r="A413">
        <v>10211</v>
      </c>
      <c r="B413" t="s">
        <v>1008</v>
      </c>
      <c r="C413" t="s">
        <v>42</v>
      </c>
      <c r="D413" t="s">
        <v>42</v>
      </c>
      <c r="E413" t="s">
        <v>934</v>
      </c>
      <c r="F413" t="s">
        <v>37</v>
      </c>
      <c r="G413" t="s">
        <v>28</v>
      </c>
      <c r="H413" t="s">
        <v>66</v>
      </c>
      <c r="I413">
        <v>62514</v>
      </c>
      <c r="J413" s="3">
        <v>750168</v>
      </c>
      <c r="K413" s="2">
        <v>26930</v>
      </c>
      <c r="L413" t="s">
        <v>51</v>
      </c>
      <c r="M413" t="s">
        <v>29</v>
      </c>
      <c r="N413">
        <v>1749</v>
      </c>
      <c r="O413" t="s">
        <v>33</v>
      </c>
      <c r="P413" t="s">
        <v>32</v>
      </c>
      <c r="Q413" t="s">
        <v>34</v>
      </c>
      <c r="R413" s="2">
        <v>40294</v>
      </c>
      <c r="S413" s="1" t="s">
        <v>35</v>
      </c>
      <c r="T413">
        <v>0</v>
      </c>
      <c r="U413" t="s">
        <v>36</v>
      </c>
      <c r="V413">
        <v>1</v>
      </c>
      <c r="W413" t="s">
        <v>36</v>
      </c>
      <c r="X413">
        <v>0</v>
      </c>
      <c r="Y413" t="s">
        <v>60</v>
      </c>
      <c r="Z413">
        <v>3</v>
      </c>
      <c r="AA413" t="s">
        <v>49</v>
      </c>
      <c r="AB413">
        <v>2.9</v>
      </c>
      <c r="AC413" t="s">
        <v>932</v>
      </c>
      <c r="AD413">
        <v>0</v>
      </c>
      <c r="AE413" s="2">
        <v>43486</v>
      </c>
      <c r="AF413">
        <v>0</v>
      </c>
      <c r="AG413">
        <v>6</v>
      </c>
    </row>
    <row r="414" spans="1:33">
      <c r="A414">
        <v>10211</v>
      </c>
      <c r="B414" t="s">
        <v>1433</v>
      </c>
      <c r="C414" t="s">
        <v>31</v>
      </c>
      <c r="D414" t="s">
        <v>56</v>
      </c>
      <c r="E414" t="s">
        <v>929</v>
      </c>
      <c r="F414" t="s">
        <v>288</v>
      </c>
      <c r="G414" t="s">
        <v>294</v>
      </c>
      <c r="H414" t="s">
        <v>552</v>
      </c>
      <c r="I414">
        <v>54666</v>
      </c>
      <c r="J414" s="3">
        <v>655992</v>
      </c>
      <c r="K414" s="2">
        <v>24525</v>
      </c>
      <c r="L414" t="s">
        <v>51</v>
      </c>
      <c r="M414" t="s">
        <v>144</v>
      </c>
      <c r="N414">
        <v>81498</v>
      </c>
      <c r="O414" t="s">
        <v>33</v>
      </c>
      <c r="P414" t="s">
        <v>32</v>
      </c>
      <c r="Q414" t="s">
        <v>270</v>
      </c>
      <c r="R414" s="2">
        <v>43753</v>
      </c>
      <c r="S414" s="1" t="s">
        <v>35</v>
      </c>
      <c r="T414">
        <v>1</v>
      </c>
      <c r="U414" t="s">
        <v>273</v>
      </c>
      <c r="V414">
        <v>3</v>
      </c>
      <c r="W414" t="s">
        <v>45</v>
      </c>
      <c r="X414">
        <v>1</v>
      </c>
      <c r="Y414" t="s">
        <v>280</v>
      </c>
      <c r="Z414">
        <v>1</v>
      </c>
      <c r="AA414" t="s">
        <v>49</v>
      </c>
      <c r="AB414">
        <v>3.8</v>
      </c>
      <c r="AC414" t="s">
        <v>962</v>
      </c>
      <c r="AD414">
        <v>1</v>
      </c>
      <c r="AE414" s="2">
        <v>45613</v>
      </c>
      <c r="AF414">
        <v>3</v>
      </c>
      <c r="AG414">
        <v>6</v>
      </c>
    </row>
    <row r="415" spans="1:33">
      <c r="A415">
        <v>10212</v>
      </c>
      <c r="B415" t="s">
        <v>991</v>
      </c>
      <c r="C415" t="s">
        <v>42</v>
      </c>
      <c r="D415" t="s">
        <v>42</v>
      </c>
      <c r="E415" t="s">
        <v>934</v>
      </c>
      <c r="F415" t="s">
        <v>46</v>
      </c>
      <c r="G415" t="s">
        <v>131</v>
      </c>
      <c r="H415" t="s">
        <v>72</v>
      </c>
      <c r="I415">
        <v>85028</v>
      </c>
      <c r="J415" s="3">
        <v>1020336</v>
      </c>
      <c r="K415" s="2">
        <v>19011</v>
      </c>
      <c r="L415" t="s">
        <v>51</v>
      </c>
      <c r="M415" t="s">
        <v>98</v>
      </c>
      <c r="N415">
        <v>6033</v>
      </c>
      <c r="O415" t="s">
        <v>33</v>
      </c>
      <c r="P415" t="s">
        <v>32</v>
      </c>
      <c r="Q415" t="s">
        <v>34</v>
      </c>
      <c r="R415" s="2">
        <v>41953</v>
      </c>
      <c r="S415" s="1" t="s">
        <v>35</v>
      </c>
      <c r="T415">
        <v>0</v>
      </c>
      <c r="U415" t="s">
        <v>36</v>
      </c>
      <c r="V415">
        <v>3</v>
      </c>
      <c r="W415" t="s">
        <v>36</v>
      </c>
      <c r="X415">
        <v>0</v>
      </c>
      <c r="Y415" t="s">
        <v>39</v>
      </c>
      <c r="Z415">
        <v>3</v>
      </c>
      <c r="AA415" t="s">
        <v>49</v>
      </c>
      <c r="AB415">
        <v>3.1</v>
      </c>
      <c r="AC415" t="s">
        <v>930</v>
      </c>
      <c r="AD415">
        <v>8</v>
      </c>
      <c r="AE415" s="2">
        <v>43508</v>
      </c>
      <c r="AF415">
        <v>0</v>
      </c>
      <c r="AG415">
        <v>19</v>
      </c>
    </row>
    <row r="416" spans="1:33">
      <c r="A416">
        <v>10212</v>
      </c>
      <c r="B416" t="s">
        <v>1434</v>
      </c>
      <c r="C416" t="s">
        <v>31</v>
      </c>
      <c r="D416" t="s">
        <v>42</v>
      </c>
      <c r="E416" t="s">
        <v>929</v>
      </c>
      <c r="F416" t="s">
        <v>113</v>
      </c>
      <c r="G416" t="s">
        <v>62</v>
      </c>
      <c r="H416" t="s">
        <v>553</v>
      </c>
      <c r="I416">
        <v>97240</v>
      </c>
      <c r="J416" s="3">
        <v>1166880</v>
      </c>
      <c r="K416" s="2">
        <v>28734</v>
      </c>
      <c r="L416" t="s">
        <v>264</v>
      </c>
      <c r="M416" t="s">
        <v>29</v>
      </c>
      <c r="N416">
        <v>45066</v>
      </c>
      <c r="O416" t="s">
        <v>73</v>
      </c>
      <c r="P416" t="s">
        <v>32</v>
      </c>
      <c r="Q416" t="s">
        <v>270</v>
      </c>
      <c r="R416" s="2">
        <v>45317</v>
      </c>
      <c r="S416" s="1" t="s">
        <v>35</v>
      </c>
      <c r="T416">
        <v>1</v>
      </c>
      <c r="U416" t="s">
        <v>273</v>
      </c>
      <c r="V416">
        <v>3</v>
      </c>
      <c r="W416" t="s">
        <v>36</v>
      </c>
      <c r="X416">
        <v>0</v>
      </c>
      <c r="Y416" t="s">
        <v>39</v>
      </c>
      <c r="Z416">
        <v>1</v>
      </c>
      <c r="AA416" t="s">
        <v>276</v>
      </c>
      <c r="AB416">
        <v>3.9</v>
      </c>
      <c r="AC416" t="s">
        <v>962</v>
      </c>
      <c r="AD416">
        <v>4</v>
      </c>
      <c r="AE416" s="2">
        <v>45702</v>
      </c>
      <c r="AF416">
        <v>4</v>
      </c>
      <c r="AG416">
        <v>6</v>
      </c>
    </row>
    <row r="417" spans="1:33">
      <c r="A417">
        <v>10213</v>
      </c>
      <c r="B417" t="s">
        <v>1109</v>
      </c>
      <c r="C417" t="s">
        <v>42</v>
      </c>
      <c r="D417" t="s">
        <v>42</v>
      </c>
      <c r="E417" t="s">
        <v>929</v>
      </c>
      <c r="F417" t="s">
        <v>37</v>
      </c>
      <c r="G417" t="s">
        <v>50</v>
      </c>
      <c r="H417" t="s">
        <v>76</v>
      </c>
      <c r="I417">
        <v>58207</v>
      </c>
      <c r="J417" s="3">
        <v>698484</v>
      </c>
      <c r="K417" s="2">
        <v>33833</v>
      </c>
      <c r="L417" t="s">
        <v>30</v>
      </c>
      <c r="M417" t="s">
        <v>29</v>
      </c>
      <c r="N417">
        <v>1450</v>
      </c>
      <c r="O417" t="s">
        <v>33</v>
      </c>
      <c r="P417" t="s">
        <v>32</v>
      </c>
      <c r="Q417" t="s">
        <v>34</v>
      </c>
      <c r="R417" s="2">
        <v>40854</v>
      </c>
      <c r="S417" s="1" t="s">
        <v>35</v>
      </c>
      <c r="T417">
        <v>0</v>
      </c>
      <c r="U417" t="s">
        <v>36</v>
      </c>
      <c r="V417">
        <v>1</v>
      </c>
      <c r="W417" t="s">
        <v>36</v>
      </c>
      <c r="X417">
        <v>0</v>
      </c>
      <c r="Y417" t="s">
        <v>39</v>
      </c>
      <c r="Z417">
        <v>3</v>
      </c>
      <c r="AA417" t="s">
        <v>49</v>
      </c>
      <c r="AB417">
        <v>3.7</v>
      </c>
      <c r="AC417" t="s">
        <v>932</v>
      </c>
      <c r="AD417">
        <v>0</v>
      </c>
      <c r="AE417" s="2">
        <v>43473</v>
      </c>
      <c r="AF417">
        <v>0</v>
      </c>
      <c r="AG417">
        <v>14</v>
      </c>
    </row>
    <row r="418" spans="1:33">
      <c r="A418">
        <v>10213</v>
      </c>
      <c r="B418" t="s">
        <v>1435</v>
      </c>
      <c r="C418" t="s">
        <v>31</v>
      </c>
      <c r="D418" t="s">
        <v>56</v>
      </c>
      <c r="E418" t="s">
        <v>929</v>
      </c>
      <c r="F418" t="s">
        <v>271</v>
      </c>
      <c r="G418" t="s">
        <v>294</v>
      </c>
      <c r="H418" t="s">
        <v>554</v>
      </c>
      <c r="I418">
        <v>41012</v>
      </c>
      <c r="J418" s="3">
        <v>492144</v>
      </c>
      <c r="K418" s="2">
        <v>23864</v>
      </c>
      <c r="L418" t="s">
        <v>51</v>
      </c>
      <c r="M418" t="s">
        <v>144</v>
      </c>
      <c r="N418">
        <v>67950</v>
      </c>
      <c r="O418" t="s">
        <v>33</v>
      </c>
      <c r="P418" t="s">
        <v>32</v>
      </c>
      <c r="Q418" t="s">
        <v>204</v>
      </c>
      <c r="R418" s="2">
        <v>43965</v>
      </c>
      <c r="S418" s="1" t="s">
        <v>35</v>
      </c>
      <c r="T418">
        <v>1</v>
      </c>
      <c r="U418" t="s">
        <v>36</v>
      </c>
      <c r="V418">
        <v>3</v>
      </c>
      <c r="W418" t="s">
        <v>45</v>
      </c>
      <c r="X418">
        <v>0</v>
      </c>
      <c r="Y418" t="s">
        <v>142</v>
      </c>
      <c r="Z418">
        <v>2</v>
      </c>
      <c r="AA418" t="s">
        <v>49</v>
      </c>
      <c r="AB418">
        <v>3</v>
      </c>
      <c r="AC418" t="s">
        <v>932</v>
      </c>
      <c r="AD418">
        <v>0</v>
      </c>
      <c r="AE418" s="2">
        <v>45830</v>
      </c>
      <c r="AF418">
        <v>0</v>
      </c>
      <c r="AG418">
        <v>7</v>
      </c>
    </row>
    <row r="419" spans="1:33">
      <c r="A419">
        <v>10214</v>
      </c>
      <c r="B419" t="s">
        <v>1436</v>
      </c>
      <c r="C419" t="s">
        <v>42</v>
      </c>
      <c r="D419" t="s">
        <v>42</v>
      </c>
      <c r="E419" t="s">
        <v>929</v>
      </c>
      <c r="F419" t="s">
        <v>288</v>
      </c>
      <c r="G419" t="s">
        <v>294</v>
      </c>
      <c r="H419" t="s">
        <v>555</v>
      </c>
      <c r="I419">
        <v>49250</v>
      </c>
      <c r="J419" s="3">
        <v>591000</v>
      </c>
      <c r="K419" s="2">
        <v>33548</v>
      </c>
      <c r="L419" t="s">
        <v>264</v>
      </c>
      <c r="M419" t="s">
        <v>191</v>
      </c>
      <c r="N419">
        <v>64207</v>
      </c>
      <c r="O419" t="s">
        <v>33</v>
      </c>
      <c r="P419" t="s">
        <v>32</v>
      </c>
      <c r="Q419" t="s">
        <v>92</v>
      </c>
      <c r="R419" s="2">
        <v>42387</v>
      </c>
      <c r="S419" s="1" t="s">
        <v>35</v>
      </c>
      <c r="T419">
        <v>0</v>
      </c>
      <c r="U419" t="s">
        <v>36</v>
      </c>
      <c r="V419">
        <v>1</v>
      </c>
      <c r="W419" t="s">
        <v>36</v>
      </c>
      <c r="X419">
        <v>0</v>
      </c>
      <c r="Y419" t="s">
        <v>142</v>
      </c>
      <c r="Z419">
        <v>4</v>
      </c>
      <c r="AA419" t="s">
        <v>95</v>
      </c>
      <c r="AB419">
        <v>4.9000000000000004</v>
      </c>
      <c r="AC419" t="s">
        <v>937</v>
      </c>
      <c r="AD419">
        <v>2</v>
      </c>
      <c r="AE419" s="2">
        <v>45827</v>
      </c>
      <c r="AF419">
        <v>1</v>
      </c>
      <c r="AG419">
        <v>6</v>
      </c>
    </row>
    <row r="420" spans="1:33">
      <c r="A420">
        <v>10215</v>
      </c>
      <c r="B420" t="s">
        <v>1117</v>
      </c>
      <c r="C420" t="s">
        <v>31</v>
      </c>
      <c r="D420" t="s">
        <v>31</v>
      </c>
      <c r="E420" t="s">
        <v>929</v>
      </c>
      <c r="F420" t="s">
        <v>37</v>
      </c>
      <c r="G420" t="s">
        <v>28</v>
      </c>
      <c r="H420" t="s">
        <v>59</v>
      </c>
      <c r="I420">
        <v>50470</v>
      </c>
      <c r="J420" s="3">
        <v>605640</v>
      </c>
      <c r="K420" s="2">
        <v>32630</v>
      </c>
      <c r="L420" t="s">
        <v>30</v>
      </c>
      <c r="M420" t="s">
        <v>29</v>
      </c>
      <c r="N420">
        <v>2110</v>
      </c>
      <c r="O420" t="s">
        <v>33</v>
      </c>
      <c r="P420" t="s">
        <v>32</v>
      </c>
      <c r="Q420" t="s">
        <v>68</v>
      </c>
      <c r="R420" s="2">
        <v>40812</v>
      </c>
      <c r="S420" s="1" t="s">
        <v>96</v>
      </c>
      <c r="T420">
        <v>1</v>
      </c>
      <c r="U420" t="s">
        <v>58</v>
      </c>
      <c r="V420">
        <v>5</v>
      </c>
      <c r="W420" t="s">
        <v>45</v>
      </c>
      <c r="X420">
        <v>1</v>
      </c>
      <c r="Y420" t="s">
        <v>70</v>
      </c>
      <c r="Z420">
        <v>3</v>
      </c>
      <c r="AA420" t="s">
        <v>49</v>
      </c>
      <c r="AB420">
        <v>4.3</v>
      </c>
      <c r="AC420" t="s">
        <v>932</v>
      </c>
      <c r="AD420">
        <v>0</v>
      </c>
      <c r="AE420" s="2">
        <v>41335</v>
      </c>
      <c r="AF420">
        <v>0</v>
      </c>
      <c r="AG420">
        <v>19</v>
      </c>
    </row>
    <row r="421" spans="1:33">
      <c r="A421">
        <v>10215</v>
      </c>
      <c r="B421" t="s">
        <v>1437</v>
      </c>
      <c r="C421" t="s">
        <v>42</v>
      </c>
      <c r="D421" t="s">
        <v>56</v>
      </c>
      <c r="E421" t="s">
        <v>929</v>
      </c>
      <c r="F421" t="s">
        <v>278</v>
      </c>
      <c r="G421" t="s">
        <v>269</v>
      </c>
      <c r="H421" t="s">
        <v>556</v>
      </c>
      <c r="I421">
        <v>44774</v>
      </c>
      <c r="J421" s="3">
        <v>537288</v>
      </c>
      <c r="K421" s="2">
        <v>29859</v>
      </c>
      <c r="L421" t="s">
        <v>51</v>
      </c>
      <c r="M421" t="s">
        <v>144</v>
      </c>
      <c r="N421">
        <v>40999</v>
      </c>
      <c r="O421" t="s">
        <v>73</v>
      </c>
      <c r="P421" t="s">
        <v>124</v>
      </c>
      <c r="Q421" t="s">
        <v>160</v>
      </c>
      <c r="R421" s="2">
        <v>45351</v>
      </c>
      <c r="S421" s="1" t="s">
        <v>35</v>
      </c>
      <c r="T421">
        <v>1</v>
      </c>
      <c r="U421" t="s">
        <v>266</v>
      </c>
      <c r="V421">
        <v>1</v>
      </c>
      <c r="W421" t="s">
        <v>36</v>
      </c>
      <c r="X421">
        <v>1</v>
      </c>
      <c r="Y421" t="s">
        <v>48</v>
      </c>
      <c r="Z421">
        <v>4</v>
      </c>
      <c r="AA421" t="s">
        <v>49</v>
      </c>
      <c r="AB421">
        <v>3.7</v>
      </c>
      <c r="AC421" t="s">
        <v>1003</v>
      </c>
      <c r="AD421">
        <v>0</v>
      </c>
      <c r="AE421" s="2">
        <v>45816</v>
      </c>
      <c r="AF421">
        <v>4</v>
      </c>
      <c r="AG421">
        <v>5</v>
      </c>
    </row>
    <row r="422" spans="1:33">
      <c r="A422">
        <v>10216</v>
      </c>
      <c r="B422" t="s">
        <v>1115</v>
      </c>
      <c r="C422" t="s">
        <v>31</v>
      </c>
      <c r="D422" t="s">
        <v>31</v>
      </c>
      <c r="E422" t="s">
        <v>929</v>
      </c>
      <c r="F422" t="s">
        <v>37</v>
      </c>
      <c r="G422" t="s">
        <v>28</v>
      </c>
      <c r="H422" t="s">
        <v>54</v>
      </c>
      <c r="I422">
        <v>57575</v>
      </c>
      <c r="J422" s="3">
        <v>690900</v>
      </c>
      <c r="K422" s="2">
        <v>29329</v>
      </c>
      <c r="L422" t="s">
        <v>30</v>
      </c>
      <c r="M422" t="s">
        <v>29</v>
      </c>
      <c r="N422">
        <v>1550</v>
      </c>
      <c r="O422" t="s">
        <v>33</v>
      </c>
      <c r="P422" t="s">
        <v>32</v>
      </c>
      <c r="Q422" t="s">
        <v>92</v>
      </c>
      <c r="R422" s="2">
        <v>41463</v>
      </c>
      <c r="S422" s="1" t="s">
        <v>35</v>
      </c>
      <c r="T422">
        <v>0</v>
      </c>
      <c r="U422" t="s">
        <v>36</v>
      </c>
      <c r="V422">
        <v>1</v>
      </c>
      <c r="W422" t="s">
        <v>36</v>
      </c>
      <c r="X422">
        <v>0</v>
      </c>
      <c r="Y422" t="s">
        <v>39</v>
      </c>
      <c r="Z422">
        <v>3</v>
      </c>
      <c r="AA422" t="s">
        <v>49</v>
      </c>
      <c r="AB422">
        <v>4.0999999999999996</v>
      </c>
      <c r="AC422" t="s">
        <v>937</v>
      </c>
      <c r="AD422">
        <v>0</v>
      </c>
      <c r="AE422" s="2">
        <v>43487</v>
      </c>
      <c r="AF422">
        <v>0</v>
      </c>
      <c r="AG422">
        <v>13</v>
      </c>
    </row>
    <row r="423" spans="1:33">
      <c r="A423">
        <v>10216</v>
      </c>
      <c r="B423" t="s">
        <v>1438</v>
      </c>
      <c r="C423" t="s">
        <v>42</v>
      </c>
      <c r="D423" t="s">
        <v>31</v>
      </c>
      <c r="E423" t="s">
        <v>929</v>
      </c>
      <c r="F423" t="s">
        <v>271</v>
      </c>
      <c r="G423" t="s">
        <v>62</v>
      </c>
      <c r="H423" t="s">
        <v>557</v>
      </c>
      <c r="I423">
        <v>79945</v>
      </c>
      <c r="J423" s="3">
        <v>959340</v>
      </c>
      <c r="K423" s="2">
        <v>27061</v>
      </c>
      <c r="L423" t="s">
        <v>51</v>
      </c>
      <c r="M423" t="s">
        <v>191</v>
      </c>
      <c r="N423">
        <v>83107</v>
      </c>
      <c r="O423" t="s">
        <v>73</v>
      </c>
      <c r="P423" t="s">
        <v>124</v>
      </c>
      <c r="Q423" t="s">
        <v>204</v>
      </c>
      <c r="R423" s="2">
        <v>45058</v>
      </c>
      <c r="S423" s="1" t="s">
        <v>35</v>
      </c>
      <c r="T423">
        <v>0</v>
      </c>
      <c r="U423" t="s">
        <v>36</v>
      </c>
      <c r="V423">
        <v>3</v>
      </c>
      <c r="W423" t="s">
        <v>87</v>
      </c>
      <c r="X423">
        <v>1</v>
      </c>
      <c r="Y423" t="s">
        <v>142</v>
      </c>
      <c r="Z423">
        <v>2</v>
      </c>
      <c r="AA423" t="s">
        <v>136</v>
      </c>
      <c r="AB423">
        <v>3.7</v>
      </c>
      <c r="AC423" t="s">
        <v>937</v>
      </c>
      <c r="AD423">
        <v>3</v>
      </c>
      <c r="AE423" s="2">
        <v>45943</v>
      </c>
      <c r="AF423">
        <v>1</v>
      </c>
      <c r="AG423">
        <v>3</v>
      </c>
    </row>
    <row r="424" spans="1:33">
      <c r="A424">
        <v>10217</v>
      </c>
      <c r="B424" t="s">
        <v>1138</v>
      </c>
      <c r="C424" t="s">
        <v>42</v>
      </c>
      <c r="D424" t="s">
        <v>42</v>
      </c>
      <c r="E424" t="s">
        <v>934</v>
      </c>
      <c r="F424" t="s">
        <v>37</v>
      </c>
      <c r="G424" t="s">
        <v>50</v>
      </c>
      <c r="H424" t="s">
        <v>69</v>
      </c>
      <c r="I424">
        <v>74226</v>
      </c>
      <c r="J424" s="3">
        <v>890712</v>
      </c>
      <c r="K424" s="2">
        <v>28924</v>
      </c>
      <c r="L424" t="s">
        <v>51</v>
      </c>
      <c r="M424" t="s">
        <v>29</v>
      </c>
      <c r="N424">
        <v>2050</v>
      </c>
      <c r="O424" t="s">
        <v>33</v>
      </c>
      <c r="P424" t="s">
        <v>88</v>
      </c>
      <c r="Q424" t="s">
        <v>92</v>
      </c>
      <c r="R424" s="2">
        <v>41001</v>
      </c>
      <c r="S424" s="1" t="s">
        <v>35</v>
      </c>
      <c r="T424">
        <v>0</v>
      </c>
      <c r="U424" t="s">
        <v>36</v>
      </c>
      <c r="V424">
        <v>1</v>
      </c>
      <c r="W424" t="s">
        <v>36</v>
      </c>
      <c r="X424">
        <v>0</v>
      </c>
      <c r="Y424" t="s">
        <v>39</v>
      </c>
      <c r="Z424">
        <v>3</v>
      </c>
      <c r="AA424" t="s">
        <v>49</v>
      </c>
      <c r="AB424">
        <v>4.3</v>
      </c>
      <c r="AC424" t="s">
        <v>932</v>
      </c>
      <c r="AD424">
        <v>0</v>
      </c>
      <c r="AE424" s="2">
        <v>43479</v>
      </c>
      <c r="AF424">
        <v>0</v>
      </c>
      <c r="AG424">
        <v>14</v>
      </c>
    </row>
    <row r="425" spans="1:33">
      <c r="A425">
        <v>10217</v>
      </c>
      <c r="B425" t="s">
        <v>1439</v>
      </c>
      <c r="C425" t="s">
        <v>31</v>
      </c>
      <c r="D425" t="s">
        <v>31</v>
      </c>
      <c r="E425" t="s">
        <v>934</v>
      </c>
      <c r="F425" t="s">
        <v>288</v>
      </c>
      <c r="G425" t="s">
        <v>294</v>
      </c>
      <c r="H425" t="s">
        <v>559</v>
      </c>
      <c r="I425">
        <v>91494</v>
      </c>
      <c r="J425" s="3">
        <v>1097928</v>
      </c>
      <c r="K425" s="2">
        <v>25874</v>
      </c>
      <c r="L425" t="s">
        <v>51</v>
      </c>
      <c r="M425" t="s">
        <v>144</v>
      </c>
      <c r="N425">
        <v>63953</v>
      </c>
      <c r="O425" t="s">
        <v>73</v>
      </c>
      <c r="P425" t="s">
        <v>32</v>
      </c>
      <c r="Q425" t="s">
        <v>270</v>
      </c>
      <c r="R425" s="2">
        <v>43818</v>
      </c>
      <c r="S425" s="1" t="s">
        <v>558</v>
      </c>
      <c r="T425">
        <v>0</v>
      </c>
      <c r="U425" t="s">
        <v>36</v>
      </c>
      <c r="V425">
        <v>2</v>
      </c>
      <c r="W425" t="s">
        <v>45</v>
      </c>
      <c r="X425">
        <v>1</v>
      </c>
      <c r="Y425" t="s">
        <v>39</v>
      </c>
      <c r="Z425">
        <v>3</v>
      </c>
      <c r="AA425" t="s">
        <v>95</v>
      </c>
      <c r="AB425">
        <v>3.3</v>
      </c>
      <c r="AC425" t="s">
        <v>937</v>
      </c>
      <c r="AD425">
        <v>1</v>
      </c>
      <c r="AE425" s="2">
        <v>45847</v>
      </c>
      <c r="AF425">
        <v>1</v>
      </c>
      <c r="AG425">
        <v>8</v>
      </c>
    </row>
    <row r="426" spans="1:33">
      <c r="A426">
        <v>10218</v>
      </c>
      <c r="B426" t="s">
        <v>1044</v>
      </c>
      <c r="C426" t="s">
        <v>31</v>
      </c>
      <c r="D426" t="s">
        <v>964</v>
      </c>
      <c r="E426" t="s">
        <v>934</v>
      </c>
      <c r="F426" t="s">
        <v>37</v>
      </c>
      <c r="G426" t="s">
        <v>50</v>
      </c>
      <c r="H426" t="s">
        <v>54</v>
      </c>
      <c r="I426">
        <v>66149</v>
      </c>
      <c r="J426" s="3">
        <v>793788</v>
      </c>
      <c r="K426" s="2">
        <v>30658</v>
      </c>
      <c r="L426" t="s">
        <v>51</v>
      </c>
      <c r="M426" t="s">
        <v>29</v>
      </c>
      <c r="N426">
        <v>1824</v>
      </c>
      <c r="O426" t="s">
        <v>33</v>
      </c>
      <c r="P426" t="s">
        <v>32</v>
      </c>
      <c r="Q426" t="s">
        <v>168</v>
      </c>
      <c r="R426" s="2">
        <v>41547</v>
      </c>
      <c r="S426" s="1" t="s">
        <v>35</v>
      </c>
      <c r="T426">
        <v>0</v>
      </c>
      <c r="U426" t="s">
        <v>36</v>
      </c>
      <c r="V426">
        <v>3</v>
      </c>
      <c r="W426" t="s">
        <v>36</v>
      </c>
      <c r="X426">
        <v>0</v>
      </c>
      <c r="Y426" t="s">
        <v>60</v>
      </c>
      <c r="Z426">
        <v>3</v>
      </c>
      <c r="AA426" t="s">
        <v>49</v>
      </c>
      <c r="AB426">
        <v>4.4000000000000004</v>
      </c>
      <c r="AC426" t="s">
        <v>930</v>
      </c>
      <c r="AD426">
        <v>0</v>
      </c>
      <c r="AE426" s="2">
        <v>43517</v>
      </c>
      <c r="AF426">
        <v>0</v>
      </c>
      <c r="AG426">
        <v>1</v>
      </c>
    </row>
    <row r="427" spans="1:33">
      <c r="A427">
        <v>10218</v>
      </c>
      <c r="B427" t="s">
        <v>1440</v>
      </c>
      <c r="C427" t="s">
        <v>42</v>
      </c>
      <c r="D427" t="s">
        <v>31</v>
      </c>
      <c r="E427" t="s">
        <v>929</v>
      </c>
      <c r="F427" t="s">
        <v>288</v>
      </c>
      <c r="G427" t="s">
        <v>62</v>
      </c>
      <c r="H427" t="s">
        <v>561</v>
      </c>
      <c r="I427">
        <v>80339</v>
      </c>
      <c r="J427" s="3">
        <v>964068</v>
      </c>
      <c r="K427" s="2">
        <v>37915</v>
      </c>
      <c r="L427" t="s">
        <v>264</v>
      </c>
      <c r="M427" t="s">
        <v>144</v>
      </c>
      <c r="N427">
        <v>53060</v>
      </c>
      <c r="O427" t="s">
        <v>73</v>
      </c>
      <c r="P427" t="s">
        <v>124</v>
      </c>
      <c r="Q427" t="s">
        <v>92</v>
      </c>
      <c r="R427" s="2">
        <v>45329</v>
      </c>
      <c r="S427" s="1" t="s">
        <v>560</v>
      </c>
      <c r="T427">
        <v>0</v>
      </c>
      <c r="U427" t="s">
        <v>36</v>
      </c>
      <c r="V427">
        <v>1</v>
      </c>
      <c r="W427" t="s">
        <v>36</v>
      </c>
      <c r="X427">
        <v>1</v>
      </c>
      <c r="Y427" t="s">
        <v>268</v>
      </c>
      <c r="Z427">
        <v>2</v>
      </c>
      <c r="AA427" t="s">
        <v>95</v>
      </c>
      <c r="AB427">
        <v>3.8</v>
      </c>
      <c r="AC427" t="s">
        <v>932</v>
      </c>
      <c r="AD427">
        <v>5</v>
      </c>
      <c r="AE427" s="2">
        <v>45856</v>
      </c>
      <c r="AF427">
        <v>0</v>
      </c>
      <c r="AG427">
        <v>7</v>
      </c>
    </row>
    <row r="428" spans="1:33">
      <c r="A428">
        <v>10219</v>
      </c>
      <c r="B428" t="s">
        <v>1099</v>
      </c>
      <c r="C428" t="s">
        <v>31</v>
      </c>
      <c r="D428" t="s">
        <v>31</v>
      </c>
      <c r="E428" t="s">
        <v>934</v>
      </c>
      <c r="F428" t="s">
        <v>37</v>
      </c>
      <c r="G428" t="s">
        <v>28</v>
      </c>
      <c r="H428" t="s">
        <v>66</v>
      </c>
      <c r="I428">
        <v>45395</v>
      </c>
      <c r="J428" s="3">
        <v>544740</v>
      </c>
      <c r="K428" s="2">
        <v>31600</v>
      </c>
      <c r="L428" t="s">
        <v>51</v>
      </c>
      <c r="M428" t="s">
        <v>29</v>
      </c>
      <c r="N428">
        <v>2189</v>
      </c>
      <c r="O428" t="s">
        <v>33</v>
      </c>
      <c r="P428" t="s">
        <v>32</v>
      </c>
      <c r="Q428" t="s">
        <v>34</v>
      </c>
      <c r="R428" s="2">
        <v>41645</v>
      </c>
      <c r="S428" s="1" t="s">
        <v>35</v>
      </c>
      <c r="T428">
        <v>0</v>
      </c>
      <c r="U428" t="s">
        <v>36</v>
      </c>
      <c r="V428">
        <v>1</v>
      </c>
      <c r="W428" t="s">
        <v>36</v>
      </c>
      <c r="X428">
        <v>0</v>
      </c>
      <c r="Y428" t="s">
        <v>39</v>
      </c>
      <c r="Z428">
        <v>3</v>
      </c>
      <c r="AA428" t="s">
        <v>49</v>
      </c>
      <c r="AB428">
        <v>4.5999999999999996</v>
      </c>
      <c r="AC428" t="s">
        <v>937</v>
      </c>
      <c r="AD428">
        <v>0</v>
      </c>
      <c r="AE428" s="2">
        <v>43522</v>
      </c>
      <c r="AF428">
        <v>0</v>
      </c>
      <c r="AG428">
        <v>14</v>
      </c>
    </row>
    <row r="429" spans="1:33">
      <c r="A429">
        <v>10219</v>
      </c>
      <c r="B429" t="s">
        <v>1441</v>
      </c>
      <c r="C429" t="s">
        <v>31</v>
      </c>
      <c r="D429" t="s">
        <v>42</v>
      </c>
      <c r="E429" t="s">
        <v>929</v>
      </c>
      <c r="F429" t="s">
        <v>271</v>
      </c>
      <c r="G429" t="s">
        <v>277</v>
      </c>
      <c r="H429" t="s">
        <v>562</v>
      </c>
      <c r="I429">
        <v>113829</v>
      </c>
      <c r="J429" s="3">
        <v>1365948</v>
      </c>
      <c r="K429" s="2">
        <v>31259</v>
      </c>
      <c r="L429" t="s">
        <v>264</v>
      </c>
      <c r="M429" t="s">
        <v>191</v>
      </c>
      <c r="N429">
        <v>62576</v>
      </c>
      <c r="O429" t="s">
        <v>73</v>
      </c>
      <c r="P429" t="s">
        <v>124</v>
      </c>
      <c r="Q429" t="s">
        <v>204</v>
      </c>
      <c r="R429" s="2">
        <v>44603</v>
      </c>
      <c r="S429" s="1" t="s">
        <v>35</v>
      </c>
      <c r="T429">
        <v>0</v>
      </c>
      <c r="U429" t="s">
        <v>36</v>
      </c>
      <c r="V429">
        <v>1</v>
      </c>
      <c r="W429" t="s">
        <v>45</v>
      </c>
      <c r="X429">
        <v>0</v>
      </c>
      <c r="Y429" t="s">
        <v>142</v>
      </c>
      <c r="Z429">
        <v>4</v>
      </c>
      <c r="AA429" t="s">
        <v>136</v>
      </c>
      <c r="AB429">
        <v>2.6</v>
      </c>
      <c r="AC429" t="s">
        <v>1003</v>
      </c>
      <c r="AD429">
        <v>5</v>
      </c>
      <c r="AE429" s="2">
        <v>45939</v>
      </c>
      <c r="AF429">
        <v>0</v>
      </c>
      <c r="AG429">
        <v>9</v>
      </c>
    </row>
    <row r="430" spans="1:33">
      <c r="A430">
        <v>10220</v>
      </c>
      <c r="B430" t="s">
        <v>979</v>
      </c>
      <c r="C430" t="s">
        <v>31</v>
      </c>
      <c r="D430" t="s">
        <v>31</v>
      </c>
      <c r="E430" t="s">
        <v>929</v>
      </c>
      <c r="F430" t="s">
        <v>46</v>
      </c>
      <c r="G430" t="s">
        <v>71</v>
      </c>
      <c r="H430" t="s">
        <v>125</v>
      </c>
      <c r="I430">
        <v>68678</v>
      </c>
      <c r="J430" s="3">
        <v>824136</v>
      </c>
      <c r="K430" s="2">
        <v>31295</v>
      </c>
      <c r="L430" t="s">
        <v>30</v>
      </c>
      <c r="M430" t="s">
        <v>29</v>
      </c>
      <c r="N430">
        <v>2170</v>
      </c>
      <c r="O430" t="s">
        <v>33</v>
      </c>
      <c r="P430" t="s">
        <v>32</v>
      </c>
      <c r="Q430" t="s">
        <v>34</v>
      </c>
      <c r="R430" s="2">
        <v>41157</v>
      </c>
      <c r="S430" s="1" t="s">
        <v>35</v>
      </c>
      <c r="T430">
        <v>0</v>
      </c>
      <c r="U430" t="s">
        <v>36</v>
      </c>
      <c r="V430">
        <v>1</v>
      </c>
      <c r="W430" t="s">
        <v>36</v>
      </c>
      <c r="X430">
        <v>0</v>
      </c>
      <c r="Y430" t="s">
        <v>48</v>
      </c>
      <c r="Z430">
        <v>3</v>
      </c>
      <c r="AA430" t="s">
        <v>49</v>
      </c>
      <c r="AB430">
        <v>4.7</v>
      </c>
      <c r="AC430" t="s">
        <v>932</v>
      </c>
      <c r="AD430">
        <v>6</v>
      </c>
      <c r="AE430" s="2">
        <v>43523</v>
      </c>
      <c r="AF430">
        <v>0</v>
      </c>
      <c r="AG430">
        <v>2</v>
      </c>
    </row>
    <row r="431" spans="1:33">
      <c r="A431">
        <v>10220</v>
      </c>
      <c r="B431" t="s">
        <v>1442</v>
      </c>
      <c r="C431" t="s">
        <v>31</v>
      </c>
      <c r="D431" t="s">
        <v>31</v>
      </c>
      <c r="E431" t="s">
        <v>934</v>
      </c>
      <c r="F431" t="s">
        <v>278</v>
      </c>
      <c r="G431" t="s">
        <v>269</v>
      </c>
      <c r="H431" t="s">
        <v>563</v>
      </c>
      <c r="I431">
        <v>64878</v>
      </c>
      <c r="J431" s="3">
        <v>778536</v>
      </c>
      <c r="K431" s="2">
        <v>32503</v>
      </c>
      <c r="L431" t="s">
        <v>51</v>
      </c>
      <c r="M431" t="s">
        <v>191</v>
      </c>
      <c r="N431">
        <v>24597</v>
      </c>
      <c r="O431" t="s">
        <v>33</v>
      </c>
      <c r="P431" t="s">
        <v>124</v>
      </c>
      <c r="Q431" t="s">
        <v>160</v>
      </c>
      <c r="R431" s="2">
        <v>43343</v>
      </c>
      <c r="S431" s="1" t="s">
        <v>35</v>
      </c>
      <c r="T431">
        <v>1</v>
      </c>
      <c r="U431" t="s">
        <v>273</v>
      </c>
      <c r="V431">
        <v>3</v>
      </c>
      <c r="W431" t="s">
        <v>36</v>
      </c>
      <c r="X431">
        <v>1</v>
      </c>
      <c r="Y431" t="s">
        <v>268</v>
      </c>
      <c r="Z431">
        <v>3</v>
      </c>
      <c r="AA431" t="s">
        <v>95</v>
      </c>
      <c r="AB431">
        <v>4.3</v>
      </c>
      <c r="AC431" t="s">
        <v>932</v>
      </c>
      <c r="AD431">
        <v>4</v>
      </c>
      <c r="AE431" s="2">
        <v>45954</v>
      </c>
      <c r="AF431">
        <v>3</v>
      </c>
      <c r="AG431">
        <v>10</v>
      </c>
    </row>
    <row r="432" spans="1:33">
      <c r="A432">
        <v>10221</v>
      </c>
      <c r="B432" t="s">
        <v>1189</v>
      </c>
      <c r="C432" t="s">
        <v>42</v>
      </c>
      <c r="D432" t="s">
        <v>42</v>
      </c>
      <c r="E432" t="s">
        <v>934</v>
      </c>
      <c r="F432" t="s">
        <v>37</v>
      </c>
      <c r="G432" t="s">
        <v>28</v>
      </c>
      <c r="H432" t="s">
        <v>59</v>
      </c>
      <c r="I432">
        <v>60754</v>
      </c>
      <c r="J432" s="3">
        <v>729048</v>
      </c>
      <c r="K432" s="2">
        <v>27487</v>
      </c>
      <c r="L432" t="s">
        <v>51</v>
      </c>
      <c r="M432" t="s">
        <v>29</v>
      </c>
      <c r="N432">
        <v>1801</v>
      </c>
      <c r="O432" t="s">
        <v>33</v>
      </c>
      <c r="P432" t="s">
        <v>124</v>
      </c>
      <c r="Q432" t="s">
        <v>68</v>
      </c>
      <c r="R432" s="2">
        <v>39930</v>
      </c>
      <c r="S432" s="1" t="s">
        <v>180</v>
      </c>
      <c r="T432">
        <v>1</v>
      </c>
      <c r="U432" t="s">
        <v>75</v>
      </c>
      <c r="V432">
        <v>5</v>
      </c>
      <c r="W432" t="s">
        <v>45</v>
      </c>
      <c r="X432">
        <v>1</v>
      </c>
      <c r="Y432" t="s">
        <v>70</v>
      </c>
      <c r="Z432">
        <v>3</v>
      </c>
      <c r="AA432" t="s">
        <v>49</v>
      </c>
      <c r="AB432">
        <v>4.5</v>
      </c>
      <c r="AC432" t="s">
        <v>930</v>
      </c>
      <c r="AD432">
        <v>0</v>
      </c>
      <c r="AE432" s="2">
        <v>40954</v>
      </c>
      <c r="AF432">
        <v>0</v>
      </c>
      <c r="AG432">
        <v>11</v>
      </c>
    </row>
    <row r="433" spans="1:33">
      <c r="A433">
        <v>10221</v>
      </c>
      <c r="B433" t="s">
        <v>1443</v>
      </c>
      <c r="C433" t="s">
        <v>42</v>
      </c>
      <c r="D433" t="s">
        <v>31</v>
      </c>
      <c r="E433" t="s">
        <v>934</v>
      </c>
      <c r="F433" t="s">
        <v>113</v>
      </c>
      <c r="G433" t="s">
        <v>28</v>
      </c>
      <c r="H433" t="s">
        <v>565</v>
      </c>
      <c r="I433">
        <v>74468</v>
      </c>
      <c r="J433" s="3">
        <v>893616</v>
      </c>
      <c r="K433" s="2">
        <v>26497</v>
      </c>
      <c r="L433" t="s">
        <v>264</v>
      </c>
      <c r="M433" t="s">
        <v>80</v>
      </c>
      <c r="N433">
        <v>92192</v>
      </c>
      <c r="O433" t="s">
        <v>73</v>
      </c>
      <c r="P433" t="s">
        <v>32</v>
      </c>
      <c r="Q433" t="s">
        <v>204</v>
      </c>
      <c r="R433" s="2">
        <v>42927</v>
      </c>
      <c r="S433" s="1" t="s">
        <v>564</v>
      </c>
      <c r="T433">
        <v>1</v>
      </c>
      <c r="U433" t="s">
        <v>273</v>
      </c>
      <c r="V433">
        <v>1</v>
      </c>
      <c r="W433" t="s">
        <v>87</v>
      </c>
      <c r="X433">
        <v>0</v>
      </c>
      <c r="Y433" t="s">
        <v>48</v>
      </c>
      <c r="Z433">
        <v>1</v>
      </c>
      <c r="AA433" t="s">
        <v>95</v>
      </c>
      <c r="AB433">
        <v>3</v>
      </c>
      <c r="AC433" t="s">
        <v>937</v>
      </c>
      <c r="AD433">
        <v>3</v>
      </c>
      <c r="AE433" s="2">
        <v>45747</v>
      </c>
      <c r="AF433">
        <v>4</v>
      </c>
      <c r="AG433">
        <v>10</v>
      </c>
    </row>
    <row r="434" spans="1:33">
      <c r="A434">
        <v>10222</v>
      </c>
      <c r="B434" t="s">
        <v>1161</v>
      </c>
      <c r="C434" t="s">
        <v>31</v>
      </c>
      <c r="D434" t="s">
        <v>56</v>
      </c>
      <c r="E434" t="s">
        <v>929</v>
      </c>
      <c r="F434" t="s">
        <v>46</v>
      </c>
      <c r="G434" t="s">
        <v>235</v>
      </c>
      <c r="H434" t="s">
        <v>116</v>
      </c>
      <c r="I434">
        <v>148999</v>
      </c>
      <c r="J434" s="3">
        <v>1787988</v>
      </c>
      <c r="K434" s="2">
        <v>23380</v>
      </c>
      <c r="L434" t="s">
        <v>30</v>
      </c>
      <c r="M434" t="s">
        <v>29</v>
      </c>
      <c r="N434">
        <v>1915</v>
      </c>
      <c r="O434" t="s">
        <v>33</v>
      </c>
      <c r="P434" t="s">
        <v>32</v>
      </c>
      <c r="Q434" t="s">
        <v>68</v>
      </c>
      <c r="R434" s="2">
        <v>40917</v>
      </c>
      <c r="S434" s="1" t="s">
        <v>137</v>
      </c>
      <c r="T434">
        <v>1</v>
      </c>
      <c r="U434" t="s">
        <v>53</v>
      </c>
      <c r="V434">
        <v>5</v>
      </c>
      <c r="W434" t="s">
        <v>45</v>
      </c>
      <c r="X434">
        <v>1</v>
      </c>
      <c r="Y434" t="s">
        <v>70</v>
      </c>
      <c r="Z434">
        <v>3</v>
      </c>
      <c r="AA434" t="s">
        <v>49</v>
      </c>
      <c r="AB434">
        <v>4.3</v>
      </c>
      <c r="AC434" t="s">
        <v>937</v>
      </c>
      <c r="AD434">
        <v>6</v>
      </c>
      <c r="AE434" s="2">
        <v>42008</v>
      </c>
      <c r="AF434">
        <v>0</v>
      </c>
      <c r="AG434">
        <v>8</v>
      </c>
    </row>
    <row r="435" spans="1:33">
      <c r="A435">
        <v>10222</v>
      </c>
      <c r="B435" t="s">
        <v>1444</v>
      </c>
      <c r="C435" t="s">
        <v>31</v>
      </c>
      <c r="D435" t="s">
        <v>56</v>
      </c>
      <c r="E435" t="s">
        <v>929</v>
      </c>
      <c r="F435" t="s">
        <v>278</v>
      </c>
      <c r="G435" t="s">
        <v>277</v>
      </c>
      <c r="H435" t="s">
        <v>566</v>
      </c>
      <c r="I435">
        <v>30764</v>
      </c>
      <c r="J435" s="3">
        <v>369168</v>
      </c>
      <c r="K435" s="2">
        <v>24655</v>
      </c>
      <c r="L435" t="s">
        <v>51</v>
      </c>
      <c r="M435" t="s">
        <v>80</v>
      </c>
      <c r="N435">
        <v>6176</v>
      </c>
      <c r="O435" t="s">
        <v>73</v>
      </c>
      <c r="P435" t="s">
        <v>124</v>
      </c>
      <c r="Q435" t="s">
        <v>34</v>
      </c>
      <c r="R435" s="2">
        <v>45791</v>
      </c>
      <c r="S435" s="1" t="s">
        <v>35</v>
      </c>
      <c r="T435">
        <v>1</v>
      </c>
      <c r="U435" t="s">
        <v>298</v>
      </c>
      <c r="V435">
        <v>1</v>
      </c>
      <c r="W435" t="s">
        <v>87</v>
      </c>
      <c r="X435">
        <v>0</v>
      </c>
      <c r="Y435" t="s">
        <v>268</v>
      </c>
      <c r="Z435">
        <v>3</v>
      </c>
      <c r="AA435" t="s">
        <v>95</v>
      </c>
      <c r="AB435">
        <v>4.8</v>
      </c>
      <c r="AC435" t="s">
        <v>930</v>
      </c>
      <c r="AD435">
        <v>4</v>
      </c>
      <c r="AE435" s="2">
        <v>45929</v>
      </c>
      <c r="AF435">
        <v>4</v>
      </c>
      <c r="AG435">
        <v>3</v>
      </c>
    </row>
    <row r="436" spans="1:33">
      <c r="A436">
        <v>10223</v>
      </c>
      <c r="B436" t="s">
        <v>1111</v>
      </c>
      <c r="C436" t="s">
        <v>31</v>
      </c>
      <c r="D436" t="s">
        <v>31</v>
      </c>
      <c r="E436" t="s">
        <v>929</v>
      </c>
      <c r="F436" t="s">
        <v>37</v>
      </c>
      <c r="G436" t="s">
        <v>50</v>
      </c>
      <c r="H436" t="s">
        <v>82</v>
      </c>
      <c r="I436">
        <v>72106</v>
      </c>
      <c r="J436" s="3">
        <v>865272</v>
      </c>
      <c r="K436" s="2">
        <v>28097</v>
      </c>
      <c r="L436" t="s">
        <v>30</v>
      </c>
      <c r="M436" t="s">
        <v>29</v>
      </c>
      <c r="N436">
        <v>2127</v>
      </c>
      <c r="O436" t="s">
        <v>33</v>
      </c>
      <c r="P436" t="s">
        <v>32</v>
      </c>
      <c r="Q436" t="s">
        <v>68</v>
      </c>
      <c r="R436" s="2">
        <v>40917</v>
      </c>
      <c r="S436" s="1" t="s">
        <v>35</v>
      </c>
      <c r="T436">
        <v>0</v>
      </c>
      <c r="U436" t="s">
        <v>36</v>
      </c>
      <c r="V436">
        <v>3</v>
      </c>
      <c r="W436" t="s">
        <v>36</v>
      </c>
      <c r="X436">
        <v>1</v>
      </c>
      <c r="Y436" t="s">
        <v>70</v>
      </c>
      <c r="Z436">
        <v>3</v>
      </c>
      <c r="AA436" t="s">
        <v>49</v>
      </c>
      <c r="AB436">
        <v>4.0999999999999996</v>
      </c>
      <c r="AC436" t="s">
        <v>937</v>
      </c>
      <c r="AD436">
        <v>0</v>
      </c>
      <c r="AE436" s="2">
        <v>43496</v>
      </c>
      <c r="AF436">
        <v>0</v>
      </c>
      <c r="AG436">
        <v>12</v>
      </c>
    </row>
    <row r="437" spans="1:33">
      <c r="A437">
        <v>10223</v>
      </c>
      <c r="B437" t="s">
        <v>1445</v>
      </c>
      <c r="C437" t="s">
        <v>42</v>
      </c>
      <c r="D437" t="s">
        <v>42</v>
      </c>
      <c r="E437" t="s">
        <v>934</v>
      </c>
      <c r="F437" t="s">
        <v>274</v>
      </c>
      <c r="G437" t="s">
        <v>269</v>
      </c>
      <c r="H437" t="s">
        <v>568</v>
      </c>
      <c r="I437">
        <v>32223</v>
      </c>
      <c r="J437" s="3">
        <v>386676</v>
      </c>
      <c r="K437" s="2">
        <v>33027</v>
      </c>
      <c r="L437" t="s">
        <v>51</v>
      </c>
      <c r="M437" t="s">
        <v>80</v>
      </c>
      <c r="N437">
        <v>94447</v>
      </c>
      <c r="O437" t="s">
        <v>73</v>
      </c>
      <c r="P437" t="s">
        <v>32</v>
      </c>
      <c r="Q437" t="s">
        <v>270</v>
      </c>
      <c r="R437" s="2">
        <v>43466</v>
      </c>
      <c r="S437" s="1" t="s">
        <v>567</v>
      </c>
      <c r="T437">
        <v>1</v>
      </c>
      <c r="U437" t="s">
        <v>290</v>
      </c>
      <c r="V437">
        <v>1</v>
      </c>
      <c r="W437" t="s">
        <v>45</v>
      </c>
      <c r="X437">
        <v>0</v>
      </c>
      <c r="Y437" t="s">
        <v>268</v>
      </c>
      <c r="Z437">
        <v>3</v>
      </c>
      <c r="AA437" t="s">
        <v>136</v>
      </c>
      <c r="AB437">
        <v>2.8</v>
      </c>
      <c r="AC437" t="s">
        <v>962</v>
      </c>
      <c r="AD437">
        <v>0</v>
      </c>
      <c r="AE437" s="2">
        <v>45883</v>
      </c>
      <c r="AF437">
        <v>3</v>
      </c>
      <c r="AG437">
        <v>6</v>
      </c>
    </row>
    <row r="438" spans="1:33">
      <c r="A438">
        <v>10224</v>
      </c>
      <c r="B438" t="s">
        <v>1152</v>
      </c>
      <c r="C438" t="s">
        <v>42</v>
      </c>
      <c r="D438" t="s">
        <v>42</v>
      </c>
      <c r="E438" t="s">
        <v>929</v>
      </c>
      <c r="F438" t="s">
        <v>37</v>
      </c>
      <c r="G438" t="s">
        <v>50</v>
      </c>
      <c r="H438" t="s">
        <v>54</v>
      </c>
      <c r="I438">
        <v>55578</v>
      </c>
      <c r="J438" s="3">
        <v>666936</v>
      </c>
      <c r="K438" s="2">
        <v>26483</v>
      </c>
      <c r="L438" t="s">
        <v>30</v>
      </c>
      <c r="M438" t="s">
        <v>29</v>
      </c>
      <c r="N438">
        <v>2138</v>
      </c>
      <c r="O438" t="s">
        <v>33</v>
      </c>
      <c r="P438" t="s">
        <v>32</v>
      </c>
      <c r="Q438" t="s">
        <v>34</v>
      </c>
      <c r="R438" s="2">
        <v>40729</v>
      </c>
      <c r="S438" s="1" t="s">
        <v>229</v>
      </c>
      <c r="T438">
        <v>1</v>
      </c>
      <c r="U438" t="s">
        <v>75</v>
      </c>
      <c r="V438">
        <v>5</v>
      </c>
      <c r="W438" t="s">
        <v>45</v>
      </c>
      <c r="X438">
        <v>0</v>
      </c>
      <c r="Y438" t="s">
        <v>48</v>
      </c>
      <c r="Z438">
        <v>3</v>
      </c>
      <c r="AA438" t="s">
        <v>49</v>
      </c>
      <c r="AB438">
        <v>4.2</v>
      </c>
      <c r="AC438" t="s">
        <v>930</v>
      </c>
      <c r="AD438">
        <v>0</v>
      </c>
      <c r="AE438" s="2">
        <v>40914</v>
      </c>
      <c r="AF438">
        <v>0</v>
      </c>
      <c r="AG438">
        <v>13</v>
      </c>
    </row>
    <row r="439" spans="1:33">
      <c r="A439">
        <v>10224</v>
      </c>
      <c r="B439" t="s">
        <v>1446</v>
      </c>
      <c r="C439" t="s">
        <v>42</v>
      </c>
      <c r="D439" t="s">
        <v>42</v>
      </c>
      <c r="E439" t="s">
        <v>934</v>
      </c>
      <c r="F439" t="s">
        <v>288</v>
      </c>
      <c r="G439" t="s">
        <v>62</v>
      </c>
      <c r="H439" t="s">
        <v>569</v>
      </c>
      <c r="I439">
        <v>110080</v>
      </c>
      <c r="J439" s="3">
        <v>1320960</v>
      </c>
      <c r="K439" s="2">
        <v>32801</v>
      </c>
      <c r="L439" t="s">
        <v>51</v>
      </c>
      <c r="M439" t="s">
        <v>191</v>
      </c>
      <c r="N439">
        <v>37987</v>
      </c>
      <c r="O439" t="s">
        <v>73</v>
      </c>
      <c r="P439" t="s">
        <v>32</v>
      </c>
      <c r="Q439" t="s">
        <v>204</v>
      </c>
      <c r="R439" s="2">
        <v>44695</v>
      </c>
      <c r="S439" s="1" t="s">
        <v>35</v>
      </c>
      <c r="T439">
        <v>1</v>
      </c>
      <c r="U439" t="s">
        <v>298</v>
      </c>
      <c r="V439">
        <v>1</v>
      </c>
      <c r="W439" t="s">
        <v>36</v>
      </c>
      <c r="X439">
        <v>1</v>
      </c>
      <c r="Y439" t="s">
        <v>39</v>
      </c>
      <c r="Z439">
        <v>3</v>
      </c>
      <c r="AA439" t="s">
        <v>95</v>
      </c>
      <c r="AB439">
        <v>2.9</v>
      </c>
      <c r="AC439" t="s">
        <v>932</v>
      </c>
      <c r="AD439">
        <v>3</v>
      </c>
      <c r="AE439" s="2">
        <v>45851</v>
      </c>
      <c r="AF439">
        <v>3</v>
      </c>
      <c r="AG439">
        <v>6</v>
      </c>
    </row>
    <row r="440" spans="1:33">
      <c r="A440">
        <v>10225</v>
      </c>
      <c r="B440" t="s">
        <v>1144</v>
      </c>
      <c r="C440" t="s">
        <v>31</v>
      </c>
      <c r="D440" t="s">
        <v>31</v>
      </c>
      <c r="E440" t="s">
        <v>929</v>
      </c>
      <c r="F440" t="s">
        <v>37</v>
      </c>
      <c r="G440" t="s">
        <v>28</v>
      </c>
      <c r="H440" t="s">
        <v>82</v>
      </c>
      <c r="I440">
        <v>59472</v>
      </c>
      <c r="J440" s="3">
        <v>713664</v>
      </c>
      <c r="K440" s="2">
        <v>22451</v>
      </c>
      <c r="L440" t="s">
        <v>30</v>
      </c>
      <c r="M440" t="s">
        <v>29</v>
      </c>
      <c r="N440">
        <v>2109</v>
      </c>
      <c r="O440" t="s">
        <v>33</v>
      </c>
      <c r="P440" t="s">
        <v>32</v>
      </c>
      <c r="Q440" t="s">
        <v>34</v>
      </c>
      <c r="R440" s="2">
        <v>41645</v>
      </c>
      <c r="S440" s="1" t="s">
        <v>35</v>
      </c>
      <c r="T440">
        <v>0</v>
      </c>
      <c r="U440" t="s">
        <v>36</v>
      </c>
      <c r="V440">
        <v>1</v>
      </c>
      <c r="W440" t="s">
        <v>36</v>
      </c>
      <c r="X440">
        <v>0</v>
      </c>
      <c r="Y440" t="s">
        <v>67</v>
      </c>
      <c r="Z440">
        <v>3</v>
      </c>
      <c r="AA440" t="s">
        <v>49</v>
      </c>
      <c r="AB440">
        <v>4.8</v>
      </c>
      <c r="AC440" t="s">
        <v>932</v>
      </c>
      <c r="AD440">
        <v>0</v>
      </c>
      <c r="AE440" s="2">
        <v>43472</v>
      </c>
      <c r="AF440">
        <v>0</v>
      </c>
      <c r="AG440">
        <v>14</v>
      </c>
    </row>
    <row r="441" spans="1:33">
      <c r="A441">
        <v>10225</v>
      </c>
      <c r="B441" t="s">
        <v>1447</v>
      </c>
      <c r="C441" t="s">
        <v>42</v>
      </c>
      <c r="D441" t="s">
        <v>42</v>
      </c>
      <c r="E441" t="s">
        <v>929</v>
      </c>
      <c r="F441" t="s">
        <v>113</v>
      </c>
      <c r="G441" t="s">
        <v>62</v>
      </c>
      <c r="H441" t="s">
        <v>570</v>
      </c>
      <c r="I441">
        <v>38185</v>
      </c>
      <c r="J441" s="3">
        <v>458220</v>
      </c>
      <c r="K441" s="2">
        <v>35867</v>
      </c>
      <c r="L441" t="s">
        <v>51</v>
      </c>
      <c r="M441" t="s">
        <v>210</v>
      </c>
      <c r="N441">
        <v>30574</v>
      </c>
      <c r="O441" t="s">
        <v>73</v>
      </c>
      <c r="P441" t="s">
        <v>32</v>
      </c>
      <c r="Q441" t="s">
        <v>270</v>
      </c>
      <c r="R441" s="2">
        <v>42687</v>
      </c>
      <c r="S441" s="1" t="s">
        <v>35</v>
      </c>
      <c r="T441">
        <v>0</v>
      </c>
      <c r="U441" t="s">
        <v>36</v>
      </c>
      <c r="V441">
        <v>3</v>
      </c>
      <c r="W441" t="s">
        <v>87</v>
      </c>
      <c r="X441">
        <v>0</v>
      </c>
      <c r="Y441" t="s">
        <v>280</v>
      </c>
      <c r="Z441">
        <v>4</v>
      </c>
      <c r="AA441" t="s">
        <v>276</v>
      </c>
      <c r="AB441">
        <v>2.9</v>
      </c>
      <c r="AC441" t="s">
        <v>932</v>
      </c>
      <c r="AD441">
        <v>4</v>
      </c>
      <c r="AE441" s="2">
        <v>45824</v>
      </c>
      <c r="AF441">
        <v>0</v>
      </c>
      <c r="AG441">
        <v>5</v>
      </c>
    </row>
    <row r="442" spans="1:33">
      <c r="A442">
        <v>10226</v>
      </c>
      <c r="B442" t="s">
        <v>953</v>
      </c>
      <c r="C442" t="s">
        <v>31</v>
      </c>
      <c r="D442" t="s">
        <v>56</v>
      </c>
      <c r="E442" t="s">
        <v>934</v>
      </c>
      <c r="F442" t="s">
        <v>37</v>
      </c>
      <c r="G442" t="s">
        <v>28</v>
      </c>
      <c r="H442" t="s">
        <v>66</v>
      </c>
      <c r="I442">
        <v>64919</v>
      </c>
      <c r="J442" s="3">
        <v>779028</v>
      </c>
      <c r="K442" s="2">
        <v>21546</v>
      </c>
      <c r="L442" t="s">
        <v>51</v>
      </c>
      <c r="M442" t="s">
        <v>29</v>
      </c>
      <c r="N442">
        <v>2027</v>
      </c>
      <c r="O442" t="s">
        <v>33</v>
      </c>
      <c r="P442" t="s">
        <v>32</v>
      </c>
      <c r="Q442" t="s">
        <v>92</v>
      </c>
      <c r="R442" s="2">
        <v>41505</v>
      </c>
      <c r="S442" s="1" t="s">
        <v>35</v>
      </c>
      <c r="T442">
        <v>0</v>
      </c>
      <c r="U442" t="s">
        <v>36</v>
      </c>
      <c r="V442">
        <v>1</v>
      </c>
      <c r="W442" t="s">
        <v>36</v>
      </c>
      <c r="X442">
        <v>0</v>
      </c>
      <c r="Y442" t="s">
        <v>48</v>
      </c>
      <c r="Z442">
        <v>3</v>
      </c>
      <c r="AA442" t="s">
        <v>49</v>
      </c>
      <c r="AB442">
        <v>4.2</v>
      </c>
      <c r="AC442" t="s">
        <v>932</v>
      </c>
      <c r="AD442">
        <v>0</v>
      </c>
      <c r="AE442" s="2">
        <v>43475</v>
      </c>
      <c r="AF442">
        <v>0</v>
      </c>
      <c r="AG442">
        <v>2</v>
      </c>
    </row>
    <row r="443" spans="1:33">
      <c r="A443">
        <v>10226</v>
      </c>
      <c r="B443" t="s">
        <v>1448</v>
      </c>
      <c r="C443" t="s">
        <v>42</v>
      </c>
      <c r="D443" t="s">
        <v>56</v>
      </c>
      <c r="E443" t="s">
        <v>929</v>
      </c>
      <c r="F443" t="s">
        <v>271</v>
      </c>
      <c r="G443" t="s">
        <v>294</v>
      </c>
      <c r="H443" t="s">
        <v>571</v>
      </c>
      <c r="I443">
        <v>112568</v>
      </c>
      <c r="J443" s="3">
        <v>1350816</v>
      </c>
      <c r="K443" s="2">
        <v>37552</v>
      </c>
      <c r="L443" t="s">
        <v>264</v>
      </c>
      <c r="M443" t="s">
        <v>144</v>
      </c>
      <c r="N443">
        <v>68714</v>
      </c>
      <c r="O443" t="s">
        <v>33</v>
      </c>
      <c r="P443" t="s">
        <v>32</v>
      </c>
      <c r="Q443" t="s">
        <v>160</v>
      </c>
      <c r="R443" s="2">
        <v>42596</v>
      </c>
      <c r="S443" s="1" t="s">
        <v>35</v>
      </c>
      <c r="T443">
        <v>0</v>
      </c>
      <c r="U443" t="s">
        <v>36</v>
      </c>
      <c r="V443">
        <v>2</v>
      </c>
      <c r="W443" t="s">
        <v>87</v>
      </c>
      <c r="X443">
        <v>0</v>
      </c>
      <c r="Y443" t="s">
        <v>48</v>
      </c>
      <c r="Z443">
        <v>3</v>
      </c>
      <c r="AA443" t="s">
        <v>276</v>
      </c>
      <c r="AB443">
        <v>4.0999999999999996</v>
      </c>
      <c r="AC443" t="s">
        <v>937</v>
      </c>
      <c r="AD443">
        <v>0</v>
      </c>
      <c r="AE443" s="2">
        <v>45962</v>
      </c>
      <c r="AF443">
        <v>3</v>
      </c>
      <c r="AG443">
        <v>9</v>
      </c>
    </row>
    <row r="444" spans="1:33">
      <c r="A444">
        <v>10227</v>
      </c>
      <c r="B444" t="s">
        <v>1064</v>
      </c>
      <c r="C444" t="s">
        <v>31</v>
      </c>
      <c r="D444" t="s">
        <v>31</v>
      </c>
      <c r="E444" t="s">
        <v>934</v>
      </c>
      <c r="F444" t="s">
        <v>37</v>
      </c>
      <c r="G444" t="s">
        <v>28</v>
      </c>
      <c r="H444" t="s">
        <v>76</v>
      </c>
      <c r="I444">
        <v>61242</v>
      </c>
      <c r="J444" s="3">
        <v>734904</v>
      </c>
      <c r="K444" s="2">
        <v>26553</v>
      </c>
      <c r="L444" t="s">
        <v>51</v>
      </c>
      <c r="M444" t="s">
        <v>29</v>
      </c>
      <c r="N444">
        <v>2081</v>
      </c>
      <c r="O444" t="s">
        <v>33</v>
      </c>
      <c r="P444" t="s">
        <v>32</v>
      </c>
      <c r="Q444" t="s">
        <v>68</v>
      </c>
      <c r="R444" s="2">
        <v>41218</v>
      </c>
      <c r="S444" s="1" t="s">
        <v>35</v>
      </c>
      <c r="T444">
        <v>0</v>
      </c>
      <c r="U444" t="s">
        <v>36</v>
      </c>
      <c r="V444">
        <v>1</v>
      </c>
      <c r="W444" t="s">
        <v>36</v>
      </c>
      <c r="X444">
        <v>0</v>
      </c>
      <c r="Y444" t="s">
        <v>39</v>
      </c>
      <c r="Z444">
        <v>3</v>
      </c>
      <c r="AA444" t="s">
        <v>49</v>
      </c>
      <c r="AB444">
        <v>4.0999999999999996</v>
      </c>
      <c r="AC444" t="s">
        <v>932</v>
      </c>
      <c r="AD444">
        <v>0</v>
      </c>
      <c r="AE444" s="2">
        <v>43482</v>
      </c>
      <c r="AF444">
        <v>0</v>
      </c>
      <c r="AG444">
        <v>7</v>
      </c>
    </row>
    <row r="445" spans="1:33">
      <c r="A445">
        <v>10227</v>
      </c>
      <c r="B445" t="s">
        <v>1449</v>
      </c>
      <c r="C445" t="s">
        <v>42</v>
      </c>
      <c r="D445" t="s">
        <v>31</v>
      </c>
      <c r="E445" t="s">
        <v>934</v>
      </c>
      <c r="F445" t="s">
        <v>113</v>
      </c>
      <c r="G445" t="s">
        <v>62</v>
      </c>
      <c r="H445" t="s">
        <v>572</v>
      </c>
      <c r="I445">
        <v>58778</v>
      </c>
      <c r="J445" s="3">
        <v>705336</v>
      </c>
      <c r="K445" s="2">
        <v>25352</v>
      </c>
      <c r="L445" t="s">
        <v>264</v>
      </c>
      <c r="M445" t="s">
        <v>29</v>
      </c>
      <c r="N445">
        <v>80750</v>
      </c>
      <c r="O445" t="s">
        <v>73</v>
      </c>
      <c r="P445" t="s">
        <v>124</v>
      </c>
      <c r="Q445" t="s">
        <v>160</v>
      </c>
      <c r="R445" s="2">
        <v>44020</v>
      </c>
      <c r="S445" s="1" t="s">
        <v>35</v>
      </c>
      <c r="T445">
        <v>0</v>
      </c>
      <c r="U445" t="s">
        <v>36</v>
      </c>
      <c r="V445">
        <v>3</v>
      </c>
      <c r="W445" t="s">
        <v>87</v>
      </c>
      <c r="X445">
        <v>0</v>
      </c>
      <c r="Y445" t="s">
        <v>268</v>
      </c>
      <c r="Z445">
        <v>3</v>
      </c>
      <c r="AA445" t="s">
        <v>49</v>
      </c>
      <c r="AB445">
        <v>3.6</v>
      </c>
      <c r="AC445" t="s">
        <v>937</v>
      </c>
      <c r="AD445">
        <v>0</v>
      </c>
      <c r="AE445" s="2">
        <v>45670</v>
      </c>
      <c r="AF445">
        <v>4</v>
      </c>
      <c r="AG445">
        <v>9</v>
      </c>
    </row>
    <row r="446" spans="1:33">
      <c r="A446">
        <v>10228</v>
      </c>
      <c r="B446" t="s">
        <v>1037</v>
      </c>
      <c r="C446" t="s">
        <v>42</v>
      </c>
      <c r="D446" t="s">
        <v>42</v>
      </c>
      <c r="E446" t="s">
        <v>929</v>
      </c>
      <c r="F446" t="s">
        <v>46</v>
      </c>
      <c r="G446" t="s">
        <v>71</v>
      </c>
      <c r="H446" t="s">
        <v>72</v>
      </c>
      <c r="I446">
        <v>74679</v>
      </c>
      <c r="J446" s="3">
        <v>896148</v>
      </c>
      <c r="K446" s="2">
        <v>32836</v>
      </c>
      <c r="L446" t="s">
        <v>30</v>
      </c>
      <c r="M446" t="s">
        <v>29</v>
      </c>
      <c r="N446">
        <v>2135</v>
      </c>
      <c r="O446" t="s">
        <v>73</v>
      </c>
      <c r="P446" t="s">
        <v>32</v>
      </c>
      <c r="Q446" t="s">
        <v>34</v>
      </c>
      <c r="R446" s="2">
        <v>42093</v>
      </c>
      <c r="S446" s="1" t="s">
        <v>35</v>
      </c>
      <c r="T446">
        <v>0</v>
      </c>
      <c r="U446" t="s">
        <v>36</v>
      </c>
      <c r="V446">
        <v>1</v>
      </c>
      <c r="W446" t="s">
        <v>36</v>
      </c>
      <c r="X446">
        <v>0</v>
      </c>
      <c r="Y446" t="s">
        <v>39</v>
      </c>
      <c r="Z446">
        <v>3</v>
      </c>
      <c r="AA446" t="s">
        <v>49</v>
      </c>
      <c r="AB446">
        <v>4.3</v>
      </c>
      <c r="AC446" t="s">
        <v>930</v>
      </c>
      <c r="AD446">
        <v>7</v>
      </c>
      <c r="AE446" s="2">
        <v>43475</v>
      </c>
      <c r="AF446">
        <v>0</v>
      </c>
      <c r="AG446">
        <v>20</v>
      </c>
    </row>
    <row r="447" spans="1:33">
      <c r="A447">
        <v>10228</v>
      </c>
      <c r="B447" t="s">
        <v>1450</v>
      </c>
      <c r="C447" t="s">
        <v>31</v>
      </c>
      <c r="D447" t="s">
        <v>31</v>
      </c>
      <c r="E447" t="s">
        <v>934</v>
      </c>
      <c r="F447" t="s">
        <v>113</v>
      </c>
      <c r="G447" t="s">
        <v>269</v>
      </c>
      <c r="H447" t="s">
        <v>573</v>
      </c>
      <c r="I447">
        <v>109615</v>
      </c>
      <c r="J447" s="3">
        <v>1315380</v>
      </c>
      <c r="K447" s="2">
        <v>36455</v>
      </c>
      <c r="L447" t="s">
        <v>264</v>
      </c>
      <c r="M447" t="s">
        <v>144</v>
      </c>
      <c r="N447">
        <v>88601</v>
      </c>
      <c r="O447" t="s">
        <v>73</v>
      </c>
      <c r="P447" t="s">
        <v>124</v>
      </c>
      <c r="Q447" t="s">
        <v>160</v>
      </c>
      <c r="R447" s="2">
        <v>42590</v>
      </c>
      <c r="S447" s="1" t="s">
        <v>35</v>
      </c>
      <c r="T447">
        <v>1</v>
      </c>
      <c r="U447" t="s">
        <v>298</v>
      </c>
      <c r="V447">
        <v>3</v>
      </c>
      <c r="W447" t="s">
        <v>45</v>
      </c>
      <c r="X447">
        <v>0</v>
      </c>
      <c r="Y447" t="s">
        <v>268</v>
      </c>
      <c r="Z447">
        <v>2</v>
      </c>
      <c r="AA447" t="s">
        <v>276</v>
      </c>
      <c r="AB447">
        <v>4.5999999999999996</v>
      </c>
      <c r="AC447" t="s">
        <v>1003</v>
      </c>
      <c r="AD447">
        <v>0</v>
      </c>
      <c r="AE447" s="2">
        <v>45303</v>
      </c>
      <c r="AF447">
        <v>1</v>
      </c>
      <c r="AG447">
        <v>10</v>
      </c>
    </row>
    <row r="448" spans="1:33">
      <c r="A448">
        <v>10229</v>
      </c>
      <c r="B448" t="s">
        <v>1166</v>
      </c>
      <c r="C448" t="s">
        <v>31</v>
      </c>
      <c r="D448" t="s">
        <v>56</v>
      </c>
      <c r="E448" t="s">
        <v>929</v>
      </c>
      <c r="F448" t="s">
        <v>46</v>
      </c>
      <c r="G448" t="s">
        <v>237</v>
      </c>
      <c r="H448" t="s">
        <v>47</v>
      </c>
      <c r="I448">
        <v>88527</v>
      </c>
      <c r="J448" s="3">
        <v>1062324</v>
      </c>
      <c r="K448" s="2">
        <v>32128</v>
      </c>
      <c r="L448" t="s">
        <v>30</v>
      </c>
      <c r="M448" t="s">
        <v>29</v>
      </c>
      <c r="N448">
        <v>2452</v>
      </c>
      <c r="O448" t="s">
        <v>33</v>
      </c>
      <c r="P448" t="s">
        <v>32</v>
      </c>
      <c r="Q448" t="s">
        <v>68</v>
      </c>
      <c r="R448" s="2">
        <v>42009</v>
      </c>
      <c r="S448" s="1" t="s">
        <v>238</v>
      </c>
      <c r="T448">
        <v>1</v>
      </c>
      <c r="U448" t="s">
        <v>53</v>
      </c>
      <c r="V448">
        <v>5</v>
      </c>
      <c r="W448" t="s">
        <v>45</v>
      </c>
      <c r="X448">
        <v>0</v>
      </c>
      <c r="Y448" t="s">
        <v>39</v>
      </c>
      <c r="Z448">
        <v>3</v>
      </c>
      <c r="AA448" t="s">
        <v>49</v>
      </c>
      <c r="AB448">
        <v>4.2</v>
      </c>
      <c r="AC448" t="s">
        <v>932</v>
      </c>
      <c r="AD448">
        <v>5</v>
      </c>
      <c r="AE448" s="2">
        <v>42114</v>
      </c>
      <c r="AF448">
        <v>0</v>
      </c>
      <c r="AG448">
        <v>2</v>
      </c>
    </row>
    <row r="449" spans="1:33">
      <c r="A449">
        <v>10229</v>
      </c>
      <c r="B449" t="s">
        <v>1451</v>
      </c>
      <c r="C449" t="s">
        <v>31</v>
      </c>
      <c r="D449" t="s">
        <v>56</v>
      </c>
      <c r="E449" t="s">
        <v>929</v>
      </c>
      <c r="F449" t="s">
        <v>113</v>
      </c>
      <c r="G449" t="s">
        <v>269</v>
      </c>
      <c r="H449" t="s">
        <v>574</v>
      </c>
      <c r="I449">
        <v>37019</v>
      </c>
      <c r="J449" s="3">
        <v>444228</v>
      </c>
      <c r="K449" s="2">
        <v>25938</v>
      </c>
      <c r="L449" t="s">
        <v>264</v>
      </c>
      <c r="M449" t="s">
        <v>29</v>
      </c>
      <c r="N449">
        <v>3541</v>
      </c>
      <c r="O449" t="s">
        <v>33</v>
      </c>
      <c r="P449" t="s">
        <v>124</v>
      </c>
      <c r="Q449" t="s">
        <v>34</v>
      </c>
      <c r="R449" s="2">
        <v>44526</v>
      </c>
      <c r="S449" s="1" t="s">
        <v>35</v>
      </c>
      <c r="T449">
        <v>1</v>
      </c>
      <c r="U449" t="s">
        <v>273</v>
      </c>
      <c r="V449">
        <v>2</v>
      </c>
      <c r="W449" t="s">
        <v>36</v>
      </c>
      <c r="X449">
        <v>1</v>
      </c>
      <c r="Y449" t="s">
        <v>48</v>
      </c>
      <c r="Z449">
        <v>3</v>
      </c>
      <c r="AA449" t="s">
        <v>276</v>
      </c>
      <c r="AB449">
        <v>2.9</v>
      </c>
      <c r="AC449" t="s">
        <v>932</v>
      </c>
      <c r="AD449">
        <v>1</v>
      </c>
      <c r="AE449" s="2">
        <v>45970</v>
      </c>
      <c r="AF449">
        <v>5</v>
      </c>
      <c r="AG449">
        <v>3</v>
      </c>
    </row>
    <row r="450" spans="1:33">
      <c r="A450">
        <v>10230</v>
      </c>
      <c r="B450" t="s">
        <v>1151</v>
      </c>
      <c r="C450" t="s">
        <v>31</v>
      </c>
      <c r="D450" t="s">
        <v>56</v>
      </c>
      <c r="E450" t="s">
        <v>934</v>
      </c>
      <c r="F450" t="s">
        <v>37</v>
      </c>
      <c r="G450" t="s">
        <v>50</v>
      </c>
      <c r="H450" t="s">
        <v>76</v>
      </c>
      <c r="I450">
        <v>64971</v>
      </c>
      <c r="J450" s="3">
        <v>779652</v>
      </c>
      <c r="K450" s="2">
        <v>29834</v>
      </c>
      <c r="L450" t="s">
        <v>51</v>
      </c>
      <c r="M450" t="s">
        <v>29</v>
      </c>
      <c r="N450">
        <v>1902</v>
      </c>
      <c r="O450" t="s">
        <v>33</v>
      </c>
      <c r="P450" t="s">
        <v>88</v>
      </c>
      <c r="Q450" t="s">
        <v>68</v>
      </c>
      <c r="R450" s="2">
        <v>40812</v>
      </c>
      <c r="S450" s="1" t="s">
        <v>228</v>
      </c>
      <c r="T450">
        <v>1</v>
      </c>
      <c r="U450" t="s">
        <v>58</v>
      </c>
      <c r="V450">
        <v>5</v>
      </c>
      <c r="W450" t="s">
        <v>45</v>
      </c>
      <c r="X450">
        <v>0</v>
      </c>
      <c r="Y450" t="s">
        <v>60</v>
      </c>
      <c r="Z450">
        <v>3</v>
      </c>
      <c r="AA450" t="s">
        <v>49</v>
      </c>
      <c r="AB450">
        <v>4.5</v>
      </c>
      <c r="AC450" t="s">
        <v>937</v>
      </c>
      <c r="AD450">
        <v>0</v>
      </c>
      <c r="AE450" s="2">
        <v>40838</v>
      </c>
      <c r="AF450">
        <v>0</v>
      </c>
      <c r="AG450">
        <v>10</v>
      </c>
    </row>
    <row r="451" spans="1:33">
      <c r="A451">
        <v>10230</v>
      </c>
      <c r="B451" t="s">
        <v>1452</v>
      </c>
      <c r="C451" t="s">
        <v>42</v>
      </c>
      <c r="D451" t="s">
        <v>42</v>
      </c>
      <c r="E451" t="s">
        <v>929</v>
      </c>
      <c r="F451" t="s">
        <v>288</v>
      </c>
      <c r="G451" t="s">
        <v>62</v>
      </c>
      <c r="H451" t="s">
        <v>576</v>
      </c>
      <c r="I451">
        <v>64497</v>
      </c>
      <c r="J451" s="3">
        <v>773964</v>
      </c>
      <c r="K451" s="2">
        <v>25413</v>
      </c>
      <c r="L451" t="s">
        <v>51</v>
      </c>
      <c r="M451" t="s">
        <v>210</v>
      </c>
      <c r="N451">
        <v>33950</v>
      </c>
      <c r="O451" t="s">
        <v>33</v>
      </c>
      <c r="P451" t="s">
        <v>32</v>
      </c>
      <c r="Q451" t="s">
        <v>270</v>
      </c>
      <c r="R451" s="2">
        <v>42621</v>
      </c>
      <c r="S451" s="1" t="s">
        <v>575</v>
      </c>
      <c r="T451">
        <v>0</v>
      </c>
      <c r="U451" t="s">
        <v>36</v>
      </c>
      <c r="V451">
        <v>3</v>
      </c>
      <c r="W451" t="s">
        <v>87</v>
      </c>
      <c r="X451">
        <v>0</v>
      </c>
      <c r="Y451" t="s">
        <v>280</v>
      </c>
      <c r="Z451">
        <v>2</v>
      </c>
      <c r="AA451" t="s">
        <v>95</v>
      </c>
      <c r="AB451">
        <v>4.0999999999999996</v>
      </c>
      <c r="AC451" t="s">
        <v>932</v>
      </c>
      <c r="AD451">
        <v>2</v>
      </c>
      <c r="AE451" s="2">
        <v>45702</v>
      </c>
      <c r="AF451">
        <v>1</v>
      </c>
      <c r="AG451">
        <v>10</v>
      </c>
    </row>
    <row r="452" spans="1:33">
      <c r="A452">
        <v>10231</v>
      </c>
      <c r="B452" t="s">
        <v>1074</v>
      </c>
      <c r="C452" t="s">
        <v>31</v>
      </c>
      <c r="D452" t="s">
        <v>31</v>
      </c>
      <c r="E452" t="s">
        <v>929</v>
      </c>
      <c r="F452" t="s">
        <v>113</v>
      </c>
      <c r="G452" t="s">
        <v>110</v>
      </c>
      <c r="H452" t="s">
        <v>121</v>
      </c>
      <c r="I452">
        <v>65310</v>
      </c>
      <c r="J452" s="3">
        <v>783720</v>
      </c>
      <c r="K452" s="2">
        <v>29186</v>
      </c>
      <c r="L452" t="s">
        <v>30</v>
      </c>
      <c r="M452" t="s">
        <v>186</v>
      </c>
      <c r="N452">
        <v>80820</v>
      </c>
      <c r="O452" t="s">
        <v>33</v>
      </c>
      <c r="P452" t="s">
        <v>32</v>
      </c>
      <c r="Q452" t="s">
        <v>34</v>
      </c>
      <c r="R452" s="2">
        <v>41505</v>
      </c>
      <c r="S452" s="1" t="s">
        <v>35</v>
      </c>
      <c r="T452">
        <v>0</v>
      </c>
      <c r="U452" t="s">
        <v>36</v>
      </c>
      <c r="V452">
        <v>1</v>
      </c>
      <c r="W452" t="s">
        <v>36</v>
      </c>
      <c r="X452">
        <v>0</v>
      </c>
      <c r="Y452" t="s">
        <v>48</v>
      </c>
      <c r="Z452">
        <v>3</v>
      </c>
      <c r="AA452" t="s">
        <v>49</v>
      </c>
      <c r="AB452">
        <v>4.3</v>
      </c>
      <c r="AC452" t="s">
        <v>930</v>
      </c>
      <c r="AD452">
        <v>0</v>
      </c>
      <c r="AE452" s="2">
        <v>43487</v>
      </c>
      <c r="AF452">
        <v>0</v>
      </c>
      <c r="AG452">
        <v>13</v>
      </c>
    </row>
    <row r="453" spans="1:33">
      <c r="A453">
        <v>10231</v>
      </c>
      <c r="B453" t="s">
        <v>1453</v>
      </c>
      <c r="C453" t="s">
        <v>31</v>
      </c>
      <c r="D453" t="s">
        <v>42</v>
      </c>
      <c r="E453" t="s">
        <v>929</v>
      </c>
      <c r="F453" t="s">
        <v>288</v>
      </c>
      <c r="G453" t="s">
        <v>28</v>
      </c>
      <c r="H453" t="s">
        <v>578</v>
      </c>
      <c r="I453">
        <v>105834</v>
      </c>
      <c r="J453" s="3">
        <v>1270008</v>
      </c>
      <c r="K453" s="2">
        <v>29637</v>
      </c>
      <c r="L453" t="s">
        <v>264</v>
      </c>
      <c r="M453" t="s">
        <v>29</v>
      </c>
      <c r="N453">
        <v>13814</v>
      </c>
      <c r="O453" t="s">
        <v>73</v>
      </c>
      <c r="P453" t="s">
        <v>124</v>
      </c>
      <c r="Q453" t="s">
        <v>34</v>
      </c>
      <c r="R453" s="2">
        <v>42994</v>
      </c>
      <c r="S453" s="1" t="s">
        <v>577</v>
      </c>
      <c r="T453">
        <v>0</v>
      </c>
      <c r="U453" t="s">
        <v>36</v>
      </c>
      <c r="V453">
        <v>2</v>
      </c>
      <c r="W453" t="s">
        <v>87</v>
      </c>
      <c r="X453">
        <v>1</v>
      </c>
      <c r="Y453" t="s">
        <v>268</v>
      </c>
      <c r="Z453">
        <v>2</v>
      </c>
      <c r="AA453" t="s">
        <v>136</v>
      </c>
      <c r="AB453">
        <v>2.7</v>
      </c>
      <c r="AC453" t="s">
        <v>962</v>
      </c>
      <c r="AD453">
        <v>4</v>
      </c>
      <c r="AE453" s="2">
        <v>45709</v>
      </c>
      <c r="AF453">
        <v>2</v>
      </c>
      <c r="AG453">
        <v>6</v>
      </c>
    </row>
    <row r="454" spans="1:33">
      <c r="A454">
        <v>10232</v>
      </c>
      <c r="B454" t="s">
        <v>1086</v>
      </c>
      <c r="C454" t="s">
        <v>31</v>
      </c>
      <c r="D454" t="s">
        <v>31</v>
      </c>
      <c r="E454" t="s">
        <v>934</v>
      </c>
      <c r="F454" t="s">
        <v>46</v>
      </c>
      <c r="G454" t="s">
        <v>194</v>
      </c>
      <c r="H454" t="s">
        <v>140</v>
      </c>
      <c r="I454">
        <v>81584</v>
      </c>
      <c r="J454" s="3">
        <v>979008</v>
      </c>
      <c r="K454" s="2">
        <v>31942</v>
      </c>
      <c r="L454" t="s">
        <v>51</v>
      </c>
      <c r="M454" t="s">
        <v>29</v>
      </c>
      <c r="N454">
        <v>1886</v>
      </c>
      <c r="O454" t="s">
        <v>33</v>
      </c>
      <c r="P454" t="s">
        <v>32</v>
      </c>
      <c r="Q454" t="s">
        <v>92</v>
      </c>
      <c r="R454" s="2">
        <v>42645</v>
      </c>
      <c r="S454" s="1" t="s">
        <v>35</v>
      </c>
      <c r="T454">
        <v>0</v>
      </c>
      <c r="U454" t="s">
        <v>36</v>
      </c>
      <c r="V454">
        <v>1</v>
      </c>
      <c r="W454" t="s">
        <v>36</v>
      </c>
      <c r="X454">
        <v>0</v>
      </c>
      <c r="Y454" t="s">
        <v>48</v>
      </c>
      <c r="Z454">
        <v>3</v>
      </c>
      <c r="AA454" t="s">
        <v>49</v>
      </c>
      <c r="AB454">
        <v>4.0999999999999996</v>
      </c>
      <c r="AC454" t="s">
        <v>930</v>
      </c>
      <c r="AD454">
        <v>7</v>
      </c>
      <c r="AE454" s="2">
        <v>43473</v>
      </c>
      <c r="AF454">
        <v>0</v>
      </c>
      <c r="AG454">
        <v>2</v>
      </c>
    </row>
    <row r="455" spans="1:33">
      <c r="A455">
        <v>10232</v>
      </c>
      <c r="B455" t="s">
        <v>1454</v>
      </c>
      <c r="C455" t="s">
        <v>42</v>
      </c>
      <c r="D455" t="s">
        <v>31</v>
      </c>
      <c r="E455" t="s">
        <v>929</v>
      </c>
      <c r="F455" t="s">
        <v>288</v>
      </c>
      <c r="G455" t="s">
        <v>294</v>
      </c>
      <c r="H455" t="s">
        <v>579</v>
      </c>
      <c r="I455">
        <v>37369</v>
      </c>
      <c r="J455" s="3">
        <v>448428</v>
      </c>
      <c r="K455" s="2">
        <v>32365</v>
      </c>
      <c r="L455" t="s">
        <v>51</v>
      </c>
      <c r="M455" t="s">
        <v>210</v>
      </c>
      <c r="N455">
        <v>87719</v>
      </c>
      <c r="O455" t="s">
        <v>73</v>
      </c>
      <c r="P455" t="s">
        <v>32</v>
      </c>
      <c r="Q455" t="s">
        <v>204</v>
      </c>
      <c r="R455" s="2">
        <v>45103</v>
      </c>
      <c r="S455" s="1" t="s">
        <v>35</v>
      </c>
      <c r="T455">
        <v>1</v>
      </c>
      <c r="U455" t="s">
        <v>290</v>
      </c>
      <c r="V455">
        <v>2</v>
      </c>
      <c r="W455" t="s">
        <v>45</v>
      </c>
      <c r="X455">
        <v>1</v>
      </c>
      <c r="Y455" t="s">
        <v>48</v>
      </c>
      <c r="Z455">
        <v>3</v>
      </c>
      <c r="AA455" t="s">
        <v>49</v>
      </c>
      <c r="AB455">
        <v>3</v>
      </c>
      <c r="AC455" t="s">
        <v>962</v>
      </c>
      <c r="AD455">
        <v>4</v>
      </c>
      <c r="AE455" s="2">
        <v>45682</v>
      </c>
      <c r="AF455">
        <v>1</v>
      </c>
      <c r="AG455">
        <v>9</v>
      </c>
    </row>
    <row r="456" spans="1:33">
      <c r="A456">
        <v>10233</v>
      </c>
      <c r="B456" t="s">
        <v>1165</v>
      </c>
      <c r="C456" t="s">
        <v>42</v>
      </c>
      <c r="D456" t="s">
        <v>42</v>
      </c>
      <c r="E456" t="s">
        <v>929</v>
      </c>
      <c r="F456" t="s">
        <v>37</v>
      </c>
      <c r="G456" t="s">
        <v>50</v>
      </c>
      <c r="H456" t="s">
        <v>82</v>
      </c>
      <c r="I456">
        <v>57975</v>
      </c>
      <c r="J456" s="3">
        <v>695700</v>
      </c>
      <c r="K456" s="2">
        <v>31528</v>
      </c>
      <c r="L456" t="s">
        <v>30</v>
      </c>
      <c r="M456" t="s">
        <v>29</v>
      </c>
      <c r="N456">
        <v>2062</v>
      </c>
      <c r="O456" t="s">
        <v>33</v>
      </c>
      <c r="P456" t="s">
        <v>32</v>
      </c>
      <c r="Q456" t="s">
        <v>34</v>
      </c>
      <c r="R456" s="2">
        <v>40420</v>
      </c>
      <c r="S456" s="1" t="s">
        <v>35</v>
      </c>
      <c r="T456">
        <v>0</v>
      </c>
      <c r="U456" t="s">
        <v>36</v>
      </c>
      <c r="V456">
        <v>1</v>
      </c>
      <c r="W456" t="s">
        <v>36</v>
      </c>
      <c r="X456">
        <v>0</v>
      </c>
      <c r="Y456" t="s">
        <v>94</v>
      </c>
      <c r="Z456">
        <v>3</v>
      </c>
      <c r="AA456" t="s">
        <v>49</v>
      </c>
      <c r="AB456">
        <v>4.0999999999999996</v>
      </c>
      <c r="AC456" t="s">
        <v>932</v>
      </c>
      <c r="AD456">
        <v>0</v>
      </c>
      <c r="AE456" s="2">
        <v>43475</v>
      </c>
      <c r="AF456">
        <v>0</v>
      </c>
      <c r="AG456">
        <v>13</v>
      </c>
    </row>
    <row r="457" spans="1:33">
      <c r="A457">
        <v>10233</v>
      </c>
      <c r="B457" t="s">
        <v>1455</v>
      </c>
      <c r="C457" t="s">
        <v>42</v>
      </c>
      <c r="D457" t="s">
        <v>42</v>
      </c>
      <c r="E457" t="s">
        <v>934</v>
      </c>
      <c r="F457" t="s">
        <v>113</v>
      </c>
      <c r="G457" t="s">
        <v>28</v>
      </c>
      <c r="H457" t="s">
        <v>580</v>
      </c>
      <c r="I457">
        <v>33764</v>
      </c>
      <c r="J457" s="3">
        <v>405168</v>
      </c>
      <c r="K457" s="2">
        <v>33650</v>
      </c>
      <c r="L457" t="s">
        <v>264</v>
      </c>
      <c r="M457" t="s">
        <v>210</v>
      </c>
      <c r="N457">
        <v>68219</v>
      </c>
      <c r="O457" t="s">
        <v>33</v>
      </c>
      <c r="P457" t="s">
        <v>32</v>
      </c>
      <c r="Q457" t="s">
        <v>204</v>
      </c>
      <c r="R457" s="2">
        <v>42528</v>
      </c>
      <c r="S457" s="1" t="s">
        <v>35</v>
      </c>
      <c r="T457">
        <v>1</v>
      </c>
      <c r="U457" t="s">
        <v>290</v>
      </c>
      <c r="V457">
        <v>3</v>
      </c>
      <c r="W457" t="s">
        <v>36</v>
      </c>
      <c r="X457">
        <v>0</v>
      </c>
      <c r="Y457" t="s">
        <v>142</v>
      </c>
      <c r="Z457">
        <v>4</v>
      </c>
      <c r="AA457" t="s">
        <v>276</v>
      </c>
      <c r="AB457">
        <v>4.8</v>
      </c>
      <c r="AC457" t="s">
        <v>962</v>
      </c>
      <c r="AD457">
        <v>5</v>
      </c>
      <c r="AE457" s="2">
        <v>45768</v>
      </c>
      <c r="AF457">
        <v>3</v>
      </c>
      <c r="AG457">
        <v>8</v>
      </c>
    </row>
    <row r="458" spans="1:33">
      <c r="A458">
        <v>10234</v>
      </c>
      <c r="B458" t="s">
        <v>1456</v>
      </c>
      <c r="C458" t="s">
        <v>42</v>
      </c>
      <c r="D458" t="s">
        <v>42</v>
      </c>
      <c r="E458" t="s">
        <v>929</v>
      </c>
      <c r="F458" t="s">
        <v>274</v>
      </c>
      <c r="G458" t="s">
        <v>62</v>
      </c>
      <c r="H458" t="s">
        <v>582</v>
      </c>
      <c r="I458">
        <v>39469</v>
      </c>
      <c r="J458" s="3">
        <v>473628</v>
      </c>
      <c r="K458" s="2">
        <v>26031</v>
      </c>
      <c r="L458" t="s">
        <v>51</v>
      </c>
      <c r="M458" t="s">
        <v>29</v>
      </c>
      <c r="N458">
        <v>86589</v>
      </c>
      <c r="O458" t="s">
        <v>33</v>
      </c>
      <c r="P458" t="s">
        <v>32</v>
      </c>
      <c r="Q458" t="s">
        <v>34</v>
      </c>
      <c r="R458" s="2">
        <v>42321</v>
      </c>
      <c r="S458" s="1" t="s">
        <v>581</v>
      </c>
      <c r="T458">
        <v>0</v>
      </c>
      <c r="U458" t="s">
        <v>36</v>
      </c>
      <c r="V458">
        <v>2</v>
      </c>
      <c r="W458" t="s">
        <v>45</v>
      </c>
      <c r="X458">
        <v>1</v>
      </c>
      <c r="Y458" t="s">
        <v>142</v>
      </c>
      <c r="Z458">
        <v>4</v>
      </c>
      <c r="AA458" t="s">
        <v>49</v>
      </c>
      <c r="AB458">
        <v>3.9</v>
      </c>
      <c r="AC458" t="s">
        <v>1003</v>
      </c>
      <c r="AD458">
        <v>3</v>
      </c>
      <c r="AE458" s="2">
        <v>45839</v>
      </c>
      <c r="AF458">
        <v>0</v>
      </c>
      <c r="AG458">
        <v>3</v>
      </c>
    </row>
    <row r="459" spans="1:33">
      <c r="A459">
        <v>10234</v>
      </c>
      <c r="B459" t="s">
        <v>1047</v>
      </c>
      <c r="C459" t="s">
        <v>42</v>
      </c>
      <c r="D459" t="s">
        <v>42</v>
      </c>
      <c r="E459" t="s">
        <v>929</v>
      </c>
      <c r="F459" t="s">
        <v>46</v>
      </c>
      <c r="G459" t="s">
        <v>139</v>
      </c>
      <c r="H459" t="s">
        <v>140</v>
      </c>
      <c r="I459">
        <v>99020</v>
      </c>
      <c r="J459" s="3">
        <v>1188240</v>
      </c>
      <c r="K459" s="2">
        <v>32689</v>
      </c>
      <c r="L459" t="s">
        <v>30</v>
      </c>
      <c r="M459" t="s">
        <v>29</v>
      </c>
      <c r="N459">
        <v>2134</v>
      </c>
      <c r="O459" t="s">
        <v>33</v>
      </c>
      <c r="P459" t="s">
        <v>32</v>
      </c>
      <c r="Q459" t="s">
        <v>68</v>
      </c>
      <c r="R459" s="2">
        <v>42845</v>
      </c>
      <c r="S459" s="1" t="s">
        <v>35</v>
      </c>
      <c r="T459">
        <v>0</v>
      </c>
      <c r="U459" t="s">
        <v>36</v>
      </c>
      <c r="V459">
        <v>1</v>
      </c>
      <c r="W459" t="s">
        <v>36</v>
      </c>
      <c r="X459">
        <v>0</v>
      </c>
      <c r="Y459" t="s">
        <v>48</v>
      </c>
      <c r="Z459">
        <v>3</v>
      </c>
      <c r="AA459" t="s">
        <v>49</v>
      </c>
      <c r="AB459">
        <v>4.2</v>
      </c>
      <c r="AC459" t="s">
        <v>930</v>
      </c>
      <c r="AD459">
        <v>5</v>
      </c>
      <c r="AE459" s="2">
        <v>43493</v>
      </c>
      <c r="AF459">
        <v>0</v>
      </c>
      <c r="AG459">
        <v>8</v>
      </c>
    </row>
    <row r="460" spans="1:33">
      <c r="A460">
        <v>10235</v>
      </c>
      <c r="B460" t="s">
        <v>1011</v>
      </c>
      <c r="C460" t="s">
        <v>42</v>
      </c>
      <c r="D460" t="s">
        <v>42</v>
      </c>
      <c r="E460" t="s">
        <v>929</v>
      </c>
      <c r="F460" t="s">
        <v>37</v>
      </c>
      <c r="G460" t="s">
        <v>28</v>
      </c>
      <c r="H460" t="s">
        <v>82</v>
      </c>
      <c r="I460">
        <v>54285</v>
      </c>
      <c r="J460" s="3">
        <v>651420</v>
      </c>
      <c r="K460" s="2">
        <v>28727</v>
      </c>
      <c r="L460" t="s">
        <v>30</v>
      </c>
      <c r="M460" t="s">
        <v>29</v>
      </c>
      <c r="N460">
        <v>2045</v>
      </c>
      <c r="O460" t="s">
        <v>33</v>
      </c>
      <c r="P460" t="s">
        <v>32</v>
      </c>
      <c r="Q460" t="s">
        <v>34</v>
      </c>
      <c r="R460" s="2">
        <v>41729</v>
      </c>
      <c r="S460" s="1" t="s">
        <v>35</v>
      </c>
      <c r="T460">
        <v>0</v>
      </c>
      <c r="U460" t="s">
        <v>36</v>
      </c>
      <c r="V460">
        <v>1</v>
      </c>
      <c r="W460" t="s">
        <v>36</v>
      </c>
      <c r="X460">
        <v>0</v>
      </c>
      <c r="Y460" t="s">
        <v>67</v>
      </c>
      <c r="Z460">
        <v>3</v>
      </c>
      <c r="AA460" t="s">
        <v>49</v>
      </c>
      <c r="AB460">
        <v>4.2</v>
      </c>
      <c r="AC460" t="s">
        <v>932</v>
      </c>
      <c r="AD460">
        <v>0</v>
      </c>
      <c r="AE460" s="2">
        <v>43476</v>
      </c>
      <c r="AF460">
        <v>0</v>
      </c>
      <c r="AG460">
        <v>3</v>
      </c>
    </row>
    <row r="461" spans="1:33">
      <c r="A461">
        <v>10235</v>
      </c>
      <c r="B461" t="s">
        <v>1457</v>
      </c>
      <c r="C461" t="s">
        <v>31</v>
      </c>
      <c r="D461" t="s">
        <v>31</v>
      </c>
      <c r="E461" t="s">
        <v>929</v>
      </c>
      <c r="F461" t="s">
        <v>288</v>
      </c>
      <c r="G461" t="s">
        <v>28</v>
      </c>
      <c r="H461" t="s">
        <v>583</v>
      </c>
      <c r="I461">
        <v>115550</v>
      </c>
      <c r="J461" s="3">
        <v>1386600</v>
      </c>
      <c r="K461" s="2">
        <v>34152</v>
      </c>
      <c r="L461" t="s">
        <v>51</v>
      </c>
      <c r="M461" t="s">
        <v>144</v>
      </c>
      <c r="N461">
        <v>33782</v>
      </c>
      <c r="O461" t="s">
        <v>33</v>
      </c>
      <c r="P461" t="s">
        <v>32</v>
      </c>
      <c r="Q461" t="s">
        <v>92</v>
      </c>
      <c r="R461" s="2">
        <v>43202</v>
      </c>
      <c r="S461" s="1" t="s">
        <v>35</v>
      </c>
      <c r="T461">
        <v>0</v>
      </c>
      <c r="U461" t="s">
        <v>36</v>
      </c>
      <c r="V461">
        <v>3</v>
      </c>
      <c r="W461" t="s">
        <v>87</v>
      </c>
      <c r="X461">
        <v>0</v>
      </c>
      <c r="Y461" t="s">
        <v>268</v>
      </c>
      <c r="Z461">
        <v>1</v>
      </c>
      <c r="AA461" t="s">
        <v>49</v>
      </c>
      <c r="AB461">
        <v>4.5</v>
      </c>
      <c r="AC461" t="s">
        <v>930</v>
      </c>
      <c r="AD461">
        <v>1</v>
      </c>
      <c r="AE461" s="2">
        <v>45673</v>
      </c>
      <c r="AF461">
        <v>3</v>
      </c>
      <c r="AG461">
        <v>1</v>
      </c>
    </row>
    <row r="462" spans="1:33">
      <c r="A462">
        <v>10236</v>
      </c>
      <c r="B462" t="s">
        <v>1065</v>
      </c>
      <c r="C462" t="s">
        <v>31</v>
      </c>
      <c r="D462" t="s">
        <v>56</v>
      </c>
      <c r="E462" t="s">
        <v>934</v>
      </c>
      <c r="F462" t="s">
        <v>37</v>
      </c>
      <c r="G462" t="s">
        <v>28</v>
      </c>
      <c r="H462" t="s">
        <v>54</v>
      </c>
      <c r="I462">
        <v>45069</v>
      </c>
      <c r="J462" s="3">
        <v>540828</v>
      </c>
      <c r="K462" s="2">
        <v>24188</v>
      </c>
      <c r="L462" t="s">
        <v>51</v>
      </c>
      <c r="M462" t="s">
        <v>29</v>
      </c>
      <c r="N462">
        <v>1778</v>
      </c>
      <c r="O462" t="s">
        <v>33</v>
      </c>
      <c r="P462" t="s">
        <v>32</v>
      </c>
      <c r="Q462" t="s">
        <v>34</v>
      </c>
      <c r="R462" s="2">
        <v>41547</v>
      </c>
      <c r="S462" s="1" t="s">
        <v>35</v>
      </c>
      <c r="T462">
        <v>0</v>
      </c>
      <c r="U462" t="s">
        <v>36</v>
      </c>
      <c r="V462">
        <v>1</v>
      </c>
      <c r="W462" t="s">
        <v>36</v>
      </c>
      <c r="X462">
        <v>0</v>
      </c>
      <c r="Y462" t="s">
        <v>67</v>
      </c>
      <c r="Z462">
        <v>3</v>
      </c>
      <c r="AA462" t="s">
        <v>49</v>
      </c>
      <c r="AB462">
        <v>4.3</v>
      </c>
      <c r="AC462" t="s">
        <v>930</v>
      </c>
      <c r="AD462">
        <v>0</v>
      </c>
      <c r="AE462" s="2">
        <v>43518</v>
      </c>
      <c r="AF462">
        <v>0</v>
      </c>
      <c r="AG462">
        <v>7</v>
      </c>
    </row>
    <row r="463" spans="1:33">
      <c r="A463">
        <v>10236</v>
      </c>
      <c r="B463" t="s">
        <v>1458</v>
      </c>
      <c r="C463" t="s">
        <v>42</v>
      </c>
      <c r="D463" t="s">
        <v>56</v>
      </c>
      <c r="E463" t="s">
        <v>934</v>
      </c>
      <c r="F463" t="s">
        <v>271</v>
      </c>
      <c r="G463" t="s">
        <v>277</v>
      </c>
      <c r="H463" t="s">
        <v>584</v>
      </c>
      <c r="I463">
        <v>31665</v>
      </c>
      <c r="J463" s="3">
        <v>379980</v>
      </c>
      <c r="K463" s="2">
        <v>24562</v>
      </c>
      <c r="L463" t="s">
        <v>264</v>
      </c>
      <c r="M463" t="s">
        <v>29</v>
      </c>
      <c r="N463">
        <v>27371</v>
      </c>
      <c r="O463" t="s">
        <v>73</v>
      </c>
      <c r="P463" t="s">
        <v>124</v>
      </c>
      <c r="Q463" t="s">
        <v>160</v>
      </c>
      <c r="R463" s="2">
        <v>44601</v>
      </c>
      <c r="S463" s="1" t="s">
        <v>35</v>
      </c>
      <c r="T463">
        <v>0</v>
      </c>
      <c r="U463" t="s">
        <v>36</v>
      </c>
      <c r="V463">
        <v>2</v>
      </c>
      <c r="W463" t="s">
        <v>36</v>
      </c>
      <c r="X463">
        <v>1</v>
      </c>
      <c r="Y463" t="s">
        <v>39</v>
      </c>
      <c r="Z463">
        <v>4</v>
      </c>
      <c r="AA463" t="s">
        <v>136</v>
      </c>
      <c r="AB463">
        <v>3.5</v>
      </c>
      <c r="AC463" t="s">
        <v>932</v>
      </c>
      <c r="AD463">
        <v>5</v>
      </c>
      <c r="AE463" s="2">
        <v>45334</v>
      </c>
      <c r="AF463">
        <v>4</v>
      </c>
      <c r="AG463">
        <v>3</v>
      </c>
    </row>
    <row r="464" spans="1:33">
      <c r="A464">
        <v>10237</v>
      </c>
      <c r="B464" t="s">
        <v>1042</v>
      </c>
      <c r="C464" t="s">
        <v>42</v>
      </c>
      <c r="D464" t="s">
        <v>42</v>
      </c>
      <c r="E464" t="s">
        <v>934</v>
      </c>
      <c r="F464" t="s">
        <v>37</v>
      </c>
      <c r="G464" t="s">
        <v>50</v>
      </c>
      <c r="H464" t="s">
        <v>76</v>
      </c>
      <c r="I464">
        <v>66825</v>
      </c>
      <c r="J464" s="3">
        <v>801900</v>
      </c>
      <c r="K464" s="2">
        <v>31557</v>
      </c>
      <c r="L464" t="s">
        <v>51</v>
      </c>
      <c r="M464" t="s">
        <v>29</v>
      </c>
      <c r="N464">
        <v>1886</v>
      </c>
      <c r="O464" t="s">
        <v>33</v>
      </c>
      <c r="P464" t="s">
        <v>32</v>
      </c>
      <c r="Q464" t="s">
        <v>34</v>
      </c>
      <c r="R464" s="2">
        <v>41771</v>
      </c>
      <c r="S464" s="1" t="s">
        <v>35</v>
      </c>
      <c r="T464">
        <v>0</v>
      </c>
      <c r="U464" t="s">
        <v>36</v>
      </c>
      <c r="V464">
        <v>3</v>
      </c>
      <c r="W464" t="s">
        <v>36</v>
      </c>
      <c r="X464">
        <v>0</v>
      </c>
      <c r="Y464" t="s">
        <v>39</v>
      </c>
      <c r="Z464">
        <v>3</v>
      </c>
      <c r="AA464" t="s">
        <v>49</v>
      </c>
      <c r="AB464">
        <v>4.5999999999999996</v>
      </c>
      <c r="AC464" t="s">
        <v>932</v>
      </c>
      <c r="AD464">
        <v>0</v>
      </c>
      <c r="AE464" s="2">
        <v>43503</v>
      </c>
      <c r="AF464">
        <v>0</v>
      </c>
      <c r="AG464">
        <v>20</v>
      </c>
    </row>
    <row r="465" spans="1:33">
      <c r="A465">
        <v>10237</v>
      </c>
      <c r="B465" t="s">
        <v>1459</v>
      </c>
      <c r="C465" t="s">
        <v>42</v>
      </c>
      <c r="D465" t="s">
        <v>31</v>
      </c>
      <c r="E465" t="s">
        <v>934</v>
      </c>
      <c r="F465" t="s">
        <v>283</v>
      </c>
      <c r="G465" t="s">
        <v>28</v>
      </c>
      <c r="H465" t="s">
        <v>585</v>
      </c>
      <c r="I465">
        <v>105228</v>
      </c>
      <c r="J465" s="3">
        <v>1262736</v>
      </c>
      <c r="K465" s="2">
        <v>26541</v>
      </c>
      <c r="L465" t="s">
        <v>264</v>
      </c>
      <c r="M465" t="s">
        <v>210</v>
      </c>
      <c r="N465">
        <v>41592</v>
      </c>
      <c r="O465" t="s">
        <v>73</v>
      </c>
      <c r="P465" t="s">
        <v>124</v>
      </c>
      <c r="Q465" t="s">
        <v>34</v>
      </c>
      <c r="R465" s="2">
        <v>43913</v>
      </c>
      <c r="S465" s="1" t="s">
        <v>35</v>
      </c>
      <c r="T465">
        <v>0</v>
      </c>
      <c r="U465" t="s">
        <v>36</v>
      </c>
      <c r="V465">
        <v>3</v>
      </c>
      <c r="W465" t="s">
        <v>36</v>
      </c>
      <c r="X465">
        <v>1</v>
      </c>
      <c r="Y465" t="s">
        <v>48</v>
      </c>
      <c r="Z465">
        <v>3</v>
      </c>
      <c r="AA465" t="s">
        <v>276</v>
      </c>
      <c r="AB465">
        <v>4.0999999999999996</v>
      </c>
      <c r="AC465" t="s">
        <v>937</v>
      </c>
      <c r="AD465">
        <v>0</v>
      </c>
      <c r="AE465" s="2">
        <v>45968</v>
      </c>
      <c r="AF465">
        <v>1</v>
      </c>
      <c r="AG465">
        <v>10</v>
      </c>
    </row>
    <row r="466" spans="1:33">
      <c r="A466">
        <v>10238</v>
      </c>
      <c r="B466" t="s">
        <v>961</v>
      </c>
      <c r="C466" t="s">
        <v>42</v>
      </c>
      <c r="D466" t="s">
        <v>42</v>
      </c>
      <c r="E466" t="s">
        <v>934</v>
      </c>
      <c r="F466" t="s">
        <v>102</v>
      </c>
      <c r="G466" t="s">
        <v>109</v>
      </c>
      <c r="H466" t="s">
        <v>103</v>
      </c>
      <c r="I466">
        <v>63000</v>
      </c>
      <c r="J466" s="3">
        <v>756000</v>
      </c>
      <c r="K466" s="2">
        <v>32105</v>
      </c>
      <c r="L466" t="s">
        <v>51</v>
      </c>
      <c r="M466" t="s">
        <v>29</v>
      </c>
      <c r="N466">
        <v>1450</v>
      </c>
      <c r="O466" t="s">
        <v>33</v>
      </c>
      <c r="P466" t="s">
        <v>32</v>
      </c>
      <c r="Q466" t="s">
        <v>68</v>
      </c>
      <c r="R466" s="2">
        <v>39748</v>
      </c>
      <c r="S466" s="1" t="s">
        <v>35</v>
      </c>
      <c r="T466">
        <v>0</v>
      </c>
      <c r="U466" t="s">
        <v>36</v>
      </c>
      <c r="V466">
        <v>1</v>
      </c>
      <c r="W466" t="s">
        <v>36</v>
      </c>
      <c r="X466">
        <v>1</v>
      </c>
      <c r="Y466" t="s">
        <v>70</v>
      </c>
      <c r="Z466">
        <v>3</v>
      </c>
      <c r="AA466" t="s">
        <v>49</v>
      </c>
      <c r="AB466">
        <v>4.5</v>
      </c>
      <c r="AC466" t="s">
        <v>962</v>
      </c>
      <c r="AD466">
        <v>6</v>
      </c>
      <c r="AE466" s="2">
        <v>43480</v>
      </c>
      <c r="AF466">
        <v>0</v>
      </c>
      <c r="AG466">
        <v>14</v>
      </c>
    </row>
    <row r="467" spans="1:33">
      <c r="A467">
        <v>10238</v>
      </c>
      <c r="B467" t="s">
        <v>1460</v>
      </c>
      <c r="C467" t="s">
        <v>42</v>
      </c>
      <c r="D467" t="s">
        <v>42</v>
      </c>
      <c r="E467" t="s">
        <v>929</v>
      </c>
      <c r="F467" t="s">
        <v>288</v>
      </c>
      <c r="G467" t="s">
        <v>294</v>
      </c>
      <c r="H467" t="s">
        <v>586</v>
      </c>
      <c r="I467">
        <v>64295</v>
      </c>
      <c r="J467" s="3">
        <v>771540</v>
      </c>
      <c r="K467" s="2">
        <v>23895</v>
      </c>
      <c r="L467" t="s">
        <v>264</v>
      </c>
      <c r="M467" t="s">
        <v>191</v>
      </c>
      <c r="N467">
        <v>17007</v>
      </c>
      <c r="O467" t="s">
        <v>33</v>
      </c>
      <c r="P467" t="s">
        <v>32</v>
      </c>
      <c r="Q467" t="s">
        <v>34</v>
      </c>
      <c r="R467" s="2">
        <v>43330</v>
      </c>
      <c r="S467" s="1" t="s">
        <v>35</v>
      </c>
      <c r="T467">
        <v>1</v>
      </c>
      <c r="U467" t="s">
        <v>298</v>
      </c>
      <c r="V467">
        <v>3</v>
      </c>
      <c r="W467" t="s">
        <v>36</v>
      </c>
      <c r="X467">
        <v>0</v>
      </c>
      <c r="Y467" t="s">
        <v>39</v>
      </c>
      <c r="Z467">
        <v>3</v>
      </c>
      <c r="AA467" t="s">
        <v>276</v>
      </c>
      <c r="AB467">
        <v>3.5</v>
      </c>
      <c r="AC467" t="s">
        <v>937</v>
      </c>
      <c r="AD467">
        <v>1</v>
      </c>
      <c r="AE467" s="2">
        <v>45693</v>
      </c>
      <c r="AF467">
        <v>5</v>
      </c>
      <c r="AG467">
        <v>4</v>
      </c>
    </row>
    <row r="468" spans="1:33">
      <c r="A468">
        <v>10239</v>
      </c>
      <c r="B468" t="s">
        <v>1147</v>
      </c>
      <c r="C468" t="s">
        <v>42</v>
      </c>
      <c r="D468" t="s">
        <v>42</v>
      </c>
      <c r="E468" t="s">
        <v>934</v>
      </c>
      <c r="F468" t="s">
        <v>46</v>
      </c>
      <c r="G468" t="s">
        <v>139</v>
      </c>
      <c r="H468" t="s">
        <v>140</v>
      </c>
      <c r="I468">
        <v>95920</v>
      </c>
      <c r="J468" s="3">
        <v>1151040</v>
      </c>
      <c r="K468" s="2">
        <v>29353</v>
      </c>
      <c r="L468" t="s">
        <v>51</v>
      </c>
      <c r="M468" t="s">
        <v>29</v>
      </c>
      <c r="N468">
        <v>2110</v>
      </c>
      <c r="O468" t="s">
        <v>33</v>
      </c>
      <c r="P468" t="s">
        <v>32</v>
      </c>
      <c r="Q468" t="s">
        <v>68</v>
      </c>
      <c r="R468" s="2">
        <v>42645</v>
      </c>
      <c r="S468" s="1" t="s">
        <v>35</v>
      </c>
      <c r="T468">
        <v>0</v>
      </c>
      <c r="U468" t="s">
        <v>36</v>
      </c>
      <c r="V468">
        <v>1</v>
      </c>
      <c r="W468" t="s">
        <v>36</v>
      </c>
      <c r="X468">
        <v>0</v>
      </c>
      <c r="Y468" t="s">
        <v>48</v>
      </c>
      <c r="Z468">
        <v>3</v>
      </c>
      <c r="AA468" t="s">
        <v>49</v>
      </c>
      <c r="AB468">
        <v>4.4000000000000004</v>
      </c>
      <c r="AC468" t="s">
        <v>937</v>
      </c>
      <c r="AD468">
        <v>6</v>
      </c>
      <c r="AE468" s="2">
        <v>43502</v>
      </c>
      <c r="AF468">
        <v>0</v>
      </c>
      <c r="AG468">
        <v>10</v>
      </c>
    </row>
    <row r="469" spans="1:33">
      <c r="A469">
        <v>10239</v>
      </c>
      <c r="B469" t="s">
        <v>1461</v>
      </c>
      <c r="C469" t="s">
        <v>42</v>
      </c>
      <c r="D469" t="s">
        <v>56</v>
      </c>
      <c r="E469" t="s">
        <v>929</v>
      </c>
      <c r="F469" t="s">
        <v>113</v>
      </c>
      <c r="G469" t="s">
        <v>277</v>
      </c>
      <c r="H469" t="s">
        <v>588</v>
      </c>
      <c r="I469">
        <v>45011</v>
      </c>
      <c r="J469" s="3">
        <v>540132</v>
      </c>
      <c r="K469" s="2">
        <v>25102</v>
      </c>
      <c r="L469" t="s">
        <v>51</v>
      </c>
      <c r="M469" t="s">
        <v>191</v>
      </c>
      <c r="N469">
        <v>41998</v>
      </c>
      <c r="O469" t="s">
        <v>33</v>
      </c>
      <c r="P469" t="s">
        <v>124</v>
      </c>
      <c r="Q469" t="s">
        <v>204</v>
      </c>
      <c r="R469" s="2">
        <v>43736</v>
      </c>
      <c r="S469" s="1" t="s">
        <v>587</v>
      </c>
      <c r="T469">
        <v>0</v>
      </c>
      <c r="U469" t="s">
        <v>36</v>
      </c>
      <c r="V469">
        <v>2</v>
      </c>
      <c r="W469" t="s">
        <v>87</v>
      </c>
      <c r="X469">
        <v>1</v>
      </c>
      <c r="Y469" t="s">
        <v>39</v>
      </c>
      <c r="Z469">
        <v>4</v>
      </c>
      <c r="AA469" t="s">
        <v>49</v>
      </c>
      <c r="AB469">
        <v>3</v>
      </c>
      <c r="AC469" t="s">
        <v>962</v>
      </c>
      <c r="AD469">
        <v>1</v>
      </c>
      <c r="AE469" s="2">
        <v>45831</v>
      </c>
      <c r="AF469">
        <v>1</v>
      </c>
      <c r="AG469">
        <v>2</v>
      </c>
    </row>
    <row r="470" spans="1:33">
      <c r="A470">
        <v>10240</v>
      </c>
      <c r="B470" t="s">
        <v>977</v>
      </c>
      <c r="C470" t="s">
        <v>31</v>
      </c>
      <c r="D470" t="s">
        <v>31</v>
      </c>
      <c r="E470" t="s">
        <v>934</v>
      </c>
      <c r="F470" t="s">
        <v>37</v>
      </c>
      <c r="G470" t="s">
        <v>28</v>
      </c>
      <c r="H470" t="s">
        <v>61</v>
      </c>
      <c r="I470">
        <v>64786</v>
      </c>
      <c r="J470" s="3">
        <v>777432</v>
      </c>
      <c r="K470" s="2">
        <v>30555</v>
      </c>
      <c r="L470" t="s">
        <v>51</v>
      </c>
      <c r="M470" t="s">
        <v>29</v>
      </c>
      <c r="N470">
        <v>1775</v>
      </c>
      <c r="O470" t="s">
        <v>33</v>
      </c>
      <c r="P470" t="s">
        <v>32</v>
      </c>
      <c r="Q470" t="s">
        <v>34</v>
      </c>
      <c r="R470" s="2">
        <v>40721</v>
      </c>
      <c r="S470" s="1" t="s">
        <v>122</v>
      </c>
      <c r="T470">
        <v>1</v>
      </c>
      <c r="U470" t="s">
        <v>123</v>
      </c>
      <c r="V470">
        <v>5</v>
      </c>
      <c r="W470" t="s">
        <v>45</v>
      </c>
      <c r="X470">
        <v>0</v>
      </c>
      <c r="Y470" t="s">
        <v>48</v>
      </c>
      <c r="Z470">
        <v>3</v>
      </c>
      <c r="AA470" t="s">
        <v>49</v>
      </c>
      <c r="AB470">
        <v>4.3</v>
      </c>
      <c r="AC470" t="s">
        <v>937</v>
      </c>
      <c r="AD470">
        <v>0</v>
      </c>
      <c r="AE470" s="2">
        <v>42073</v>
      </c>
      <c r="AF470">
        <v>0</v>
      </c>
      <c r="AG470">
        <v>3</v>
      </c>
    </row>
    <row r="471" spans="1:33">
      <c r="A471">
        <v>10240</v>
      </c>
      <c r="B471" t="s">
        <v>1462</v>
      </c>
      <c r="C471" t="s">
        <v>42</v>
      </c>
      <c r="D471" t="s">
        <v>42</v>
      </c>
      <c r="E471" t="s">
        <v>929</v>
      </c>
      <c r="F471" t="s">
        <v>288</v>
      </c>
      <c r="G471" t="s">
        <v>269</v>
      </c>
      <c r="H471" t="s">
        <v>589</v>
      </c>
      <c r="I471">
        <v>107307</v>
      </c>
      <c r="J471" s="3">
        <v>1287684</v>
      </c>
      <c r="K471" s="2">
        <v>29151</v>
      </c>
      <c r="L471" t="s">
        <v>264</v>
      </c>
      <c r="M471" t="s">
        <v>80</v>
      </c>
      <c r="N471">
        <v>11639</v>
      </c>
      <c r="O471" t="s">
        <v>73</v>
      </c>
      <c r="P471" t="s">
        <v>32</v>
      </c>
      <c r="Q471" t="s">
        <v>160</v>
      </c>
      <c r="R471" s="2">
        <v>45812</v>
      </c>
      <c r="S471" s="1" t="s">
        <v>35</v>
      </c>
      <c r="T471">
        <v>0</v>
      </c>
      <c r="U471" t="s">
        <v>36</v>
      </c>
      <c r="V471">
        <v>1</v>
      </c>
      <c r="W471" t="s">
        <v>36</v>
      </c>
      <c r="X471">
        <v>0</v>
      </c>
      <c r="Y471" t="s">
        <v>268</v>
      </c>
      <c r="Z471">
        <v>2</v>
      </c>
      <c r="AA471" t="s">
        <v>136</v>
      </c>
      <c r="AB471">
        <v>3</v>
      </c>
      <c r="AC471" t="s">
        <v>1003</v>
      </c>
      <c r="AD471">
        <v>3</v>
      </c>
      <c r="AE471" s="2">
        <v>45818</v>
      </c>
      <c r="AF471">
        <v>2</v>
      </c>
      <c r="AG471">
        <v>8</v>
      </c>
    </row>
    <row r="472" spans="1:33">
      <c r="A472">
        <v>10241</v>
      </c>
      <c r="B472" t="s">
        <v>1184</v>
      </c>
      <c r="C472" t="s">
        <v>42</v>
      </c>
      <c r="D472" t="s">
        <v>42</v>
      </c>
      <c r="E472" t="s">
        <v>934</v>
      </c>
      <c r="F472" t="s">
        <v>113</v>
      </c>
      <c r="G472" t="s">
        <v>110</v>
      </c>
      <c r="H472" t="s">
        <v>114</v>
      </c>
      <c r="I472">
        <v>60120</v>
      </c>
      <c r="J472" s="3">
        <v>721440</v>
      </c>
      <c r="K472" s="2">
        <v>32640</v>
      </c>
      <c r="L472" t="s">
        <v>51</v>
      </c>
      <c r="M472" t="s">
        <v>243</v>
      </c>
      <c r="N472">
        <v>59102</v>
      </c>
      <c r="O472" t="s">
        <v>33</v>
      </c>
      <c r="P472" t="s">
        <v>32</v>
      </c>
      <c r="Q472" t="s">
        <v>68</v>
      </c>
      <c r="R472" s="2">
        <v>40448</v>
      </c>
      <c r="S472" s="1" t="s">
        <v>35</v>
      </c>
      <c r="T472">
        <v>0</v>
      </c>
      <c r="U472" t="s">
        <v>36</v>
      </c>
      <c r="V472">
        <v>1</v>
      </c>
      <c r="W472" t="s">
        <v>36</v>
      </c>
      <c r="X472">
        <v>0</v>
      </c>
      <c r="Y472" t="s">
        <v>48</v>
      </c>
      <c r="Z472">
        <v>3</v>
      </c>
      <c r="AA472" t="s">
        <v>49</v>
      </c>
      <c r="AB472">
        <v>4.0999999999999996</v>
      </c>
      <c r="AC472" t="s">
        <v>937</v>
      </c>
      <c r="AD472">
        <v>0</v>
      </c>
      <c r="AE472" s="2">
        <v>43496</v>
      </c>
      <c r="AF472">
        <v>0</v>
      </c>
      <c r="AG472">
        <v>18</v>
      </c>
    </row>
    <row r="473" spans="1:33">
      <c r="A473">
        <v>10241</v>
      </c>
      <c r="B473" t="s">
        <v>1463</v>
      </c>
      <c r="C473" t="s">
        <v>31</v>
      </c>
      <c r="D473" t="s">
        <v>56</v>
      </c>
      <c r="E473" t="s">
        <v>929</v>
      </c>
      <c r="F473" t="s">
        <v>274</v>
      </c>
      <c r="G473" t="s">
        <v>62</v>
      </c>
      <c r="H473" t="s">
        <v>590</v>
      </c>
      <c r="I473">
        <v>71606</v>
      </c>
      <c r="J473" s="3">
        <v>859272</v>
      </c>
      <c r="K473" s="2">
        <v>24326</v>
      </c>
      <c r="L473" t="s">
        <v>51</v>
      </c>
      <c r="M473" t="s">
        <v>144</v>
      </c>
      <c r="N473">
        <v>15568</v>
      </c>
      <c r="O473" t="s">
        <v>33</v>
      </c>
      <c r="P473" t="s">
        <v>124</v>
      </c>
      <c r="Q473" t="s">
        <v>270</v>
      </c>
      <c r="R473" s="2">
        <v>43803</v>
      </c>
      <c r="S473" s="1" t="s">
        <v>35</v>
      </c>
      <c r="T473">
        <v>0</v>
      </c>
      <c r="U473" t="s">
        <v>36</v>
      </c>
      <c r="V473">
        <v>3</v>
      </c>
      <c r="W473" t="s">
        <v>45</v>
      </c>
      <c r="X473">
        <v>0</v>
      </c>
      <c r="Y473" t="s">
        <v>142</v>
      </c>
      <c r="Z473">
        <v>2</v>
      </c>
      <c r="AA473" t="s">
        <v>95</v>
      </c>
      <c r="AB473">
        <v>3.4</v>
      </c>
      <c r="AC473" t="s">
        <v>930</v>
      </c>
      <c r="AD473">
        <v>1</v>
      </c>
      <c r="AE473" s="2">
        <v>45626</v>
      </c>
      <c r="AF473">
        <v>0</v>
      </c>
      <c r="AG473">
        <v>9</v>
      </c>
    </row>
    <row r="474" spans="1:33">
      <c r="A474">
        <v>10242</v>
      </c>
      <c r="B474" t="s">
        <v>944</v>
      </c>
      <c r="C474" t="s">
        <v>42</v>
      </c>
      <c r="D474" t="s">
        <v>42</v>
      </c>
      <c r="E474" t="s">
        <v>929</v>
      </c>
      <c r="F474" t="s">
        <v>37</v>
      </c>
      <c r="G474" t="s">
        <v>28</v>
      </c>
      <c r="H474" t="s">
        <v>54</v>
      </c>
      <c r="I474">
        <v>47211</v>
      </c>
      <c r="J474" s="3">
        <v>566532</v>
      </c>
      <c r="K474" s="2">
        <v>27081</v>
      </c>
      <c r="L474" t="s">
        <v>30</v>
      </c>
      <c r="M474" t="s">
        <v>29</v>
      </c>
      <c r="N474">
        <v>2062</v>
      </c>
      <c r="O474" t="s">
        <v>73</v>
      </c>
      <c r="P474" t="s">
        <v>32</v>
      </c>
      <c r="Q474" t="s">
        <v>68</v>
      </c>
      <c r="R474" s="2">
        <v>41001</v>
      </c>
      <c r="S474" s="1" t="s">
        <v>77</v>
      </c>
      <c r="T474">
        <v>1</v>
      </c>
      <c r="U474" t="s">
        <v>78</v>
      </c>
      <c r="V474">
        <v>5</v>
      </c>
      <c r="W474" t="s">
        <v>45</v>
      </c>
      <c r="X474">
        <v>1</v>
      </c>
      <c r="Y474" t="s">
        <v>70</v>
      </c>
      <c r="Z474">
        <v>3</v>
      </c>
      <c r="AA474" t="s">
        <v>49</v>
      </c>
      <c r="AB474">
        <v>4.2</v>
      </c>
      <c r="AC474" t="s">
        <v>932</v>
      </c>
      <c r="AD474">
        <v>0</v>
      </c>
      <c r="AE474" s="2">
        <v>42496</v>
      </c>
      <c r="AF474">
        <v>0</v>
      </c>
      <c r="AG474">
        <v>15</v>
      </c>
    </row>
    <row r="475" spans="1:33">
      <c r="A475">
        <v>10242</v>
      </c>
      <c r="B475" t="s">
        <v>1464</v>
      </c>
      <c r="C475" t="s">
        <v>31</v>
      </c>
      <c r="D475" t="s">
        <v>42</v>
      </c>
      <c r="E475" t="s">
        <v>929</v>
      </c>
      <c r="F475" t="s">
        <v>271</v>
      </c>
      <c r="G475" t="s">
        <v>269</v>
      </c>
      <c r="H475" t="s">
        <v>592</v>
      </c>
      <c r="I475">
        <v>52599</v>
      </c>
      <c r="J475" s="3">
        <v>631188</v>
      </c>
      <c r="K475" s="2">
        <v>35426</v>
      </c>
      <c r="L475" t="s">
        <v>264</v>
      </c>
      <c r="M475" t="s">
        <v>144</v>
      </c>
      <c r="N475">
        <v>28507</v>
      </c>
      <c r="O475" t="s">
        <v>73</v>
      </c>
      <c r="P475" t="s">
        <v>32</v>
      </c>
      <c r="Q475" t="s">
        <v>34</v>
      </c>
      <c r="R475" s="2">
        <v>43162</v>
      </c>
      <c r="S475" s="1" t="s">
        <v>591</v>
      </c>
      <c r="T475">
        <v>1</v>
      </c>
      <c r="U475" t="s">
        <v>298</v>
      </c>
      <c r="V475">
        <v>1</v>
      </c>
      <c r="W475" t="s">
        <v>36</v>
      </c>
      <c r="X475">
        <v>0</v>
      </c>
      <c r="Y475" t="s">
        <v>268</v>
      </c>
      <c r="Z475">
        <v>4</v>
      </c>
      <c r="AA475" t="s">
        <v>49</v>
      </c>
      <c r="AB475">
        <v>4.3</v>
      </c>
      <c r="AC475" t="s">
        <v>930</v>
      </c>
      <c r="AD475">
        <v>3</v>
      </c>
      <c r="AE475" s="2">
        <v>45737</v>
      </c>
      <c r="AF475">
        <v>3</v>
      </c>
      <c r="AG475">
        <v>3</v>
      </c>
    </row>
    <row r="476" spans="1:33">
      <c r="A476">
        <v>10243</v>
      </c>
      <c r="B476" t="s">
        <v>1038</v>
      </c>
      <c r="C476" t="s">
        <v>31</v>
      </c>
      <c r="D476" t="s">
        <v>31</v>
      </c>
      <c r="E476" t="s">
        <v>934</v>
      </c>
      <c r="F476" t="s">
        <v>37</v>
      </c>
      <c r="G476" t="s">
        <v>28</v>
      </c>
      <c r="H476" t="s">
        <v>66</v>
      </c>
      <c r="I476">
        <v>53018</v>
      </c>
      <c r="J476" s="3">
        <v>636216</v>
      </c>
      <c r="K476" s="2">
        <v>33773</v>
      </c>
      <c r="L476" t="s">
        <v>51</v>
      </c>
      <c r="M476" t="s">
        <v>29</v>
      </c>
      <c r="N476">
        <v>2451</v>
      </c>
      <c r="O476" t="s">
        <v>73</v>
      </c>
      <c r="P476" t="s">
        <v>32</v>
      </c>
      <c r="Q476" t="s">
        <v>34</v>
      </c>
      <c r="R476" s="2">
        <v>41589</v>
      </c>
      <c r="S476" s="1" t="s">
        <v>35</v>
      </c>
      <c r="T476">
        <v>0</v>
      </c>
      <c r="U476" t="s">
        <v>36</v>
      </c>
      <c r="V476">
        <v>1</v>
      </c>
      <c r="W476" t="s">
        <v>36</v>
      </c>
      <c r="X476">
        <v>0</v>
      </c>
      <c r="Y476" t="s">
        <v>48</v>
      </c>
      <c r="Z476">
        <v>3</v>
      </c>
      <c r="AA476" t="s">
        <v>49</v>
      </c>
      <c r="AB476">
        <v>4.3</v>
      </c>
      <c r="AC476" t="s">
        <v>930</v>
      </c>
      <c r="AD476">
        <v>0</v>
      </c>
      <c r="AE476" s="2">
        <v>43514</v>
      </c>
      <c r="AF476">
        <v>0</v>
      </c>
      <c r="AG476">
        <v>7</v>
      </c>
    </row>
    <row r="477" spans="1:33">
      <c r="A477">
        <v>10243</v>
      </c>
      <c r="B477" t="s">
        <v>1465</v>
      </c>
      <c r="C477" t="s">
        <v>31</v>
      </c>
      <c r="D477" t="s">
        <v>42</v>
      </c>
      <c r="E477" t="s">
        <v>929</v>
      </c>
      <c r="F477" t="s">
        <v>113</v>
      </c>
      <c r="G477" t="s">
        <v>269</v>
      </c>
      <c r="H477" t="s">
        <v>593</v>
      </c>
      <c r="I477">
        <v>54043</v>
      </c>
      <c r="J477" s="3">
        <v>648516</v>
      </c>
      <c r="K477" s="2">
        <v>23711</v>
      </c>
      <c r="L477" t="s">
        <v>264</v>
      </c>
      <c r="M477" t="s">
        <v>80</v>
      </c>
      <c r="N477">
        <v>51978</v>
      </c>
      <c r="O477" t="s">
        <v>73</v>
      </c>
      <c r="P477" t="s">
        <v>124</v>
      </c>
      <c r="Q477" t="s">
        <v>270</v>
      </c>
      <c r="R477" s="2">
        <v>44225</v>
      </c>
      <c r="S477" s="1" t="s">
        <v>35</v>
      </c>
      <c r="T477">
        <v>1</v>
      </c>
      <c r="U477" t="s">
        <v>273</v>
      </c>
      <c r="V477">
        <v>1</v>
      </c>
      <c r="W477" t="s">
        <v>87</v>
      </c>
      <c r="X477">
        <v>1</v>
      </c>
      <c r="Y477" t="s">
        <v>142</v>
      </c>
      <c r="Z477">
        <v>3</v>
      </c>
      <c r="AA477" t="s">
        <v>276</v>
      </c>
      <c r="AB477">
        <v>2.7</v>
      </c>
      <c r="AC477" t="s">
        <v>962</v>
      </c>
      <c r="AD477">
        <v>1</v>
      </c>
      <c r="AE477" s="2">
        <v>45705</v>
      </c>
      <c r="AF477">
        <v>0</v>
      </c>
      <c r="AG477">
        <v>10</v>
      </c>
    </row>
    <row r="478" spans="1:33">
      <c r="A478">
        <v>10244</v>
      </c>
      <c r="B478" t="s">
        <v>1072</v>
      </c>
      <c r="C478" t="s">
        <v>31</v>
      </c>
      <c r="D478" t="s">
        <v>31</v>
      </c>
      <c r="E478" t="s">
        <v>934</v>
      </c>
      <c r="F478" t="s">
        <v>113</v>
      </c>
      <c r="G478" t="s">
        <v>132</v>
      </c>
      <c r="H478" t="s">
        <v>133</v>
      </c>
      <c r="I478">
        <v>68999</v>
      </c>
      <c r="J478" s="3">
        <v>827988</v>
      </c>
      <c r="K478" s="2">
        <v>32823</v>
      </c>
      <c r="L478" t="s">
        <v>51</v>
      </c>
      <c r="M478" t="s">
        <v>183</v>
      </c>
      <c r="N478">
        <v>19444</v>
      </c>
      <c r="O478" t="s">
        <v>33</v>
      </c>
      <c r="P478" t="s">
        <v>32</v>
      </c>
      <c r="Q478" t="s">
        <v>34</v>
      </c>
      <c r="R478" s="2">
        <v>40854</v>
      </c>
      <c r="S478" s="1" t="s">
        <v>184</v>
      </c>
      <c r="T478">
        <v>1</v>
      </c>
      <c r="U478" t="s">
        <v>185</v>
      </c>
      <c r="V478">
        <v>5</v>
      </c>
      <c r="W478" t="s">
        <v>45</v>
      </c>
      <c r="X478">
        <v>0</v>
      </c>
      <c r="Y478" t="s">
        <v>60</v>
      </c>
      <c r="Z478">
        <v>3</v>
      </c>
      <c r="AA478" t="s">
        <v>49</v>
      </c>
      <c r="AB478">
        <v>4.5</v>
      </c>
      <c r="AC478" t="s">
        <v>930</v>
      </c>
      <c r="AD478">
        <v>0</v>
      </c>
      <c r="AE478" s="2">
        <v>41363</v>
      </c>
      <c r="AF478">
        <v>0</v>
      </c>
      <c r="AG478">
        <v>2</v>
      </c>
    </row>
    <row r="479" spans="1:33">
      <c r="A479">
        <v>10244</v>
      </c>
      <c r="B479" t="s">
        <v>1466</v>
      </c>
      <c r="C479" t="s">
        <v>31</v>
      </c>
      <c r="D479" t="s">
        <v>56</v>
      </c>
      <c r="E479" t="s">
        <v>934</v>
      </c>
      <c r="F479" t="s">
        <v>278</v>
      </c>
      <c r="G479" t="s">
        <v>269</v>
      </c>
      <c r="H479" t="s">
        <v>595</v>
      </c>
      <c r="I479">
        <v>109506</v>
      </c>
      <c r="J479" s="3">
        <v>1314072</v>
      </c>
      <c r="K479" s="2">
        <v>26824</v>
      </c>
      <c r="L479" t="s">
        <v>51</v>
      </c>
      <c r="M479" t="s">
        <v>210</v>
      </c>
      <c r="N479">
        <v>31734</v>
      </c>
      <c r="O479" t="s">
        <v>33</v>
      </c>
      <c r="P479" t="s">
        <v>32</v>
      </c>
      <c r="Q479" t="s">
        <v>204</v>
      </c>
      <c r="R479" s="2">
        <v>43779</v>
      </c>
      <c r="S479" s="1" t="s">
        <v>594</v>
      </c>
      <c r="T479">
        <v>1</v>
      </c>
      <c r="U479" t="s">
        <v>273</v>
      </c>
      <c r="V479">
        <v>1</v>
      </c>
      <c r="W479" t="s">
        <v>45</v>
      </c>
      <c r="X479">
        <v>1</v>
      </c>
      <c r="Y479" t="s">
        <v>48</v>
      </c>
      <c r="Z479">
        <v>1</v>
      </c>
      <c r="AA479" t="s">
        <v>276</v>
      </c>
      <c r="AB479">
        <v>3.6</v>
      </c>
      <c r="AC479" t="s">
        <v>930</v>
      </c>
      <c r="AD479">
        <v>4</v>
      </c>
      <c r="AE479" s="2">
        <v>45794</v>
      </c>
      <c r="AF479">
        <v>3</v>
      </c>
      <c r="AG479">
        <v>9</v>
      </c>
    </row>
    <row r="480" spans="1:33">
      <c r="A480">
        <v>10245</v>
      </c>
      <c r="B480" t="s">
        <v>951</v>
      </c>
      <c r="C480" t="s">
        <v>31</v>
      </c>
      <c r="D480" t="s">
        <v>31</v>
      </c>
      <c r="E480" t="s">
        <v>934</v>
      </c>
      <c r="F480" t="s">
        <v>46</v>
      </c>
      <c r="G480" t="s">
        <v>89</v>
      </c>
      <c r="H480" t="s">
        <v>47</v>
      </c>
      <c r="I480">
        <v>110000</v>
      </c>
      <c r="J480" s="3">
        <v>1320000</v>
      </c>
      <c r="K480" s="2">
        <v>31506</v>
      </c>
      <c r="L480" t="s">
        <v>51</v>
      </c>
      <c r="M480" t="s">
        <v>29</v>
      </c>
      <c r="N480">
        <v>2026</v>
      </c>
      <c r="O480" t="s">
        <v>73</v>
      </c>
      <c r="P480" t="s">
        <v>32</v>
      </c>
      <c r="Q480" t="s">
        <v>34</v>
      </c>
      <c r="R480" s="2">
        <v>41827</v>
      </c>
      <c r="S480" s="1" t="s">
        <v>90</v>
      </c>
      <c r="T480">
        <v>1</v>
      </c>
      <c r="U480" t="s">
        <v>91</v>
      </c>
      <c r="V480">
        <v>4</v>
      </c>
      <c r="W480" t="s">
        <v>87</v>
      </c>
      <c r="X480">
        <v>0</v>
      </c>
      <c r="Y480" t="s">
        <v>60</v>
      </c>
      <c r="Z480">
        <v>3</v>
      </c>
      <c r="AA480" t="s">
        <v>49</v>
      </c>
      <c r="AB480">
        <v>4.5</v>
      </c>
      <c r="AC480" t="s">
        <v>937</v>
      </c>
      <c r="AD480">
        <v>5</v>
      </c>
      <c r="AE480" s="2">
        <v>42019</v>
      </c>
      <c r="AF480">
        <v>0</v>
      </c>
      <c r="AG480">
        <v>8</v>
      </c>
    </row>
    <row r="481" spans="1:33">
      <c r="A481">
        <v>10245</v>
      </c>
      <c r="B481" t="s">
        <v>1467</v>
      </c>
      <c r="C481" t="s">
        <v>42</v>
      </c>
      <c r="D481" t="s">
        <v>31</v>
      </c>
      <c r="E481" t="s">
        <v>929</v>
      </c>
      <c r="F481" t="s">
        <v>278</v>
      </c>
      <c r="G481" t="s">
        <v>62</v>
      </c>
      <c r="H481" t="s">
        <v>596</v>
      </c>
      <c r="I481">
        <v>87882</v>
      </c>
      <c r="J481" s="3">
        <v>1054584</v>
      </c>
      <c r="K481" s="2">
        <v>35482</v>
      </c>
      <c r="L481" t="s">
        <v>264</v>
      </c>
      <c r="M481" t="s">
        <v>29</v>
      </c>
      <c r="N481">
        <v>56812</v>
      </c>
      <c r="O481" t="s">
        <v>73</v>
      </c>
      <c r="P481" t="s">
        <v>124</v>
      </c>
      <c r="Q481" t="s">
        <v>270</v>
      </c>
      <c r="R481" s="2">
        <v>42465</v>
      </c>
      <c r="S481" s="1" t="s">
        <v>35</v>
      </c>
      <c r="T481">
        <v>0</v>
      </c>
      <c r="U481" t="s">
        <v>36</v>
      </c>
      <c r="V481">
        <v>3</v>
      </c>
      <c r="W481" t="s">
        <v>45</v>
      </c>
      <c r="X481">
        <v>1</v>
      </c>
      <c r="Y481" t="s">
        <v>39</v>
      </c>
      <c r="Z481">
        <v>4</v>
      </c>
      <c r="AA481" t="s">
        <v>49</v>
      </c>
      <c r="AB481">
        <v>4.4000000000000004</v>
      </c>
      <c r="AC481" t="s">
        <v>937</v>
      </c>
      <c r="AD481">
        <v>5</v>
      </c>
      <c r="AE481" s="2">
        <v>45362</v>
      </c>
      <c r="AF481">
        <v>3</v>
      </c>
      <c r="AG481">
        <v>1</v>
      </c>
    </row>
    <row r="482" spans="1:33">
      <c r="A482">
        <v>10246</v>
      </c>
      <c r="B482" t="s">
        <v>1036</v>
      </c>
      <c r="C482" t="s">
        <v>31</v>
      </c>
      <c r="D482" t="s">
        <v>31</v>
      </c>
      <c r="E482" t="s">
        <v>934</v>
      </c>
      <c r="F482" t="s">
        <v>46</v>
      </c>
      <c r="G482" t="s">
        <v>89</v>
      </c>
      <c r="H482" t="s">
        <v>47</v>
      </c>
      <c r="I482">
        <v>114800</v>
      </c>
      <c r="J482" s="3">
        <v>1377600</v>
      </c>
      <c r="K482" s="2">
        <v>26229</v>
      </c>
      <c r="L482" t="s">
        <v>51</v>
      </c>
      <c r="M482" t="s">
        <v>29</v>
      </c>
      <c r="N482">
        <v>2127</v>
      </c>
      <c r="O482" t="s">
        <v>33</v>
      </c>
      <c r="P482" t="s">
        <v>32</v>
      </c>
      <c r="Q482" t="s">
        <v>34</v>
      </c>
      <c r="R482" s="2">
        <v>42051</v>
      </c>
      <c r="S482" s="1" t="s">
        <v>166</v>
      </c>
      <c r="T482">
        <v>1</v>
      </c>
      <c r="U482" t="s">
        <v>149</v>
      </c>
      <c r="V482">
        <v>4</v>
      </c>
      <c r="W482" t="s">
        <v>87</v>
      </c>
      <c r="X482">
        <v>0</v>
      </c>
      <c r="Y482" t="s">
        <v>48</v>
      </c>
      <c r="Z482">
        <v>3</v>
      </c>
      <c r="AA482" t="s">
        <v>49</v>
      </c>
      <c r="AB482">
        <v>4.5999999999999996</v>
      </c>
      <c r="AC482" t="s">
        <v>937</v>
      </c>
      <c r="AD482">
        <v>4</v>
      </c>
      <c r="AE482" s="2">
        <v>42024</v>
      </c>
      <c r="AF482">
        <v>0</v>
      </c>
      <c r="AG482">
        <v>10</v>
      </c>
    </row>
    <row r="483" spans="1:33">
      <c r="A483">
        <v>10246</v>
      </c>
      <c r="B483" t="s">
        <v>1468</v>
      </c>
      <c r="C483" t="s">
        <v>31</v>
      </c>
      <c r="D483" t="s">
        <v>42</v>
      </c>
      <c r="E483" t="s">
        <v>934</v>
      </c>
      <c r="F483" t="s">
        <v>113</v>
      </c>
      <c r="G483" t="s">
        <v>277</v>
      </c>
      <c r="H483" t="s">
        <v>597</v>
      </c>
      <c r="I483">
        <v>31313</v>
      </c>
      <c r="J483" s="3">
        <v>375756</v>
      </c>
      <c r="K483" s="2">
        <v>30834</v>
      </c>
      <c r="L483" t="s">
        <v>264</v>
      </c>
      <c r="M483" t="s">
        <v>210</v>
      </c>
      <c r="N483">
        <v>11419</v>
      </c>
      <c r="O483" t="s">
        <v>33</v>
      </c>
      <c r="P483" t="s">
        <v>32</v>
      </c>
      <c r="Q483" t="s">
        <v>92</v>
      </c>
      <c r="R483" s="2">
        <v>42529</v>
      </c>
      <c r="S483" s="1" t="s">
        <v>35</v>
      </c>
      <c r="T483">
        <v>1</v>
      </c>
      <c r="U483" t="s">
        <v>36</v>
      </c>
      <c r="V483">
        <v>1</v>
      </c>
      <c r="W483" t="s">
        <v>36</v>
      </c>
      <c r="X483">
        <v>0</v>
      </c>
      <c r="Y483" t="s">
        <v>268</v>
      </c>
      <c r="Z483">
        <v>1</v>
      </c>
      <c r="AA483" t="s">
        <v>276</v>
      </c>
      <c r="AB483">
        <v>3</v>
      </c>
      <c r="AC483" t="s">
        <v>930</v>
      </c>
      <c r="AD483">
        <v>0</v>
      </c>
      <c r="AE483" s="2">
        <v>45515</v>
      </c>
      <c r="AF483">
        <v>5</v>
      </c>
      <c r="AG483">
        <v>8</v>
      </c>
    </row>
    <row r="484" spans="1:33">
      <c r="A484">
        <v>10247</v>
      </c>
      <c r="B484" t="s">
        <v>1010</v>
      </c>
      <c r="C484" t="s">
        <v>31</v>
      </c>
      <c r="D484" t="s">
        <v>31</v>
      </c>
      <c r="E484" t="s">
        <v>929</v>
      </c>
      <c r="F484" t="s">
        <v>37</v>
      </c>
      <c r="G484" t="s">
        <v>28</v>
      </c>
      <c r="H484" t="s">
        <v>82</v>
      </c>
      <c r="I484">
        <v>48888</v>
      </c>
      <c r="J484" s="3">
        <v>586656</v>
      </c>
      <c r="K484" s="2">
        <v>27180</v>
      </c>
      <c r="L484" t="s">
        <v>30</v>
      </c>
      <c r="M484" t="s">
        <v>29</v>
      </c>
      <c r="N484">
        <v>2026</v>
      </c>
      <c r="O484" t="s">
        <v>33</v>
      </c>
      <c r="P484" t="s">
        <v>32</v>
      </c>
      <c r="Q484" t="s">
        <v>34</v>
      </c>
      <c r="R484" s="2">
        <v>41953</v>
      </c>
      <c r="S484" s="1" t="s">
        <v>35</v>
      </c>
      <c r="T484">
        <v>0</v>
      </c>
      <c r="U484" t="s">
        <v>36</v>
      </c>
      <c r="V484">
        <v>1</v>
      </c>
      <c r="W484" t="s">
        <v>36</v>
      </c>
      <c r="X484">
        <v>0</v>
      </c>
      <c r="Y484" t="s">
        <v>39</v>
      </c>
      <c r="Z484">
        <v>3</v>
      </c>
      <c r="AA484" t="s">
        <v>49</v>
      </c>
      <c r="AB484">
        <v>4.7</v>
      </c>
      <c r="AC484" t="s">
        <v>930</v>
      </c>
      <c r="AD484">
        <v>0</v>
      </c>
      <c r="AE484" s="2">
        <v>43509</v>
      </c>
      <c r="AF484">
        <v>0</v>
      </c>
      <c r="AG484">
        <v>8</v>
      </c>
    </row>
    <row r="485" spans="1:33">
      <c r="A485">
        <v>10247</v>
      </c>
      <c r="B485" t="s">
        <v>1469</v>
      </c>
      <c r="C485" t="s">
        <v>42</v>
      </c>
      <c r="D485" t="s">
        <v>31</v>
      </c>
      <c r="E485" t="s">
        <v>934</v>
      </c>
      <c r="F485" t="s">
        <v>278</v>
      </c>
      <c r="G485" t="s">
        <v>269</v>
      </c>
      <c r="H485" t="s">
        <v>598</v>
      </c>
      <c r="I485">
        <v>109181</v>
      </c>
      <c r="J485" s="3">
        <v>1310172</v>
      </c>
      <c r="K485" s="2">
        <v>36800</v>
      </c>
      <c r="L485" t="s">
        <v>51</v>
      </c>
      <c r="M485" t="s">
        <v>144</v>
      </c>
      <c r="N485">
        <v>86025</v>
      </c>
      <c r="O485" t="s">
        <v>73</v>
      </c>
      <c r="P485" t="s">
        <v>124</v>
      </c>
      <c r="Q485" t="s">
        <v>270</v>
      </c>
      <c r="R485" s="2">
        <v>42463</v>
      </c>
      <c r="S485" s="1" t="s">
        <v>542</v>
      </c>
      <c r="T485">
        <v>0</v>
      </c>
      <c r="U485" t="s">
        <v>36</v>
      </c>
      <c r="V485">
        <v>1</v>
      </c>
      <c r="W485" t="s">
        <v>87</v>
      </c>
      <c r="X485">
        <v>0</v>
      </c>
      <c r="Y485" t="s">
        <v>142</v>
      </c>
      <c r="Z485">
        <v>1</v>
      </c>
      <c r="AA485" t="s">
        <v>95</v>
      </c>
      <c r="AB485">
        <v>4.0999999999999996</v>
      </c>
      <c r="AC485" t="s">
        <v>937</v>
      </c>
      <c r="AD485">
        <v>1</v>
      </c>
      <c r="AE485" s="2">
        <v>45668</v>
      </c>
      <c r="AF485">
        <v>4</v>
      </c>
      <c r="AG485">
        <v>1</v>
      </c>
    </row>
    <row r="486" spans="1:33">
      <c r="A486">
        <v>10248</v>
      </c>
      <c r="B486" t="s">
        <v>1059</v>
      </c>
      <c r="C486" t="s">
        <v>31</v>
      </c>
      <c r="D486" t="s">
        <v>31</v>
      </c>
      <c r="E486" t="s">
        <v>934</v>
      </c>
      <c r="F486" t="s">
        <v>37</v>
      </c>
      <c r="G486" t="s">
        <v>28</v>
      </c>
      <c r="H486" t="s">
        <v>66</v>
      </c>
      <c r="I486">
        <v>55425</v>
      </c>
      <c r="J486" s="3">
        <v>665100</v>
      </c>
      <c r="K486" s="2">
        <v>31573</v>
      </c>
      <c r="L486" t="s">
        <v>51</v>
      </c>
      <c r="M486" t="s">
        <v>29</v>
      </c>
      <c r="N486">
        <v>2176</v>
      </c>
      <c r="O486" t="s">
        <v>33</v>
      </c>
      <c r="P486" t="s">
        <v>32</v>
      </c>
      <c r="Q486" t="s">
        <v>34</v>
      </c>
      <c r="R486" s="2">
        <v>40959</v>
      </c>
      <c r="S486" s="1" t="s">
        <v>35</v>
      </c>
      <c r="T486">
        <v>0</v>
      </c>
      <c r="U486" t="s">
        <v>36</v>
      </c>
      <c r="V486">
        <v>1</v>
      </c>
      <c r="W486" t="s">
        <v>36</v>
      </c>
      <c r="X486">
        <v>0</v>
      </c>
      <c r="Y486" t="s">
        <v>39</v>
      </c>
      <c r="Z486">
        <v>3</v>
      </c>
      <c r="AA486" t="s">
        <v>49</v>
      </c>
      <c r="AB486">
        <v>4.8</v>
      </c>
      <c r="AC486" t="s">
        <v>937</v>
      </c>
      <c r="AD486">
        <v>0</v>
      </c>
      <c r="AE486" s="2">
        <v>43472</v>
      </c>
      <c r="AF486">
        <v>0</v>
      </c>
      <c r="AG486">
        <v>4</v>
      </c>
    </row>
    <row r="487" spans="1:33">
      <c r="A487">
        <v>10248</v>
      </c>
      <c r="B487" t="s">
        <v>1470</v>
      </c>
      <c r="C487" t="s">
        <v>31</v>
      </c>
      <c r="D487" t="s">
        <v>31</v>
      </c>
      <c r="E487" t="s">
        <v>934</v>
      </c>
      <c r="F487" t="s">
        <v>274</v>
      </c>
      <c r="G487" t="s">
        <v>294</v>
      </c>
      <c r="H487" t="s">
        <v>599</v>
      </c>
      <c r="I487">
        <v>115043</v>
      </c>
      <c r="J487" s="3">
        <v>1380516</v>
      </c>
      <c r="K487" s="2">
        <v>37675</v>
      </c>
      <c r="L487" t="s">
        <v>264</v>
      </c>
      <c r="M487" t="s">
        <v>191</v>
      </c>
      <c r="N487">
        <v>92397</v>
      </c>
      <c r="O487" t="s">
        <v>73</v>
      </c>
      <c r="P487" t="s">
        <v>32</v>
      </c>
      <c r="Q487" t="s">
        <v>160</v>
      </c>
      <c r="R487" s="2">
        <v>45435</v>
      </c>
      <c r="S487" s="1" t="s">
        <v>35</v>
      </c>
      <c r="T487">
        <v>1</v>
      </c>
      <c r="U487" t="s">
        <v>298</v>
      </c>
      <c r="V487">
        <v>2</v>
      </c>
      <c r="W487" t="s">
        <v>45</v>
      </c>
      <c r="X487">
        <v>1</v>
      </c>
      <c r="Y487" t="s">
        <v>268</v>
      </c>
      <c r="Z487">
        <v>1</v>
      </c>
      <c r="AA487" t="s">
        <v>276</v>
      </c>
      <c r="AB487">
        <v>4.8</v>
      </c>
      <c r="AC487" t="s">
        <v>930</v>
      </c>
      <c r="AD487">
        <v>0</v>
      </c>
      <c r="AE487" s="2">
        <v>45617</v>
      </c>
      <c r="AF487">
        <v>1</v>
      </c>
      <c r="AG487">
        <v>10</v>
      </c>
    </row>
    <row r="488" spans="1:33">
      <c r="A488">
        <v>10249</v>
      </c>
      <c r="B488" t="s">
        <v>1085</v>
      </c>
      <c r="C488" t="s">
        <v>42</v>
      </c>
      <c r="D488" t="s">
        <v>42</v>
      </c>
      <c r="E488" t="s">
        <v>929</v>
      </c>
      <c r="F488" t="s">
        <v>37</v>
      </c>
      <c r="G488" t="s">
        <v>50</v>
      </c>
      <c r="H488" t="s">
        <v>54</v>
      </c>
      <c r="I488">
        <v>61962</v>
      </c>
      <c r="J488" s="3">
        <v>743544</v>
      </c>
      <c r="K488" s="2">
        <v>30811</v>
      </c>
      <c r="L488" t="s">
        <v>30</v>
      </c>
      <c r="M488" t="s">
        <v>29</v>
      </c>
      <c r="N488">
        <v>2126</v>
      </c>
      <c r="O488" t="s">
        <v>33</v>
      </c>
      <c r="P488" t="s">
        <v>32</v>
      </c>
      <c r="Q488" t="s">
        <v>34</v>
      </c>
      <c r="R488" s="2">
        <v>41001</v>
      </c>
      <c r="S488" s="1" t="s">
        <v>193</v>
      </c>
      <c r="T488">
        <v>1</v>
      </c>
      <c r="U488" t="s">
        <v>138</v>
      </c>
      <c r="V488">
        <v>5</v>
      </c>
      <c r="W488" t="s">
        <v>45</v>
      </c>
      <c r="X488">
        <v>0</v>
      </c>
      <c r="Y488" t="s">
        <v>60</v>
      </c>
      <c r="Z488">
        <v>3</v>
      </c>
      <c r="AA488" t="s">
        <v>49</v>
      </c>
      <c r="AB488">
        <v>4.9000000000000004</v>
      </c>
      <c r="AC488" t="s">
        <v>932</v>
      </c>
      <c r="AD488">
        <v>0</v>
      </c>
      <c r="AE488" s="2">
        <v>41325</v>
      </c>
      <c r="AF488">
        <v>0</v>
      </c>
      <c r="AG488">
        <v>20</v>
      </c>
    </row>
    <row r="489" spans="1:33">
      <c r="A489">
        <v>10249</v>
      </c>
      <c r="B489" t="s">
        <v>1471</v>
      </c>
      <c r="C489" t="s">
        <v>42</v>
      </c>
      <c r="D489" t="s">
        <v>56</v>
      </c>
      <c r="E489" t="s">
        <v>934</v>
      </c>
      <c r="F489" t="s">
        <v>271</v>
      </c>
      <c r="G489" t="s">
        <v>28</v>
      </c>
      <c r="H489" t="s">
        <v>600</v>
      </c>
      <c r="I489">
        <v>49130</v>
      </c>
      <c r="J489" s="3">
        <v>589560</v>
      </c>
      <c r="K489" s="2">
        <v>32476</v>
      </c>
      <c r="L489" t="s">
        <v>51</v>
      </c>
      <c r="M489" t="s">
        <v>210</v>
      </c>
      <c r="N489">
        <v>90526</v>
      </c>
      <c r="O489" t="s">
        <v>73</v>
      </c>
      <c r="P489" t="s">
        <v>32</v>
      </c>
      <c r="Q489" t="s">
        <v>92</v>
      </c>
      <c r="R489" s="2">
        <v>43913</v>
      </c>
      <c r="S489" s="1" t="s">
        <v>35</v>
      </c>
      <c r="T489">
        <v>1</v>
      </c>
      <c r="U489" t="s">
        <v>298</v>
      </c>
      <c r="V489">
        <v>1</v>
      </c>
      <c r="W489" t="s">
        <v>45</v>
      </c>
      <c r="X489">
        <v>1</v>
      </c>
      <c r="Y489" t="s">
        <v>142</v>
      </c>
      <c r="Z489">
        <v>2</v>
      </c>
      <c r="AA489" t="s">
        <v>95</v>
      </c>
      <c r="AB489">
        <v>4.9000000000000004</v>
      </c>
      <c r="AC489" t="s">
        <v>930</v>
      </c>
      <c r="AD489">
        <v>0</v>
      </c>
      <c r="AE489" s="2">
        <v>45811</v>
      </c>
      <c r="AF489">
        <v>2</v>
      </c>
      <c r="AG489">
        <v>9</v>
      </c>
    </row>
    <row r="490" spans="1:33">
      <c r="A490">
        <v>10250</v>
      </c>
      <c r="B490" t="s">
        <v>942</v>
      </c>
      <c r="C490" t="s">
        <v>31</v>
      </c>
      <c r="D490" t="s">
        <v>56</v>
      </c>
      <c r="E490" t="s">
        <v>929</v>
      </c>
      <c r="F490" t="s">
        <v>46</v>
      </c>
      <c r="G490" t="s">
        <v>71</v>
      </c>
      <c r="H490" t="s">
        <v>72</v>
      </c>
      <c r="I490">
        <v>50178</v>
      </c>
      <c r="J490" s="3">
        <v>602136</v>
      </c>
      <c r="K490" s="2">
        <v>32149</v>
      </c>
      <c r="L490" t="s">
        <v>30</v>
      </c>
      <c r="M490" t="s">
        <v>29</v>
      </c>
      <c r="N490">
        <v>1886</v>
      </c>
      <c r="O490" t="s">
        <v>33</v>
      </c>
      <c r="P490" t="s">
        <v>32</v>
      </c>
      <c r="Q490" t="s">
        <v>34</v>
      </c>
      <c r="R490" s="2">
        <v>42009</v>
      </c>
      <c r="S490" s="1" t="s">
        <v>35</v>
      </c>
      <c r="T490">
        <v>0</v>
      </c>
      <c r="U490" t="s">
        <v>36</v>
      </c>
      <c r="V490">
        <v>1</v>
      </c>
      <c r="W490" t="s">
        <v>36</v>
      </c>
      <c r="X490">
        <v>0</v>
      </c>
      <c r="Y490" t="s">
        <v>48</v>
      </c>
      <c r="Z490">
        <v>3</v>
      </c>
      <c r="AA490" t="s">
        <v>49</v>
      </c>
      <c r="AB490">
        <v>5</v>
      </c>
      <c r="AC490" t="s">
        <v>930</v>
      </c>
      <c r="AD490">
        <v>6</v>
      </c>
      <c r="AE490" s="2">
        <v>43514</v>
      </c>
      <c r="AF490">
        <v>0</v>
      </c>
      <c r="AG490">
        <v>16</v>
      </c>
    </row>
    <row r="491" spans="1:33">
      <c r="A491">
        <v>10250</v>
      </c>
      <c r="B491" t="s">
        <v>1472</v>
      </c>
      <c r="C491" t="s">
        <v>42</v>
      </c>
      <c r="D491" t="s">
        <v>31</v>
      </c>
      <c r="E491" t="s">
        <v>929</v>
      </c>
      <c r="F491" t="s">
        <v>288</v>
      </c>
      <c r="G491" t="s">
        <v>28</v>
      </c>
      <c r="H491" t="s">
        <v>601</v>
      </c>
      <c r="I491">
        <v>99099</v>
      </c>
      <c r="J491" s="3">
        <v>1189188</v>
      </c>
      <c r="K491" s="2">
        <v>30301</v>
      </c>
      <c r="L491" t="s">
        <v>264</v>
      </c>
      <c r="M491" t="s">
        <v>210</v>
      </c>
      <c r="N491">
        <v>42007</v>
      </c>
      <c r="O491" t="s">
        <v>33</v>
      </c>
      <c r="P491" t="s">
        <v>124</v>
      </c>
      <c r="Q491" t="s">
        <v>92</v>
      </c>
      <c r="R491" s="2">
        <v>44784</v>
      </c>
      <c r="S491" s="1" t="s">
        <v>35</v>
      </c>
      <c r="T491">
        <v>0</v>
      </c>
      <c r="U491" t="s">
        <v>36</v>
      </c>
      <c r="V491">
        <v>2</v>
      </c>
      <c r="W491" t="s">
        <v>45</v>
      </c>
      <c r="X491">
        <v>1</v>
      </c>
      <c r="Y491" t="s">
        <v>280</v>
      </c>
      <c r="Z491">
        <v>1</v>
      </c>
      <c r="AA491" t="s">
        <v>95</v>
      </c>
      <c r="AB491">
        <v>3.8</v>
      </c>
      <c r="AC491" t="s">
        <v>932</v>
      </c>
      <c r="AD491">
        <v>0</v>
      </c>
      <c r="AE491" s="2">
        <v>45882</v>
      </c>
      <c r="AF491">
        <v>0</v>
      </c>
      <c r="AG491">
        <v>4</v>
      </c>
    </row>
    <row r="492" spans="1:33">
      <c r="A492">
        <v>10251</v>
      </c>
      <c r="B492" t="s">
        <v>1089</v>
      </c>
      <c r="C492" t="s">
        <v>42</v>
      </c>
      <c r="D492" t="s">
        <v>42</v>
      </c>
      <c r="E492" t="s">
        <v>929</v>
      </c>
      <c r="F492" t="s">
        <v>37</v>
      </c>
      <c r="G492" t="s">
        <v>28</v>
      </c>
      <c r="H492" t="s">
        <v>55</v>
      </c>
      <c r="I492">
        <v>64738</v>
      </c>
      <c r="J492" s="3">
        <v>776856</v>
      </c>
      <c r="K492" s="2">
        <v>30196</v>
      </c>
      <c r="L492" t="s">
        <v>30</v>
      </c>
      <c r="M492" t="s">
        <v>29</v>
      </c>
      <c r="N492">
        <v>1776</v>
      </c>
      <c r="O492" t="s">
        <v>33</v>
      </c>
      <c r="P492" t="s">
        <v>32</v>
      </c>
      <c r="Q492" t="s">
        <v>92</v>
      </c>
      <c r="R492" s="2">
        <v>41043</v>
      </c>
      <c r="S492" s="1" t="s">
        <v>35</v>
      </c>
      <c r="T492">
        <v>0</v>
      </c>
      <c r="U492" t="s">
        <v>36</v>
      </c>
      <c r="V492">
        <v>1</v>
      </c>
      <c r="W492" t="s">
        <v>36</v>
      </c>
      <c r="X492">
        <v>0</v>
      </c>
      <c r="Y492" t="s">
        <v>60</v>
      </c>
      <c r="Z492">
        <v>3</v>
      </c>
      <c r="AA492" t="s">
        <v>49</v>
      </c>
      <c r="AB492">
        <v>4.0999999999999996</v>
      </c>
      <c r="AC492" t="s">
        <v>932</v>
      </c>
      <c r="AD492">
        <v>0</v>
      </c>
      <c r="AE492" s="2">
        <v>43518</v>
      </c>
      <c r="AF492">
        <v>0</v>
      </c>
      <c r="AG492">
        <v>10</v>
      </c>
    </row>
    <row r="493" spans="1:33">
      <c r="A493">
        <v>10251</v>
      </c>
      <c r="B493" t="s">
        <v>1473</v>
      </c>
      <c r="C493" t="s">
        <v>31</v>
      </c>
      <c r="D493" t="s">
        <v>31</v>
      </c>
      <c r="E493" t="s">
        <v>929</v>
      </c>
      <c r="F493" t="s">
        <v>274</v>
      </c>
      <c r="G493" t="s">
        <v>269</v>
      </c>
      <c r="H493" t="s">
        <v>602</v>
      </c>
      <c r="I493">
        <v>110155</v>
      </c>
      <c r="J493" s="3">
        <v>1321860</v>
      </c>
      <c r="K493" s="2">
        <v>24483</v>
      </c>
      <c r="L493" t="s">
        <v>264</v>
      </c>
      <c r="M493" t="s">
        <v>29</v>
      </c>
      <c r="N493">
        <v>41906</v>
      </c>
      <c r="O493" t="s">
        <v>33</v>
      </c>
      <c r="P493" t="s">
        <v>32</v>
      </c>
      <c r="Q493" t="s">
        <v>160</v>
      </c>
      <c r="R493" s="2">
        <v>44258</v>
      </c>
      <c r="S493" s="1" t="s">
        <v>35</v>
      </c>
      <c r="T493">
        <v>0</v>
      </c>
      <c r="U493" t="s">
        <v>36</v>
      </c>
      <c r="V493">
        <v>1</v>
      </c>
      <c r="W493" t="s">
        <v>45</v>
      </c>
      <c r="X493">
        <v>0</v>
      </c>
      <c r="Y493" t="s">
        <v>142</v>
      </c>
      <c r="Z493">
        <v>2</v>
      </c>
      <c r="AA493" t="s">
        <v>49</v>
      </c>
      <c r="AB493">
        <v>4.0999999999999996</v>
      </c>
      <c r="AC493" t="s">
        <v>1003</v>
      </c>
      <c r="AD493">
        <v>3</v>
      </c>
      <c r="AE493" s="2">
        <v>45928</v>
      </c>
      <c r="AF493">
        <v>1</v>
      </c>
      <c r="AG493">
        <v>5</v>
      </c>
    </row>
    <row r="494" spans="1:33">
      <c r="A494">
        <v>10252</v>
      </c>
      <c r="B494" t="s">
        <v>943</v>
      </c>
      <c r="C494" t="s">
        <v>42</v>
      </c>
      <c r="D494" t="s">
        <v>42</v>
      </c>
      <c r="E494" t="s">
        <v>934</v>
      </c>
      <c r="F494" t="s">
        <v>37</v>
      </c>
      <c r="G494" t="s">
        <v>28</v>
      </c>
      <c r="H494" t="s">
        <v>76</v>
      </c>
      <c r="I494">
        <v>54670</v>
      </c>
      <c r="J494" s="3">
        <v>656040</v>
      </c>
      <c r="K494" s="2">
        <v>27041</v>
      </c>
      <c r="L494" t="s">
        <v>51</v>
      </c>
      <c r="M494" t="s">
        <v>29</v>
      </c>
      <c r="N494">
        <v>1902</v>
      </c>
      <c r="O494" t="s">
        <v>73</v>
      </c>
      <c r="P494" t="s">
        <v>32</v>
      </c>
      <c r="Q494" t="s">
        <v>68</v>
      </c>
      <c r="R494" s="2">
        <v>40553</v>
      </c>
      <c r="S494" s="1" t="s">
        <v>74</v>
      </c>
      <c r="T494">
        <v>1</v>
      </c>
      <c r="U494" t="s">
        <v>75</v>
      </c>
      <c r="V494">
        <v>5</v>
      </c>
      <c r="W494" t="s">
        <v>45</v>
      </c>
      <c r="X494">
        <v>1</v>
      </c>
      <c r="Y494" t="s">
        <v>70</v>
      </c>
      <c r="Z494">
        <v>3</v>
      </c>
      <c r="AA494" t="s">
        <v>49</v>
      </c>
      <c r="AB494">
        <v>4.2</v>
      </c>
      <c r="AC494" t="s">
        <v>937</v>
      </c>
      <c r="AD494">
        <v>0</v>
      </c>
      <c r="AE494" s="2">
        <v>42399</v>
      </c>
      <c r="AF494">
        <v>0</v>
      </c>
      <c r="AG494">
        <v>12</v>
      </c>
    </row>
    <row r="495" spans="1:33">
      <c r="A495">
        <v>10252</v>
      </c>
      <c r="B495" t="s">
        <v>1474</v>
      </c>
      <c r="C495" t="s">
        <v>31</v>
      </c>
      <c r="D495" t="s">
        <v>31</v>
      </c>
      <c r="E495" t="s">
        <v>929</v>
      </c>
      <c r="F495" t="s">
        <v>278</v>
      </c>
      <c r="G495" t="s">
        <v>269</v>
      </c>
      <c r="H495" t="s">
        <v>604</v>
      </c>
      <c r="I495">
        <v>63163</v>
      </c>
      <c r="J495" s="3">
        <v>757956</v>
      </c>
      <c r="K495" s="2">
        <v>25455</v>
      </c>
      <c r="L495" t="s">
        <v>51</v>
      </c>
      <c r="M495" t="s">
        <v>80</v>
      </c>
      <c r="N495">
        <v>26733</v>
      </c>
      <c r="O495" t="s">
        <v>33</v>
      </c>
      <c r="P495" t="s">
        <v>32</v>
      </c>
      <c r="Q495" t="s">
        <v>34</v>
      </c>
      <c r="R495" s="2">
        <v>44577</v>
      </c>
      <c r="S495" s="1" t="s">
        <v>603</v>
      </c>
      <c r="T495">
        <v>1</v>
      </c>
      <c r="U495" t="s">
        <v>266</v>
      </c>
      <c r="V495">
        <v>2</v>
      </c>
      <c r="W495" t="s">
        <v>36</v>
      </c>
      <c r="X495">
        <v>1</v>
      </c>
      <c r="Y495" t="s">
        <v>280</v>
      </c>
      <c r="Z495">
        <v>3</v>
      </c>
      <c r="AA495" t="s">
        <v>49</v>
      </c>
      <c r="AB495">
        <v>4.5</v>
      </c>
      <c r="AC495" t="s">
        <v>1003</v>
      </c>
      <c r="AD495">
        <v>4</v>
      </c>
      <c r="AE495" s="2">
        <v>45697</v>
      </c>
      <c r="AF495">
        <v>1</v>
      </c>
      <c r="AG495">
        <v>0</v>
      </c>
    </row>
    <row r="496" spans="1:33">
      <c r="A496">
        <v>10253</v>
      </c>
      <c r="B496" t="s">
        <v>1204</v>
      </c>
      <c r="C496" t="s">
        <v>31</v>
      </c>
      <c r="D496" t="s">
        <v>31</v>
      </c>
      <c r="E496" t="s">
        <v>929</v>
      </c>
      <c r="F496" t="s">
        <v>113</v>
      </c>
      <c r="G496" t="s">
        <v>110</v>
      </c>
      <c r="H496" t="s">
        <v>114</v>
      </c>
      <c r="I496">
        <v>55875</v>
      </c>
      <c r="J496" s="3">
        <v>670500</v>
      </c>
      <c r="K496" s="2">
        <v>32700</v>
      </c>
      <c r="L496" t="s">
        <v>30</v>
      </c>
      <c r="M496" t="s">
        <v>253</v>
      </c>
      <c r="N496">
        <v>4063</v>
      </c>
      <c r="O496" t="s">
        <v>33</v>
      </c>
      <c r="P496" t="s">
        <v>32</v>
      </c>
      <c r="Q496" t="s">
        <v>92</v>
      </c>
      <c r="R496" s="2">
        <v>40973</v>
      </c>
      <c r="S496" s="1" t="s">
        <v>35</v>
      </c>
      <c r="T496">
        <v>0</v>
      </c>
      <c r="U496" t="s">
        <v>36</v>
      </c>
      <c r="V496">
        <v>1</v>
      </c>
      <c r="W496" t="s">
        <v>36</v>
      </c>
      <c r="X496">
        <v>0</v>
      </c>
      <c r="Y496" t="s">
        <v>142</v>
      </c>
      <c r="Z496">
        <v>3</v>
      </c>
      <c r="AA496" t="s">
        <v>49</v>
      </c>
      <c r="AB496">
        <v>4.5</v>
      </c>
      <c r="AC496" t="s">
        <v>937</v>
      </c>
      <c r="AD496">
        <v>0</v>
      </c>
      <c r="AE496" s="2">
        <v>43483</v>
      </c>
      <c r="AF496">
        <v>0</v>
      </c>
      <c r="AG496">
        <v>11</v>
      </c>
    </row>
    <row r="497" spans="1:33">
      <c r="A497">
        <v>10253</v>
      </c>
      <c r="B497" t="s">
        <v>1475</v>
      </c>
      <c r="C497" t="s">
        <v>31</v>
      </c>
      <c r="D497" t="s">
        <v>31</v>
      </c>
      <c r="E497" t="s">
        <v>934</v>
      </c>
      <c r="F497" t="s">
        <v>113</v>
      </c>
      <c r="G497" t="s">
        <v>294</v>
      </c>
      <c r="H497" t="s">
        <v>605</v>
      </c>
      <c r="I497">
        <v>102158</v>
      </c>
      <c r="J497" s="3">
        <v>1225896</v>
      </c>
      <c r="K497" s="2">
        <v>36195</v>
      </c>
      <c r="L497" t="s">
        <v>51</v>
      </c>
      <c r="M497" t="s">
        <v>144</v>
      </c>
      <c r="N497">
        <v>83553</v>
      </c>
      <c r="O497" t="s">
        <v>73</v>
      </c>
      <c r="P497" t="s">
        <v>124</v>
      </c>
      <c r="Q497" t="s">
        <v>204</v>
      </c>
      <c r="R497" s="2">
        <v>45999</v>
      </c>
      <c r="S497" s="1" t="s">
        <v>35</v>
      </c>
      <c r="T497">
        <v>1</v>
      </c>
      <c r="U497" t="s">
        <v>273</v>
      </c>
      <c r="V497">
        <v>3</v>
      </c>
      <c r="W497" t="s">
        <v>45</v>
      </c>
      <c r="X497">
        <v>0</v>
      </c>
      <c r="Y497" t="s">
        <v>280</v>
      </c>
      <c r="Z497">
        <v>1</v>
      </c>
      <c r="AA497" t="s">
        <v>95</v>
      </c>
      <c r="AB497">
        <v>3.8</v>
      </c>
      <c r="AC497" t="s">
        <v>932</v>
      </c>
      <c r="AD497">
        <v>5</v>
      </c>
      <c r="AE497" s="2">
        <v>45607</v>
      </c>
      <c r="AF497">
        <v>0</v>
      </c>
      <c r="AG497">
        <v>9</v>
      </c>
    </row>
    <row r="498" spans="1:33">
      <c r="A498">
        <v>10254</v>
      </c>
      <c r="B498" t="s">
        <v>1113</v>
      </c>
      <c r="C498" t="s">
        <v>31</v>
      </c>
      <c r="D498" t="s">
        <v>56</v>
      </c>
      <c r="E498" t="s">
        <v>934</v>
      </c>
      <c r="F498" t="s">
        <v>37</v>
      </c>
      <c r="G498" t="s">
        <v>28</v>
      </c>
      <c r="H498" t="s">
        <v>55</v>
      </c>
      <c r="I498">
        <v>63430</v>
      </c>
      <c r="J498" s="3">
        <v>761160</v>
      </c>
      <c r="K498" s="2">
        <v>30870</v>
      </c>
      <c r="L498" t="s">
        <v>51</v>
      </c>
      <c r="M498" t="s">
        <v>29</v>
      </c>
      <c r="N498">
        <v>2453</v>
      </c>
      <c r="O498" t="s">
        <v>33</v>
      </c>
      <c r="P498" t="s">
        <v>32</v>
      </c>
      <c r="Q498" t="s">
        <v>34</v>
      </c>
      <c r="R498" s="2">
        <v>41365</v>
      </c>
      <c r="S498" s="1" t="s">
        <v>35</v>
      </c>
      <c r="T498">
        <v>0</v>
      </c>
      <c r="U498" t="s">
        <v>36</v>
      </c>
      <c r="V498">
        <v>1</v>
      </c>
      <c r="W498" t="s">
        <v>36</v>
      </c>
      <c r="X498">
        <v>0</v>
      </c>
      <c r="Y498" t="s">
        <v>39</v>
      </c>
      <c r="Z498">
        <v>3</v>
      </c>
      <c r="AA498" t="s">
        <v>49</v>
      </c>
      <c r="AB498">
        <v>4.4000000000000004</v>
      </c>
      <c r="AC498" t="s">
        <v>937</v>
      </c>
      <c r="AD498">
        <v>0</v>
      </c>
      <c r="AE498" s="2">
        <v>43482</v>
      </c>
      <c r="AF498">
        <v>0</v>
      </c>
      <c r="AG498">
        <v>18</v>
      </c>
    </row>
    <row r="499" spans="1:33">
      <c r="A499">
        <v>10254</v>
      </c>
      <c r="B499" t="s">
        <v>1476</v>
      </c>
      <c r="C499" t="s">
        <v>42</v>
      </c>
      <c r="D499" t="s">
        <v>31</v>
      </c>
      <c r="E499" t="s">
        <v>934</v>
      </c>
      <c r="F499" t="s">
        <v>278</v>
      </c>
      <c r="G499" t="s">
        <v>294</v>
      </c>
      <c r="H499" t="s">
        <v>607</v>
      </c>
      <c r="I499">
        <v>84937</v>
      </c>
      <c r="J499" s="3">
        <v>1019244</v>
      </c>
      <c r="K499" s="2">
        <v>27070</v>
      </c>
      <c r="L499" t="s">
        <v>51</v>
      </c>
      <c r="M499" t="s">
        <v>80</v>
      </c>
      <c r="N499">
        <v>78097</v>
      </c>
      <c r="O499" t="s">
        <v>33</v>
      </c>
      <c r="P499" t="s">
        <v>124</v>
      </c>
      <c r="Q499" t="s">
        <v>92</v>
      </c>
      <c r="R499" s="2">
        <v>43198</v>
      </c>
      <c r="S499" s="1" t="s">
        <v>606</v>
      </c>
      <c r="T499">
        <v>0</v>
      </c>
      <c r="U499" t="s">
        <v>36</v>
      </c>
      <c r="V499">
        <v>2</v>
      </c>
      <c r="W499" t="s">
        <v>36</v>
      </c>
      <c r="X499">
        <v>0</v>
      </c>
      <c r="Y499" t="s">
        <v>142</v>
      </c>
      <c r="Z499">
        <v>3</v>
      </c>
      <c r="AA499" t="s">
        <v>49</v>
      </c>
      <c r="AB499">
        <v>4.5999999999999996</v>
      </c>
      <c r="AC499" t="s">
        <v>1003</v>
      </c>
      <c r="AD499">
        <v>0</v>
      </c>
      <c r="AE499" s="2">
        <v>45967</v>
      </c>
      <c r="AF499">
        <v>5</v>
      </c>
      <c r="AG499">
        <v>10</v>
      </c>
    </row>
    <row r="500" spans="1:33">
      <c r="A500">
        <v>10255</v>
      </c>
      <c r="B500" t="s">
        <v>1035</v>
      </c>
      <c r="C500" t="s">
        <v>31</v>
      </c>
      <c r="D500" t="s">
        <v>31</v>
      </c>
      <c r="E500" t="s">
        <v>934</v>
      </c>
      <c r="F500" t="s">
        <v>113</v>
      </c>
      <c r="G500" t="s">
        <v>110</v>
      </c>
      <c r="H500" t="s">
        <v>121</v>
      </c>
      <c r="I500">
        <v>61555</v>
      </c>
      <c r="J500" s="3">
        <v>738660</v>
      </c>
      <c r="K500" s="2">
        <v>32773</v>
      </c>
      <c r="L500" t="s">
        <v>51</v>
      </c>
      <c r="M500" t="s">
        <v>165</v>
      </c>
      <c r="N500">
        <v>46204</v>
      </c>
      <c r="O500" t="s">
        <v>33</v>
      </c>
      <c r="P500" t="s">
        <v>32</v>
      </c>
      <c r="Q500" t="s">
        <v>34</v>
      </c>
      <c r="R500" s="2">
        <v>42051</v>
      </c>
      <c r="S500" s="1" t="s">
        <v>35</v>
      </c>
      <c r="T500">
        <v>0</v>
      </c>
      <c r="U500" t="s">
        <v>36</v>
      </c>
      <c r="V500">
        <v>1</v>
      </c>
      <c r="W500" t="s">
        <v>36</v>
      </c>
      <c r="X500">
        <v>0</v>
      </c>
      <c r="Y500" t="s">
        <v>48</v>
      </c>
      <c r="Z500">
        <v>3</v>
      </c>
      <c r="AA500" t="s">
        <v>49</v>
      </c>
      <c r="AB500">
        <v>4.5</v>
      </c>
      <c r="AC500" t="s">
        <v>930</v>
      </c>
      <c r="AD500">
        <v>0</v>
      </c>
      <c r="AE500" s="2">
        <v>43490</v>
      </c>
      <c r="AF500">
        <v>0</v>
      </c>
      <c r="AG500">
        <v>20</v>
      </c>
    </row>
    <row r="501" spans="1:33">
      <c r="A501">
        <v>10255</v>
      </c>
      <c r="B501" t="s">
        <v>1477</v>
      </c>
      <c r="C501" t="s">
        <v>42</v>
      </c>
      <c r="D501" t="s">
        <v>42</v>
      </c>
      <c r="E501" t="s">
        <v>934</v>
      </c>
      <c r="F501" t="s">
        <v>271</v>
      </c>
      <c r="G501" t="s">
        <v>62</v>
      </c>
      <c r="H501" t="s">
        <v>608</v>
      </c>
      <c r="I501">
        <v>104607</v>
      </c>
      <c r="J501" s="3">
        <v>1255284</v>
      </c>
      <c r="K501" s="2">
        <v>32675</v>
      </c>
      <c r="L501" t="s">
        <v>51</v>
      </c>
      <c r="M501" t="s">
        <v>80</v>
      </c>
      <c r="N501">
        <v>66205</v>
      </c>
      <c r="O501" t="s">
        <v>33</v>
      </c>
      <c r="P501" t="s">
        <v>124</v>
      </c>
      <c r="Q501" t="s">
        <v>34</v>
      </c>
      <c r="R501" s="2">
        <v>45324</v>
      </c>
      <c r="S501" s="1" t="s">
        <v>35</v>
      </c>
      <c r="T501">
        <v>1</v>
      </c>
      <c r="U501" t="s">
        <v>266</v>
      </c>
      <c r="V501">
        <v>1</v>
      </c>
      <c r="W501" t="s">
        <v>45</v>
      </c>
      <c r="X501">
        <v>1</v>
      </c>
      <c r="Y501" t="s">
        <v>268</v>
      </c>
      <c r="Z501">
        <v>2</v>
      </c>
      <c r="AA501" t="s">
        <v>136</v>
      </c>
      <c r="AB501">
        <v>3.1</v>
      </c>
      <c r="AC501" t="s">
        <v>1003</v>
      </c>
      <c r="AD501">
        <v>4</v>
      </c>
      <c r="AE501" s="2">
        <v>45652</v>
      </c>
      <c r="AF501">
        <v>1</v>
      </c>
      <c r="AG501">
        <v>4</v>
      </c>
    </row>
    <row r="502" spans="1:33">
      <c r="A502">
        <v>10256</v>
      </c>
      <c r="B502" t="s">
        <v>1045</v>
      </c>
      <c r="C502" t="s">
        <v>42</v>
      </c>
      <c r="D502" t="s">
        <v>42</v>
      </c>
      <c r="E502" t="s">
        <v>934</v>
      </c>
      <c r="F502" t="s">
        <v>37</v>
      </c>
      <c r="G502" t="s">
        <v>28</v>
      </c>
      <c r="H502" t="s">
        <v>54</v>
      </c>
      <c r="I502">
        <v>49256</v>
      </c>
      <c r="J502" s="3">
        <v>591072</v>
      </c>
      <c r="K502" s="2">
        <v>27311</v>
      </c>
      <c r="L502" t="s">
        <v>51</v>
      </c>
      <c r="M502" t="s">
        <v>29</v>
      </c>
      <c r="N502">
        <v>1864</v>
      </c>
      <c r="O502" t="s">
        <v>33</v>
      </c>
      <c r="P502" t="s">
        <v>32</v>
      </c>
      <c r="Q502" t="s">
        <v>92</v>
      </c>
      <c r="R502" s="2">
        <v>41505</v>
      </c>
      <c r="S502" s="1" t="s">
        <v>35</v>
      </c>
      <c r="T502">
        <v>0</v>
      </c>
      <c r="U502" t="s">
        <v>36</v>
      </c>
      <c r="V502">
        <v>3</v>
      </c>
      <c r="W502" t="s">
        <v>36</v>
      </c>
      <c r="X502">
        <v>0</v>
      </c>
      <c r="Y502" t="s">
        <v>39</v>
      </c>
      <c r="Z502">
        <v>3</v>
      </c>
      <c r="AA502" t="s">
        <v>49</v>
      </c>
      <c r="AB502">
        <v>4.0999999999999996</v>
      </c>
      <c r="AC502" t="s">
        <v>930</v>
      </c>
      <c r="AD502">
        <v>0</v>
      </c>
      <c r="AE502" s="2">
        <v>43511</v>
      </c>
      <c r="AF502">
        <v>0</v>
      </c>
      <c r="AG502">
        <v>3</v>
      </c>
    </row>
    <row r="503" spans="1:33">
      <c r="A503">
        <v>10256</v>
      </c>
      <c r="B503" t="s">
        <v>1478</v>
      </c>
      <c r="C503" t="s">
        <v>31</v>
      </c>
      <c r="D503" t="s">
        <v>56</v>
      </c>
      <c r="E503" t="s">
        <v>934</v>
      </c>
      <c r="F503" t="s">
        <v>278</v>
      </c>
      <c r="G503" t="s">
        <v>269</v>
      </c>
      <c r="H503" t="s">
        <v>609</v>
      </c>
      <c r="I503">
        <v>47142</v>
      </c>
      <c r="J503" s="3">
        <v>565704</v>
      </c>
      <c r="K503" s="2">
        <v>32844</v>
      </c>
      <c r="L503" t="s">
        <v>264</v>
      </c>
      <c r="M503" t="s">
        <v>80</v>
      </c>
      <c r="N503">
        <v>87244</v>
      </c>
      <c r="O503" t="s">
        <v>73</v>
      </c>
      <c r="P503" t="s">
        <v>32</v>
      </c>
      <c r="Q503" t="s">
        <v>34</v>
      </c>
      <c r="R503" s="2">
        <v>42974</v>
      </c>
      <c r="S503" s="1" t="s">
        <v>35</v>
      </c>
      <c r="T503">
        <v>1</v>
      </c>
      <c r="U503" t="s">
        <v>298</v>
      </c>
      <c r="V503">
        <v>3</v>
      </c>
      <c r="W503" t="s">
        <v>87</v>
      </c>
      <c r="X503">
        <v>0</v>
      </c>
      <c r="Y503" t="s">
        <v>268</v>
      </c>
      <c r="Z503">
        <v>4</v>
      </c>
      <c r="AA503" t="s">
        <v>49</v>
      </c>
      <c r="AB503">
        <v>3.4</v>
      </c>
      <c r="AC503" t="s">
        <v>932</v>
      </c>
      <c r="AD503">
        <v>1</v>
      </c>
      <c r="AE503" s="2">
        <v>45955</v>
      </c>
      <c r="AF503">
        <v>0</v>
      </c>
      <c r="AG503">
        <v>10</v>
      </c>
    </row>
    <row r="504" spans="1:33">
      <c r="A504">
        <v>10257</v>
      </c>
      <c r="B504" t="s">
        <v>1029</v>
      </c>
      <c r="C504" t="s">
        <v>31</v>
      </c>
      <c r="D504" t="s">
        <v>31</v>
      </c>
      <c r="E504" t="s">
        <v>934</v>
      </c>
      <c r="F504" t="s">
        <v>37</v>
      </c>
      <c r="G504" t="s">
        <v>28</v>
      </c>
      <c r="H504" t="s">
        <v>82</v>
      </c>
      <c r="I504">
        <v>53171</v>
      </c>
      <c r="J504" s="3">
        <v>638052</v>
      </c>
      <c r="K504" s="2">
        <v>30652</v>
      </c>
      <c r="L504" t="s">
        <v>51</v>
      </c>
      <c r="M504" t="s">
        <v>29</v>
      </c>
      <c r="N504">
        <v>2121</v>
      </c>
      <c r="O504" t="s">
        <v>73</v>
      </c>
      <c r="P504" t="s">
        <v>32</v>
      </c>
      <c r="Q504" t="s">
        <v>68</v>
      </c>
      <c r="R504" s="2">
        <v>40679</v>
      </c>
      <c r="S504" s="1" t="s">
        <v>35</v>
      </c>
      <c r="T504">
        <v>0</v>
      </c>
      <c r="U504" t="s">
        <v>36</v>
      </c>
      <c r="V504">
        <v>1</v>
      </c>
      <c r="W504" t="s">
        <v>36</v>
      </c>
      <c r="X504">
        <v>0</v>
      </c>
      <c r="Y504" t="s">
        <v>39</v>
      </c>
      <c r="Z504">
        <v>3</v>
      </c>
      <c r="AA504" t="s">
        <v>49</v>
      </c>
      <c r="AB504">
        <v>4.2</v>
      </c>
      <c r="AC504" t="s">
        <v>937</v>
      </c>
      <c r="AD504">
        <v>0</v>
      </c>
      <c r="AE504" s="2">
        <v>43522</v>
      </c>
      <c r="AF504">
        <v>0</v>
      </c>
      <c r="AG504">
        <v>12</v>
      </c>
    </row>
    <row r="505" spans="1:33">
      <c r="A505">
        <v>10257</v>
      </c>
      <c r="B505" t="s">
        <v>1479</v>
      </c>
      <c r="C505" t="s">
        <v>31</v>
      </c>
      <c r="D505" t="s">
        <v>42</v>
      </c>
      <c r="E505" t="s">
        <v>934</v>
      </c>
      <c r="F505" t="s">
        <v>278</v>
      </c>
      <c r="G505" t="s">
        <v>269</v>
      </c>
      <c r="H505" t="s">
        <v>612</v>
      </c>
      <c r="I505">
        <v>57998</v>
      </c>
      <c r="J505" s="3">
        <v>695976</v>
      </c>
      <c r="K505" s="2">
        <v>30114</v>
      </c>
      <c r="L505" t="s">
        <v>264</v>
      </c>
      <c r="M505" t="s">
        <v>210</v>
      </c>
      <c r="N505">
        <v>55656</v>
      </c>
      <c r="O505" t="s">
        <v>73</v>
      </c>
      <c r="P505" t="s">
        <v>32</v>
      </c>
      <c r="Q505" t="s">
        <v>204</v>
      </c>
      <c r="R505" s="2">
        <v>44360</v>
      </c>
      <c r="S505" s="1" t="s">
        <v>611</v>
      </c>
      <c r="T505">
        <v>0</v>
      </c>
      <c r="U505" t="s">
        <v>36</v>
      </c>
      <c r="V505">
        <v>1</v>
      </c>
      <c r="W505" t="s">
        <v>36</v>
      </c>
      <c r="X505">
        <v>0</v>
      </c>
      <c r="Y505" t="s">
        <v>39</v>
      </c>
      <c r="Z505">
        <v>3</v>
      </c>
      <c r="AA505" t="s">
        <v>276</v>
      </c>
      <c r="AB505">
        <v>3.6</v>
      </c>
      <c r="AC505" t="s">
        <v>962</v>
      </c>
      <c r="AD505">
        <v>5</v>
      </c>
      <c r="AE505" s="2">
        <v>45697</v>
      </c>
      <c r="AF505">
        <v>4</v>
      </c>
      <c r="AG505">
        <v>3</v>
      </c>
    </row>
    <row r="506" spans="1:33">
      <c r="A506">
        <v>10258</v>
      </c>
      <c r="B506" t="s">
        <v>1026</v>
      </c>
      <c r="C506" t="s">
        <v>31</v>
      </c>
      <c r="D506" t="s">
        <v>31</v>
      </c>
      <c r="E506" t="s">
        <v>929</v>
      </c>
      <c r="F506" t="s">
        <v>113</v>
      </c>
      <c r="G506" t="s">
        <v>110</v>
      </c>
      <c r="H506" t="s">
        <v>121</v>
      </c>
      <c r="I506">
        <v>67251</v>
      </c>
      <c r="J506" s="3">
        <v>807012</v>
      </c>
      <c r="K506" s="2">
        <v>23251</v>
      </c>
      <c r="L506" t="s">
        <v>30</v>
      </c>
      <c r="M506" t="s">
        <v>98</v>
      </c>
      <c r="N506">
        <v>6050</v>
      </c>
      <c r="O506" t="s">
        <v>33</v>
      </c>
      <c r="P506" t="s">
        <v>32</v>
      </c>
      <c r="Q506" t="s">
        <v>68</v>
      </c>
      <c r="R506" s="2">
        <v>40792</v>
      </c>
      <c r="S506" s="1" t="s">
        <v>35</v>
      </c>
      <c r="T506">
        <v>0</v>
      </c>
      <c r="U506" t="s">
        <v>36</v>
      </c>
      <c r="V506">
        <v>1</v>
      </c>
      <c r="W506" t="s">
        <v>36</v>
      </c>
      <c r="X506">
        <v>0</v>
      </c>
      <c r="Y506" t="s">
        <v>94</v>
      </c>
      <c r="Z506">
        <v>3</v>
      </c>
      <c r="AA506" t="s">
        <v>49</v>
      </c>
      <c r="AB506">
        <v>4.3</v>
      </c>
      <c r="AC506" t="s">
        <v>932</v>
      </c>
      <c r="AD506">
        <v>0</v>
      </c>
      <c r="AE506" s="2">
        <v>43492</v>
      </c>
      <c r="AF506">
        <v>2</v>
      </c>
      <c r="AG506">
        <v>7</v>
      </c>
    </row>
    <row r="507" spans="1:33">
      <c r="A507">
        <v>10258</v>
      </c>
      <c r="B507" t="s">
        <v>1480</v>
      </c>
      <c r="C507" t="s">
        <v>42</v>
      </c>
      <c r="D507" t="s">
        <v>31</v>
      </c>
      <c r="E507" t="s">
        <v>929</v>
      </c>
      <c r="F507" t="s">
        <v>283</v>
      </c>
      <c r="G507" t="s">
        <v>28</v>
      </c>
      <c r="H507" t="s">
        <v>613</v>
      </c>
      <c r="I507">
        <v>102504</v>
      </c>
      <c r="J507" s="3">
        <v>1230048</v>
      </c>
      <c r="K507" s="2">
        <v>25265</v>
      </c>
      <c r="L507" t="s">
        <v>264</v>
      </c>
      <c r="M507" t="s">
        <v>80</v>
      </c>
      <c r="N507">
        <v>88915</v>
      </c>
      <c r="O507" t="s">
        <v>33</v>
      </c>
      <c r="P507" t="s">
        <v>32</v>
      </c>
      <c r="Q507" t="s">
        <v>204</v>
      </c>
      <c r="R507" s="2">
        <v>45522</v>
      </c>
      <c r="S507" s="1" t="s">
        <v>35</v>
      </c>
      <c r="T507">
        <v>0</v>
      </c>
      <c r="U507" t="s">
        <v>36</v>
      </c>
      <c r="V507">
        <v>3</v>
      </c>
      <c r="W507" t="s">
        <v>36</v>
      </c>
      <c r="X507">
        <v>0</v>
      </c>
      <c r="Y507" t="s">
        <v>48</v>
      </c>
      <c r="Z507">
        <v>3</v>
      </c>
      <c r="AA507" t="s">
        <v>95</v>
      </c>
      <c r="AB507">
        <v>4.9000000000000004</v>
      </c>
      <c r="AC507" t="s">
        <v>932</v>
      </c>
      <c r="AD507">
        <v>0</v>
      </c>
      <c r="AE507" s="2">
        <v>45859</v>
      </c>
      <c r="AF507">
        <v>4</v>
      </c>
      <c r="AG507">
        <v>9</v>
      </c>
    </row>
    <row r="508" spans="1:33">
      <c r="A508">
        <v>10259</v>
      </c>
      <c r="B508" t="s">
        <v>1132</v>
      </c>
      <c r="C508" t="s">
        <v>42</v>
      </c>
      <c r="D508" t="s">
        <v>42</v>
      </c>
      <c r="E508" t="s">
        <v>929</v>
      </c>
      <c r="F508" t="s">
        <v>46</v>
      </c>
      <c r="G508" t="s">
        <v>79</v>
      </c>
      <c r="H508" t="s">
        <v>47</v>
      </c>
      <c r="I508">
        <v>93093</v>
      </c>
      <c r="J508" s="3">
        <v>1117116</v>
      </c>
      <c r="K508" s="2">
        <v>30930</v>
      </c>
      <c r="L508" t="s">
        <v>30</v>
      </c>
      <c r="M508" t="s">
        <v>29</v>
      </c>
      <c r="N508">
        <v>2747</v>
      </c>
      <c r="O508" t="s">
        <v>33</v>
      </c>
      <c r="P508" t="s">
        <v>32</v>
      </c>
      <c r="Q508" t="s">
        <v>34</v>
      </c>
      <c r="R508" s="2">
        <v>41974</v>
      </c>
      <c r="S508" s="1" t="s">
        <v>214</v>
      </c>
      <c r="T508">
        <v>1</v>
      </c>
      <c r="U508" t="s">
        <v>91</v>
      </c>
      <c r="V508">
        <v>5</v>
      </c>
      <c r="W508" t="s">
        <v>45</v>
      </c>
      <c r="X508">
        <v>0</v>
      </c>
      <c r="Y508" t="s">
        <v>67</v>
      </c>
      <c r="Z508">
        <v>3</v>
      </c>
      <c r="AA508" t="s">
        <v>49</v>
      </c>
      <c r="AB508">
        <v>4.7</v>
      </c>
      <c r="AC508" t="s">
        <v>937</v>
      </c>
      <c r="AD508">
        <v>5</v>
      </c>
      <c r="AE508" s="2">
        <v>42385</v>
      </c>
      <c r="AF508">
        <v>0</v>
      </c>
      <c r="AG508">
        <v>19</v>
      </c>
    </row>
    <row r="509" spans="1:33">
      <c r="A509">
        <v>10259</v>
      </c>
      <c r="B509" t="s">
        <v>1481</v>
      </c>
      <c r="C509" t="s">
        <v>42</v>
      </c>
      <c r="D509" t="s">
        <v>42</v>
      </c>
      <c r="E509" t="s">
        <v>934</v>
      </c>
      <c r="F509" t="s">
        <v>113</v>
      </c>
      <c r="G509" t="s">
        <v>28</v>
      </c>
      <c r="H509" t="s">
        <v>614</v>
      </c>
      <c r="I509">
        <v>55346</v>
      </c>
      <c r="J509" s="3">
        <v>664152</v>
      </c>
      <c r="K509" s="2">
        <v>26736</v>
      </c>
      <c r="L509" t="s">
        <v>264</v>
      </c>
      <c r="M509" t="s">
        <v>80</v>
      </c>
      <c r="N509">
        <v>93676</v>
      </c>
      <c r="O509" t="s">
        <v>33</v>
      </c>
      <c r="P509" t="s">
        <v>124</v>
      </c>
      <c r="Q509" t="s">
        <v>270</v>
      </c>
      <c r="R509" s="2">
        <v>45730</v>
      </c>
      <c r="S509" s="1" t="s">
        <v>35</v>
      </c>
      <c r="T509">
        <v>1</v>
      </c>
      <c r="U509" t="s">
        <v>298</v>
      </c>
      <c r="V509">
        <v>2</v>
      </c>
      <c r="W509" t="s">
        <v>45</v>
      </c>
      <c r="X509">
        <v>1</v>
      </c>
      <c r="Y509" t="s">
        <v>268</v>
      </c>
      <c r="Z509">
        <v>1</v>
      </c>
      <c r="AA509" t="s">
        <v>276</v>
      </c>
      <c r="AB509">
        <v>4.3</v>
      </c>
      <c r="AC509" t="s">
        <v>930</v>
      </c>
      <c r="AD509">
        <v>3</v>
      </c>
      <c r="AE509" s="2">
        <v>45749</v>
      </c>
      <c r="AF509">
        <v>0</v>
      </c>
      <c r="AG509">
        <v>7</v>
      </c>
    </row>
    <row r="510" spans="1:33">
      <c r="A510">
        <v>10260</v>
      </c>
      <c r="B510" t="s">
        <v>1164</v>
      </c>
      <c r="C510" t="s">
        <v>31</v>
      </c>
      <c r="D510" t="s">
        <v>31</v>
      </c>
      <c r="E510" t="s">
        <v>929</v>
      </c>
      <c r="F510" t="s">
        <v>37</v>
      </c>
      <c r="G510" t="s">
        <v>28</v>
      </c>
      <c r="H510" t="s">
        <v>38</v>
      </c>
      <c r="I510">
        <v>46428</v>
      </c>
      <c r="J510" s="3">
        <v>557136</v>
      </c>
      <c r="K510" s="2">
        <v>27384</v>
      </c>
      <c r="L510" t="s">
        <v>30</v>
      </c>
      <c r="M510" t="s">
        <v>29</v>
      </c>
      <c r="N510">
        <v>2148</v>
      </c>
      <c r="O510" t="s">
        <v>33</v>
      </c>
      <c r="P510" t="s">
        <v>32</v>
      </c>
      <c r="Q510" t="s">
        <v>34</v>
      </c>
      <c r="R510" s="2">
        <v>39818</v>
      </c>
      <c r="S510" s="1" t="s">
        <v>236</v>
      </c>
      <c r="T510">
        <v>1</v>
      </c>
      <c r="U510" t="s">
        <v>123</v>
      </c>
      <c r="V510">
        <v>5</v>
      </c>
      <c r="W510" t="s">
        <v>45</v>
      </c>
      <c r="X510">
        <v>0</v>
      </c>
      <c r="Y510" t="s">
        <v>60</v>
      </c>
      <c r="Z510">
        <v>3</v>
      </c>
      <c r="AA510" t="s">
        <v>49</v>
      </c>
      <c r="AB510">
        <v>4.5999999999999996</v>
      </c>
      <c r="AC510" t="s">
        <v>930</v>
      </c>
      <c r="AD510">
        <v>0</v>
      </c>
      <c r="AE510" s="2">
        <v>43136</v>
      </c>
      <c r="AF510">
        <v>0</v>
      </c>
      <c r="AG510">
        <v>7</v>
      </c>
    </row>
    <row r="511" spans="1:33">
      <c r="A511">
        <v>10260</v>
      </c>
      <c r="B511" t="s">
        <v>1482</v>
      </c>
      <c r="C511" t="s">
        <v>31</v>
      </c>
      <c r="D511" t="s">
        <v>56</v>
      </c>
      <c r="E511" t="s">
        <v>934</v>
      </c>
      <c r="F511" t="s">
        <v>283</v>
      </c>
      <c r="G511" t="s">
        <v>277</v>
      </c>
      <c r="H511" t="s">
        <v>615</v>
      </c>
      <c r="I511">
        <v>79554</v>
      </c>
      <c r="J511" s="3">
        <v>954648</v>
      </c>
      <c r="K511" s="2">
        <v>32821</v>
      </c>
      <c r="L511" t="s">
        <v>51</v>
      </c>
      <c r="M511" t="s">
        <v>191</v>
      </c>
      <c r="N511">
        <v>42704</v>
      </c>
      <c r="O511" t="s">
        <v>73</v>
      </c>
      <c r="P511" t="s">
        <v>124</v>
      </c>
      <c r="Q511" t="s">
        <v>34</v>
      </c>
      <c r="R511" s="2">
        <v>43537</v>
      </c>
      <c r="S511" s="1" t="s">
        <v>35</v>
      </c>
      <c r="T511">
        <v>1</v>
      </c>
      <c r="U511" t="s">
        <v>298</v>
      </c>
      <c r="V511">
        <v>1</v>
      </c>
      <c r="W511" t="s">
        <v>45</v>
      </c>
      <c r="X511">
        <v>1</v>
      </c>
      <c r="Y511" t="s">
        <v>268</v>
      </c>
      <c r="Z511">
        <v>1</v>
      </c>
      <c r="AA511" t="s">
        <v>276</v>
      </c>
      <c r="AB511">
        <v>4.9000000000000004</v>
      </c>
      <c r="AC511" t="s">
        <v>932</v>
      </c>
      <c r="AD511">
        <v>5</v>
      </c>
      <c r="AE511" s="2">
        <v>45664</v>
      </c>
      <c r="AF511">
        <v>1</v>
      </c>
      <c r="AG511">
        <v>4</v>
      </c>
    </row>
    <row r="512" spans="1:33">
      <c r="A512">
        <v>10261</v>
      </c>
      <c r="B512" t="s">
        <v>983</v>
      </c>
      <c r="C512" t="s">
        <v>31</v>
      </c>
      <c r="D512" t="s">
        <v>31</v>
      </c>
      <c r="E512" t="s">
        <v>929</v>
      </c>
      <c r="F512" t="s">
        <v>37</v>
      </c>
      <c r="G512" t="s">
        <v>28</v>
      </c>
      <c r="H512" t="s">
        <v>76</v>
      </c>
      <c r="I512">
        <v>63108</v>
      </c>
      <c r="J512" s="3">
        <v>757296</v>
      </c>
      <c r="K512" s="2">
        <v>28376</v>
      </c>
      <c r="L512" t="s">
        <v>30</v>
      </c>
      <c r="M512" t="s">
        <v>29</v>
      </c>
      <c r="N512">
        <v>2452</v>
      </c>
      <c r="O512" t="s">
        <v>33</v>
      </c>
      <c r="P512" t="s">
        <v>32</v>
      </c>
      <c r="Q512" t="s">
        <v>34</v>
      </c>
      <c r="R512" s="2">
        <v>41463</v>
      </c>
      <c r="S512" s="1" t="s">
        <v>35</v>
      </c>
      <c r="T512">
        <v>0</v>
      </c>
      <c r="U512" t="s">
        <v>36</v>
      </c>
      <c r="V512">
        <v>1</v>
      </c>
      <c r="W512" t="s">
        <v>36</v>
      </c>
      <c r="X512">
        <v>0</v>
      </c>
      <c r="Y512" t="s">
        <v>67</v>
      </c>
      <c r="Z512">
        <v>3</v>
      </c>
      <c r="AA512" t="s">
        <v>49</v>
      </c>
      <c r="AB512">
        <v>4.4000000000000004</v>
      </c>
      <c r="AC512" t="s">
        <v>930</v>
      </c>
      <c r="AD512">
        <v>0</v>
      </c>
      <c r="AE512" s="2">
        <v>43479</v>
      </c>
      <c r="AF512">
        <v>0</v>
      </c>
      <c r="AG512">
        <v>3</v>
      </c>
    </row>
    <row r="513" spans="1:33">
      <c r="A513">
        <v>10261</v>
      </c>
      <c r="B513" t="s">
        <v>1483</v>
      </c>
      <c r="C513" t="s">
        <v>42</v>
      </c>
      <c r="D513" t="s">
        <v>42</v>
      </c>
      <c r="E513" t="s">
        <v>929</v>
      </c>
      <c r="F513" t="s">
        <v>113</v>
      </c>
      <c r="G513" t="s">
        <v>62</v>
      </c>
      <c r="H513" t="s">
        <v>616</v>
      </c>
      <c r="I513">
        <v>56664</v>
      </c>
      <c r="J513" s="3">
        <v>679968</v>
      </c>
      <c r="K513" s="2">
        <v>27804</v>
      </c>
      <c r="L513" t="s">
        <v>51</v>
      </c>
      <c r="M513" t="s">
        <v>144</v>
      </c>
      <c r="N513">
        <v>80848</v>
      </c>
      <c r="O513" t="s">
        <v>73</v>
      </c>
      <c r="P513" t="s">
        <v>124</v>
      </c>
      <c r="Q513" t="s">
        <v>34</v>
      </c>
      <c r="R513" s="2">
        <v>43522</v>
      </c>
      <c r="S513" s="1" t="s">
        <v>35</v>
      </c>
      <c r="T513">
        <v>1</v>
      </c>
      <c r="U513" t="s">
        <v>290</v>
      </c>
      <c r="V513">
        <v>3</v>
      </c>
      <c r="W513" t="s">
        <v>87</v>
      </c>
      <c r="X513">
        <v>0</v>
      </c>
      <c r="Y513" t="s">
        <v>280</v>
      </c>
      <c r="Z513">
        <v>4</v>
      </c>
      <c r="AA513" t="s">
        <v>136</v>
      </c>
      <c r="AB513">
        <v>4.2</v>
      </c>
      <c r="AC513" t="s">
        <v>962</v>
      </c>
      <c r="AD513">
        <v>3</v>
      </c>
      <c r="AE513" s="2">
        <v>45713</v>
      </c>
      <c r="AF513">
        <v>5</v>
      </c>
      <c r="AG513">
        <v>9</v>
      </c>
    </row>
    <row r="514" spans="1:33">
      <c r="A514">
        <v>10262</v>
      </c>
      <c r="B514" t="s">
        <v>1145</v>
      </c>
      <c r="C514" t="s">
        <v>31</v>
      </c>
      <c r="D514" t="s">
        <v>56</v>
      </c>
      <c r="E514" t="s">
        <v>934</v>
      </c>
      <c r="F514" t="s">
        <v>37</v>
      </c>
      <c r="G514" t="s">
        <v>28</v>
      </c>
      <c r="H514" t="s">
        <v>54</v>
      </c>
      <c r="I514">
        <v>46430</v>
      </c>
      <c r="J514" s="3">
        <v>557160</v>
      </c>
      <c r="K514" s="2">
        <v>25833</v>
      </c>
      <c r="L514" t="s">
        <v>51</v>
      </c>
      <c r="M514" t="s">
        <v>29</v>
      </c>
      <c r="N514">
        <v>2474</v>
      </c>
      <c r="O514" t="s">
        <v>33</v>
      </c>
      <c r="P514" t="s">
        <v>32</v>
      </c>
      <c r="Q514" t="s">
        <v>34</v>
      </c>
      <c r="R514" s="2">
        <v>41176</v>
      </c>
      <c r="S514" s="1" t="s">
        <v>173</v>
      </c>
      <c r="T514">
        <v>1</v>
      </c>
      <c r="U514" t="s">
        <v>78</v>
      </c>
      <c r="V514">
        <v>5</v>
      </c>
      <c r="W514" t="s">
        <v>45</v>
      </c>
      <c r="X514">
        <v>0</v>
      </c>
      <c r="Y514" t="s">
        <v>48</v>
      </c>
      <c r="Z514">
        <v>3</v>
      </c>
      <c r="AA514" t="s">
        <v>49</v>
      </c>
      <c r="AB514">
        <v>4.5</v>
      </c>
      <c r="AC514" t="s">
        <v>930</v>
      </c>
      <c r="AD514">
        <v>0</v>
      </c>
      <c r="AE514" s="2">
        <v>41366</v>
      </c>
      <c r="AF514">
        <v>0</v>
      </c>
      <c r="AG514">
        <v>16</v>
      </c>
    </row>
    <row r="515" spans="1:33">
      <c r="A515">
        <v>10262</v>
      </c>
      <c r="B515" t="s">
        <v>1484</v>
      </c>
      <c r="C515" t="s">
        <v>42</v>
      </c>
      <c r="D515" t="s">
        <v>31</v>
      </c>
      <c r="E515" t="s">
        <v>934</v>
      </c>
      <c r="F515" t="s">
        <v>278</v>
      </c>
      <c r="G515" t="s">
        <v>277</v>
      </c>
      <c r="H515" t="s">
        <v>617</v>
      </c>
      <c r="I515">
        <v>95617</v>
      </c>
      <c r="J515" s="3">
        <v>1147404</v>
      </c>
      <c r="K515" s="2">
        <v>35509</v>
      </c>
      <c r="L515" t="s">
        <v>264</v>
      </c>
      <c r="M515" t="s">
        <v>80</v>
      </c>
      <c r="N515">
        <v>98767</v>
      </c>
      <c r="O515" t="s">
        <v>73</v>
      </c>
      <c r="P515" t="s">
        <v>32</v>
      </c>
      <c r="Q515" t="s">
        <v>270</v>
      </c>
      <c r="R515" s="2">
        <v>42815</v>
      </c>
      <c r="S515" s="1" t="s">
        <v>35</v>
      </c>
      <c r="T515">
        <v>0</v>
      </c>
      <c r="U515" t="s">
        <v>36</v>
      </c>
      <c r="V515">
        <v>1</v>
      </c>
      <c r="W515" t="s">
        <v>36</v>
      </c>
      <c r="X515">
        <v>1</v>
      </c>
      <c r="Y515" t="s">
        <v>48</v>
      </c>
      <c r="Z515">
        <v>2</v>
      </c>
      <c r="AA515" t="s">
        <v>136</v>
      </c>
      <c r="AB515">
        <v>3.8</v>
      </c>
      <c r="AC515" t="s">
        <v>930</v>
      </c>
      <c r="AD515">
        <v>4</v>
      </c>
      <c r="AE515" s="2">
        <v>45764</v>
      </c>
      <c r="AF515">
        <v>5</v>
      </c>
      <c r="AG515">
        <v>9</v>
      </c>
    </row>
    <row r="516" spans="1:33">
      <c r="A516">
        <v>10263</v>
      </c>
      <c r="B516" t="s">
        <v>1016</v>
      </c>
      <c r="C516" t="s">
        <v>42</v>
      </c>
      <c r="D516" t="s">
        <v>42</v>
      </c>
      <c r="E516" t="s">
        <v>934</v>
      </c>
      <c r="F516" t="s">
        <v>37</v>
      </c>
      <c r="G516" t="s">
        <v>50</v>
      </c>
      <c r="H516" t="s">
        <v>55</v>
      </c>
      <c r="I516">
        <v>71776</v>
      </c>
      <c r="J516" s="3">
        <v>861312</v>
      </c>
      <c r="K516" s="2">
        <v>28755</v>
      </c>
      <c r="L516" t="s">
        <v>51</v>
      </c>
      <c r="M516" t="s">
        <v>29</v>
      </c>
      <c r="N516">
        <v>1824</v>
      </c>
      <c r="O516" t="s">
        <v>33</v>
      </c>
      <c r="P516" t="s">
        <v>32</v>
      </c>
      <c r="Q516" t="s">
        <v>68</v>
      </c>
      <c r="R516" s="2">
        <v>41827</v>
      </c>
      <c r="S516" s="1" t="s">
        <v>35</v>
      </c>
      <c r="T516">
        <v>0</v>
      </c>
      <c r="U516" t="s">
        <v>36</v>
      </c>
      <c r="V516">
        <v>1</v>
      </c>
      <c r="W516" t="s">
        <v>36</v>
      </c>
      <c r="X516">
        <v>0</v>
      </c>
      <c r="Y516" t="s">
        <v>39</v>
      </c>
      <c r="Z516">
        <v>3</v>
      </c>
      <c r="AA516" t="s">
        <v>49</v>
      </c>
      <c r="AB516">
        <v>4.4000000000000004</v>
      </c>
      <c r="AC516" t="s">
        <v>930</v>
      </c>
      <c r="AD516">
        <v>0</v>
      </c>
      <c r="AE516" s="2">
        <v>43518</v>
      </c>
      <c r="AF516">
        <v>0</v>
      </c>
      <c r="AG516">
        <v>17</v>
      </c>
    </row>
    <row r="517" spans="1:33">
      <c r="A517">
        <v>10263</v>
      </c>
      <c r="B517" t="s">
        <v>1485</v>
      </c>
      <c r="C517" t="s">
        <v>42</v>
      </c>
      <c r="D517" t="s">
        <v>31</v>
      </c>
      <c r="E517" t="s">
        <v>929</v>
      </c>
      <c r="F517" t="s">
        <v>113</v>
      </c>
      <c r="G517" t="s">
        <v>62</v>
      </c>
      <c r="H517" t="s">
        <v>618</v>
      </c>
      <c r="I517">
        <v>61913</v>
      </c>
      <c r="J517" s="3">
        <v>742956</v>
      </c>
      <c r="K517" s="2">
        <v>28619</v>
      </c>
      <c r="L517" t="s">
        <v>51</v>
      </c>
      <c r="M517" t="s">
        <v>210</v>
      </c>
      <c r="N517">
        <v>581</v>
      </c>
      <c r="O517" t="s">
        <v>33</v>
      </c>
      <c r="P517" t="s">
        <v>124</v>
      </c>
      <c r="Q517" t="s">
        <v>160</v>
      </c>
      <c r="R517" s="2">
        <v>44769</v>
      </c>
      <c r="S517" s="1" t="s">
        <v>35</v>
      </c>
      <c r="T517">
        <v>0</v>
      </c>
      <c r="U517" t="s">
        <v>36</v>
      </c>
      <c r="V517">
        <v>1</v>
      </c>
      <c r="W517" t="s">
        <v>36</v>
      </c>
      <c r="X517">
        <v>1</v>
      </c>
      <c r="Y517" t="s">
        <v>268</v>
      </c>
      <c r="Z517">
        <v>4</v>
      </c>
      <c r="AA517" t="s">
        <v>136</v>
      </c>
      <c r="AB517">
        <v>3.1</v>
      </c>
      <c r="AC517" t="s">
        <v>930</v>
      </c>
      <c r="AD517">
        <v>5</v>
      </c>
      <c r="AE517" s="2">
        <v>45688</v>
      </c>
      <c r="AF517">
        <v>3</v>
      </c>
      <c r="AG517">
        <v>8</v>
      </c>
    </row>
    <row r="518" spans="1:33">
      <c r="A518">
        <v>10264</v>
      </c>
      <c r="B518" t="s">
        <v>1216</v>
      </c>
      <c r="C518" t="s">
        <v>31</v>
      </c>
      <c r="D518" t="s">
        <v>31</v>
      </c>
      <c r="E518" t="s">
        <v>934</v>
      </c>
      <c r="F518" t="s">
        <v>37</v>
      </c>
      <c r="G518" t="s">
        <v>28</v>
      </c>
      <c r="H518" t="s">
        <v>66</v>
      </c>
      <c r="I518">
        <v>59728</v>
      </c>
      <c r="J518" s="3">
        <v>716736</v>
      </c>
      <c r="K518" s="2">
        <v>25478</v>
      </c>
      <c r="L518" t="s">
        <v>51</v>
      </c>
      <c r="M518" t="s">
        <v>29</v>
      </c>
      <c r="N518">
        <v>2109</v>
      </c>
      <c r="O518" t="s">
        <v>73</v>
      </c>
      <c r="P518" t="s">
        <v>32</v>
      </c>
      <c r="Q518" t="s">
        <v>68</v>
      </c>
      <c r="R518" s="2">
        <v>40917</v>
      </c>
      <c r="S518" s="1" t="s">
        <v>260</v>
      </c>
      <c r="T518">
        <v>1</v>
      </c>
      <c r="U518" t="s">
        <v>123</v>
      </c>
      <c r="V518">
        <v>5</v>
      </c>
      <c r="W518" t="s">
        <v>45</v>
      </c>
      <c r="X518">
        <v>1</v>
      </c>
      <c r="Y518" t="s">
        <v>70</v>
      </c>
      <c r="Z518">
        <v>3</v>
      </c>
      <c r="AA518" t="s">
        <v>49</v>
      </c>
      <c r="AB518">
        <v>4.3</v>
      </c>
      <c r="AC518" t="s">
        <v>937</v>
      </c>
      <c r="AD518">
        <v>0</v>
      </c>
      <c r="AE518" s="2">
        <v>41792</v>
      </c>
      <c r="AF518">
        <v>0</v>
      </c>
      <c r="AG518">
        <v>16</v>
      </c>
    </row>
    <row r="519" spans="1:33">
      <c r="A519">
        <v>10264</v>
      </c>
      <c r="B519" t="s">
        <v>1486</v>
      </c>
      <c r="C519" t="s">
        <v>31</v>
      </c>
      <c r="D519" t="s">
        <v>56</v>
      </c>
      <c r="E519" t="s">
        <v>929</v>
      </c>
      <c r="F519" t="s">
        <v>271</v>
      </c>
      <c r="G519" t="s">
        <v>277</v>
      </c>
      <c r="H519" t="s">
        <v>619</v>
      </c>
      <c r="I519">
        <v>114040</v>
      </c>
      <c r="J519" s="3">
        <v>1368480</v>
      </c>
      <c r="K519" s="2">
        <v>23738</v>
      </c>
      <c r="L519" t="s">
        <v>264</v>
      </c>
      <c r="M519" t="s">
        <v>80</v>
      </c>
      <c r="N519">
        <v>58219</v>
      </c>
      <c r="O519" t="s">
        <v>33</v>
      </c>
      <c r="P519" t="s">
        <v>124</v>
      </c>
      <c r="Q519" t="s">
        <v>270</v>
      </c>
      <c r="R519" s="2">
        <v>44213</v>
      </c>
      <c r="S519" s="1" t="s">
        <v>35</v>
      </c>
      <c r="T519">
        <v>0</v>
      </c>
      <c r="U519" t="s">
        <v>36</v>
      </c>
      <c r="V519">
        <v>2</v>
      </c>
      <c r="W519" t="s">
        <v>87</v>
      </c>
      <c r="X519">
        <v>0</v>
      </c>
      <c r="Y519" t="s">
        <v>280</v>
      </c>
      <c r="Z519">
        <v>2</v>
      </c>
      <c r="AA519" t="s">
        <v>49</v>
      </c>
      <c r="AB519">
        <v>4.0999999999999996</v>
      </c>
      <c r="AC519" t="s">
        <v>930</v>
      </c>
      <c r="AD519">
        <v>4</v>
      </c>
      <c r="AE519" s="2">
        <v>45671</v>
      </c>
      <c r="AF519">
        <v>2</v>
      </c>
      <c r="AG519">
        <v>7</v>
      </c>
    </row>
    <row r="520" spans="1:33">
      <c r="A520">
        <v>10265</v>
      </c>
      <c r="B520" t="s">
        <v>946</v>
      </c>
      <c r="C520" t="s">
        <v>31</v>
      </c>
      <c r="D520" t="s">
        <v>31</v>
      </c>
      <c r="E520" t="s">
        <v>929</v>
      </c>
      <c r="F520" t="s">
        <v>37</v>
      </c>
      <c r="G520" t="s">
        <v>28</v>
      </c>
      <c r="H520" t="s">
        <v>82</v>
      </c>
      <c r="I520">
        <v>58709</v>
      </c>
      <c r="J520" s="3">
        <v>704508</v>
      </c>
      <c r="K520" s="2">
        <v>30517</v>
      </c>
      <c r="L520" t="s">
        <v>30</v>
      </c>
      <c r="M520" t="s">
        <v>29</v>
      </c>
      <c r="N520">
        <v>1810</v>
      </c>
      <c r="O520" t="s">
        <v>33</v>
      </c>
      <c r="P520" t="s">
        <v>32</v>
      </c>
      <c r="Q520" t="s">
        <v>81</v>
      </c>
      <c r="R520" s="2">
        <v>40959</v>
      </c>
      <c r="S520" s="1" t="s">
        <v>35</v>
      </c>
      <c r="T520">
        <v>0</v>
      </c>
      <c r="U520" t="s">
        <v>36</v>
      </c>
      <c r="V520">
        <v>1</v>
      </c>
      <c r="W520" t="s">
        <v>36</v>
      </c>
      <c r="X520">
        <v>0</v>
      </c>
      <c r="Y520" t="s">
        <v>60</v>
      </c>
      <c r="Z520">
        <v>3</v>
      </c>
      <c r="AA520" t="s">
        <v>49</v>
      </c>
      <c r="AB520">
        <v>4.5999999999999996</v>
      </c>
      <c r="AC520" t="s">
        <v>937</v>
      </c>
      <c r="AD520">
        <v>0</v>
      </c>
      <c r="AE520" s="2">
        <v>43510</v>
      </c>
      <c r="AF520">
        <v>0</v>
      </c>
      <c r="AG520">
        <v>7</v>
      </c>
    </row>
    <row r="521" spans="1:33">
      <c r="A521">
        <v>10265</v>
      </c>
      <c r="B521" t="s">
        <v>1487</v>
      </c>
      <c r="C521" t="s">
        <v>31</v>
      </c>
      <c r="D521" t="s">
        <v>42</v>
      </c>
      <c r="E521" t="s">
        <v>934</v>
      </c>
      <c r="F521" t="s">
        <v>283</v>
      </c>
      <c r="G521" t="s">
        <v>62</v>
      </c>
      <c r="H521" t="s">
        <v>621</v>
      </c>
      <c r="I521">
        <v>46304</v>
      </c>
      <c r="J521" s="3">
        <v>555648</v>
      </c>
      <c r="K521" s="2">
        <v>27289</v>
      </c>
      <c r="L521" t="s">
        <v>264</v>
      </c>
      <c r="M521" t="s">
        <v>80</v>
      </c>
      <c r="N521">
        <v>51399</v>
      </c>
      <c r="O521" t="s">
        <v>73</v>
      </c>
      <c r="P521" t="s">
        <v>32</v>
      </c>
      <c r="Q521" t="s">
        <v>270</v>
      </c>
      <c r="R521" s="2">
        <v>44966</v>
      </c>
      <c r="S521" s="1" t="s">
        <v>620</v>
      </c>
      <c r="T521">
        <v>1</v>
      </c>
      <c r="U521" t="s">
        <v>273</v>
      </c>
      <c r="V521">
        <v>1</v>
      </c>
      <c r="W521" t="s">
        <v>36</v>
      </c>
      <c r="X521">
        <v>1</v>
      </c>
      <c r="Y521" t="s">
        <v>39</v>
      </c>
      <c r="Z521">
        <v>1</v>
      </c>
      <c r="AA521" t="s">
        <v>95</v>
      </c>
      <c r="AB521">
        <v>4.5999999999999996</v>
      </c>
      <c r="AC521" t="s">
        <v>930</v>
      </c>
      <c r="AD521">
        <v>3</v>
      </c>
      <c r="AE521" s="2">
        <v>45876</v>
      </c>
      <c r="AF521">
        <v>2</v>
      </c>
      <c r="AG521">
        <v>3</v>
      </c>
    </row>
    <row r="522" spans="1:33">
      <c r="A522">
        <v>10266</v>
      </c>
      <c r="B522" t="s">
        <v>1183</v>
      </c>
      <c r="C522" t="s">
        <v>42</v>
      </c>
      <c r="D522" t="s">
        <v>42</v>
      </c>
      <c r="E522" t="s">
        <v>929</v>
      </c>
      <c r="F522" t="s">
        <v>37</v>
      </c>
      <c r="G522" t="s">
        <v>28</v>
      </c>
      <c r="H522" t="s">
        <v>82</v>
      </c>
      <c r="I522">
        <v>61355</v>
      </c>
      <c r="J522" s="3">
        <v>736260</v>
      </c>
      <c r="K522" s="2">
        <v>31120</v>
      </c>
      <c r="L522" t="s">
        <v>30</v>
      </c>
      <c r="M522" t="s">
        <v>29</v>
      </c>
      <c r="N522">
        <v>2301</v>
      </c>
      <c r="O522" t="s">
        <v>33</v>
      </c>
      <c r="P522" t="s">
        <v>32</v>
      </c>
      <c r="Q522" t="s">
        <v>92</v>
      </c>
      <c r="R522" s="2">
        <v>41687</v>
      </c>
      <c r="S522" s="1" t="s">
        <v>35</v>
      </c>
      <c r="T522">
        <v>0</v>
      </c>
      <c r="U522" t="s">
        <v>36</v>
      </c>
      <c r="V522">
        <v>1</v>
      </c>
      <c r="W522" t="s">
        <v>36</v>
      </c>
      <c r="X522">
        <v>0</v>
      </c>
      <c r="Y522" t="s">
        <v>39</v>
      </c>
      <c r="Z522">
        <v>3</v>
      </c>
      <c r="AA522" t="s">
        <v>49</v>
      </c>
      <c r="AB522">
        <v>4.7</v>
      </c>
      <c r="AC522" t="s">
        <v>932</v>
      </c>
      <c r="AD522">
        <v>0</v>
      </c>
      <c r="AE522" s="2">
        <v>43476</v>
      </c>
      <c r="AF522">
        <v>0</v>
      </c>
      <c r="AG522">
        <v>4</v>
      </c>
    </row>
    <row r="523" spans="1:33">
      <c r="A523">
        <v>10266</v>
      </c>
      <c r="B523" t="s">
        <v>1488</v>
      </c>
      <c r="C523" t="s">
        <v>42</v>
      </c>
      <c r="D523" t="s">
        <v>42</v>
      </c>
      <c r="E523" t="s">
        <v>929</v>
      </c>
      <c r="F523" t="s">
        <v>283</v>
      </c>
      <c r="G523" t="s">
        <v>62</v>
      </c>
      <c r="H523" t="s">
        <v>622</v>
      </c>
      <c r="I523">
        <v>86196</v>
      </c>
      <c r="J523" s="3">
        <v>1034352</v>
      </c>
      <c r="K523" s="2">
        <v>30100</v>
      </c>
      <c r="L523" t="s">
        <v>51</v>
      </c>
      <c r="M523" t="s">
        <v>144</v>
      </c>
      <c r="N523">
        <v>3546</v>
      </c>
      <c r="O523" t="s">
        <v>73</v>
      </c>
      <c r="P523" t="s">
        <v>124</v>
      </c>
      <c r="Q523" t="s">
        <v>270</v>
      </c>
      <c r="R523" s="2">
        <v>45020</v>
      </c>
      <c r="S523" s="1" t="s">
        <v>35</v>
      </c>
      <c r="T523">
        <v>0</v>
      </c>
      <c r="U523" t="s">
        <v>36</v>
      </c>
      <c r="V523">
        <v>2</v>
      </c>
      <c r="W523" t="s">
        <v>87</v>
      </c>
      <c r="X523">
        <v>0</v>
      </c>
      <c r="Y523" t="s">
        <v>39</v>
      </c>
      <c r="Z523">
        <v>2</v>
      </c>
      <c r="AA523" t="s">
        <v>95</v>
      </c>
      <c r="AB523">
        <v>3</v>
      </c>
      <c r="AC523" t="s">
        <v>1003</v>
      </c>
      <c r="AD523">
        <v>4</v>
      </c>
      <c r="AE523" s="2">
        <v>45694</v>
      </c>
      <c r="AF523">
        <v>4</v>
      </c>
      <c r="AG523">
        <v>8</v>
      </c>
    </row>
    <row r="524" spans="1:33">
      <c r="A524">
        <v>10267</v>
      </c>
      <c r="B524" t="s">
        <v>956</v>
      </c>
      <c r="C524" t="s">
        <v>31</v>
      </c>
      <c r="D524" t="s">
        <v>31</v>
      </c>
      <c r="E524" t="s">
        <v>934</v>
      </c>
      <c r="F524" t="s">
        <v>37</v>
      </c>
      <c r="G524" t="s">
        <v>50</v>
      </c>
      <c r="H524" t="s">
        <v>55</v>
      </c>
      <c r="I524">
        <v>57815</v>
      </c>
      <c r="J524" s="3">
        <v>693780</v>
      </c>
      <c r="K524" s="2">
        <v>24488</v>
      </c>
      <c r="L524" t="s">
        <v>51</v>
      </c>
      <c r="M524" t="s">
        <v>29</v>
      </c>
      <c r="N524">
        <v>2210</v>
      </c>
      <c r="O524" t="s">
        <v>33</v>
      </c>
      <c r="P524" t="s">
        <v>32</v>
      </c>
      <c r="Q524" t="s">
        <v>34</v>
      </c>
      <c r="R524" s="2">
        <v>40553</v>
      </c>
      <c r="S524" s="1" t="s">
        <v>96</v>
      </c>
      <c r="T524">
        <v>1</v>
      </c>
      <c r="U524" t="s">
        <v>44</v>
      </c>
      <c r="V524">
        <v>5</v>
      </c>
      <c r="W524" t="s">
        <v>45</v>
      </c>
      <c r="X524">
        <v>0</v>
      </c>
      <c r="Y524" t="s">
        <v>60</v>
      </c>
      <c r="Z524">
        <v>3</v>
      </c>
      <c r="AA524" t="s">
        <v>49</v>
      </c>
      <c r="AB524">
        <v>4.8</v>
      </c>
      <c r="AC524" t="s">
        <v>930</v>
      </c>
      <c r="AD524">
        <v>0</v>
      </c>
      <c r="AE524" s="2">
        <v>41702</v>
      </c>
      <c r="AF524">
        <v>0</v>
      </c>
      <c r="AG524">
        <v>5</v>
      </c>
    </row>
    <row r="525" spans="1:33">
      <c r="A525">
        <v>10267</v>
      </c>
      <c r="B525" t="s">
        <v>1489</v>
      </c>
      <c r="C525" t="s">
        <v>31</v>
      </c>
      <c r="D525" t="s">
        <v>42</v>
      </c>
      <c r="E525" t="s">
        <v>934</v>
      </c>
      <c r="F525" t="s">
        <v>113</v>
      </c>
      <c r="G525" t="s">
        <v>277</v>
      </c>
      <c r="H525" t="s">
        <v>623</v>
      </c>
      <c r="I525">
        <v>44031</v>
      </c>
      <c r="J525" s="3">
        <v>528372</v>
      </c>
      <c r="K525" s="2">
        <v>23951</v>
      </c>
      <c r="L525" t="s">
        <v>264</v>
      </c>
      <c r="M525" t="s">
        <v>210</v>
      </c>
      <c r="N525">
        <v>93355</v>
      </c>
      <c r="O525" t="s">
        <v>33</v>
      </c>
      <c r="P525" t="s">
        <v>32</v>
      </c>
      <c r="Q525" t="s">
        <v>92</v>
      </c>
      <c r="R525" s="2">
        <v>43949</v>
      </c>
      <c r="S525" s="1" t="s">
        <v>35</v>
      </c>
      <c r="T525">
        <v>0</v>
      </c>
      <c r="U525" t="s">
        <v>36</v>
      </c>
      <c r="V525">
        <v>3</v>
      </c>
      <c r="W525" t="s">
        <v>36</v>
      </c>
      <c r="X525">
        <v>0</v>
      </c>
      <c r="Y525" t="s">
        <v>142</v>
      </c>
      <c r="Z525">
        <v>4</v>
      </c>
      <c r="AA525" t="s">
        <v>95</v>
      </c>
      <c r="AB525">
        <v>4.5999999999999996</v>
      </c>
      <c r="AC525" t="s">
        <v>1003</v>
      </c>
      <c r="AD525">
        <v>2</v>
      </c>
      <c r="AE525" s="2">
        <v>45738</v>
      </c>
      <c r="AF525">
        <v>3</v>
      </c>
      <c r="AG525">
        <v>9</v>
      </c>
    </row>
    <row r="526" spans="1:33">
      <c r="A526">
        <v>10268</v>
      </c>
      <c r="B526" t="s">
        <v>1193</v>
      </c>
      <c r="C526" t="s">
        <v>31</v>
      </c>
      <c r="D526" t="s">
        <v>65</v>
      </c>
      <c r="E526" t="s">
        <v>929</v>
      </c>
      <c r="F526" t="s">
        <v>37</v>
      </c>
      <c r="G526" t="s">
        <v>50</v>
      </c>
      <c r="H526" t="s">
        <v>59</v>
      </c>
      <c r="I526">
        <v>67176</v>
      </c>
      <c r="J526" s="3">
        <v>806112</v>
      </c>
      <c r="K526" s="2">
        <v>27653</v>
      </c>
      <c r="L526" t="s">
        <v>30</v>
      </c>
      <c r="M526" t="s">
        <v>29</v>
      </c>
      <c r="N526">
        <v>2472</v>
      </c>
      <c r="O526" t="s">
        <v>33</v>
      </c>
      <c r="P526" t="s">
        <v>32</v>
      </c>
      <c r="Q526" t="s">
        <v>34</v>
      </c>
      <c r="R526" s="2">
        <v>39258</v>
      </c>
      <c r="S526" s="1" t="s">
        <v>127</v>
      </c>
      <c r="T526">
        <v>1</v>
      </c>
      <c r="U526" t="s">
        <v>146</v>
      </c>
      <c r="V526">
        <v>5</v>
      </c>
      <c r="W526" t="s">
        <v>45</v>
      </c>
      <c r="X526">
        <v>0</v>
      </c>
      <c r="Y526" t="s">
        <v>160</v>
      </c>
      <c r="Z526">
        <v>3</v>
      </c>
      <c r="AA526" t="s">
        <v>49</v>
      </c>
      <c r="AB526">
        <v>4.0999999999999996</v>
      </c>
      <c r="AC526" t="s">
        <v>937</v>
      </c>
      <c r="AD526">
        <v>0</v>
      </c>
      <c r="AE526" s="2">
        <v>40373</v>
      </c>
      <c r="AF526">
        <v>0</v>
      </c>
      <c r="AG526">
        <v>15</v>
      </c>
    </row>
    <row r="527" spans="1:33">
      <c r="A527">
        <v>10268</v>
      </c>
      <c r="B527" t="s">
        <v>1490</v>
      </c>
      <c r="C527" t="s">
        <v>31</v>
      </c>
      <c r="D527" t="s">
        <v>56</v>
      </c>
      <c r="E527" t="s">
        <v>934</v>
      </c>
      <c r="F527" t="s">
        <v>283</v>
      </c>
      <c r="G527" t="s">
        <v>277</v>
      </c>
      <c r="H527" t="s">
        <v>624</v>
      </c>
      <c r="I527">
        <v>31174</v>
      </c>
      <c r="J527" s="3">
        <v>374088</v>
      </c>
      <c r="K527" s="2">
        <v>34680</v>
      </c>
      <c r="L527" t="s">
        <v>264</v>
      </c>
      <c r="M527" t="s">
        <v>191</v>
      </c>
      <c r="N527">
        <v>89874</v>
      </c>
      <c r="O527" t="s">
        <v>73</v>
      </c>
      <c r="P527" t="s">
        <v>32</v>
      </c>
      <c r="Q527" t="s">
        <v>92</v>
      </c>
      <c r="R527" s="2">
        <v>42575</v>
      </c>
      <c r="S527" s="1" t="s">
        <v>35</v>
      </c>
      <c r="T527">
        <v>1</v>
      </c>
      <c r="U527" t="s">
        <v>273</v>
      </c>
      <c r="V527">
        <v>2</v>
      </c>
      <c r="W527" t="s">
        <v>45</v>
      </c>
      <c r="X527">
        <v>0</v>
      </c>
      <c r="Y527" t="s">
        <v>280</v>
      </c>
      <c r="Z527">
        <v>1</v>
      </c>
      <c r="AA527" t="s">
        <v>49</v>
      </c>
      <c r="AB527">
        <v>3</v>
      </c>
      <c r="AC527" t="s">
        <v>937</v>
      </c>
      <c r="AD527">
        <v>2</v>
      </c>
      <c r="AE527" s="2">
        <v>45870</v>
      </c>
      <c r="AF527">
        <v>2</v>
      </c>
      <c r="AG527">
        <v>7</v>
      </c>
    </row>
    <row r="528" spans="1:33">
      <c r="A528">
        <v>10269</v>
      </c>
      <c r="B528" t="s">
        <v>981</v>
      </c>
      <c r="C528" t="s">
        <v>42</v>
      </c>
      <c r="D528" t="s">
        <v>42</v>
      </c>
      <c r="E528" t="s">
        <v>929</v>
      </c>
      <c r="F528" t="s">
        <v>37</v>
      </c>
      <c r="G528" t="s">
        <v>50</v>
      </c>
      <c r="H528" t="s">
        <v>76</v>
      </c>
      <c r="I528">
        <v>59369</v>
      </c>
      <c r="J528" s="3">
        <v>712428</v>
      </c>
      <c r="K528" s="2">
        <v>28819</v>
      </c>
      <c r="L528" t="s">
        <v>30</v>
      </c>
      <c r="M528" t="s">
        <v>29</v>
      </c>
      <c r="N528">
        <v>2169</v>
      </c>
      <c r="O528" t="s">
        <v>33</v>
      </c>
      <c r="P528" t="s">
        <v>32</v>
      </c>
      <c r="Q528" t="s">
        <v>34</v>
      </c>
      <c r="R528" s="2">
        <v>40420</v>
      </c>
      <c r="S528" s="1" t="s">
        <v>128</v>
      </c>
      <c r="T528">
        <v>1</v>
      </c>
      <c r="U528" t="s">
        <v>44</v>
      </c>
      <c r="V528">
        <v>5</v>
      </c>
      <c r="W528" t="s">
        <v>45</v>
      </c>
      <c r="X528">
        <v>0</v>
      </c>
      <c r="Y528" t="s">
        <v>48</v>
      </c>
      <c r="Z528">
        <v>3</v>
      </c>
      <c r="AA528" t="s">
        <v>49</v>
      </c>
      <c r="AB528">
        <v>4.2</v>
      </c>
      <c r="AC528" t="s">
        <v>937</v>
      </c>
      <c r="AD528">
        <v>0</v>
      </c>
      <c r="AE528" s="2">
        <v>40667</v>
      </c>
      <c r="AF528">
        <v>0</v>
      </c>
      <c r="AG528">
        <v>6</v>
      </c>
    </row>
    <row r="529" spans="1:33">
      <c r="A529">
        <v>10269</v>
      </c>
      <c r="B529" t="s">
        <v>1491</v>
      </c>
      <c r="C529" t="s">
        <v>31</v>
      </c>
      <c r="D529" t="s">
        <v>42</v>
      </c>
      <c r="E529" t="s">
        <v>934</v>
      </c>
      <c r="F529" t="s">
        <v>283</v>
      </c>
      <c r="G529" t="s">
        <v>294</v>
      </c>
      <c r="H529" t="s">
        <v>625</v>
      </c>
      <c r="I529">
        <v>112858</v>
      </c>
      <c r="J529" s="3">
        <v>1354296</v>
      </c>
      <c r="K529" s="2">
        <v>34252</v>
      </c>
      <c r="L529" t="s">
        <v>264</v>
      </c>
      <c r="M529" t="s">
        <v>191</v>
      </c>
      <c r="N529">
        <v>27102</v>
      </c>
      <c r="O529" t="s">
        <v>73</v>
      </c>
      <c r="P529" t="s">
        <v>124</v>
      </c>
      <c r="Q529" t="s">
        <v>92</v>
      </c>
      <c r="R529" s="2">
        <v>44468</v>
      </c>
      <c r="S529" s="1" t="s">
        <v>35</v>
      </c>
      <c r="T529">
        <v>0</v>
      </c>
      <c r="U529" t="s">
        <v>36</v>
      </c>
      <c r="V529">
        <v>2</v>
      </c>
      <c r="W529" t="s">
        <v>87</v>
      </c>
      <c r="X529">
        <v>0</v>
      </c>
      <c r="Y529" t="s">
        <v>39</v>
      </c>
      <c r="Z529">
        <v>1</v>
      </c>
      <c r="AA529" t="s">
        <v>49</v>
      </c>
      <c r="AB529">
        <v>3.2</v>
      </c>
      <c r="AC529" t="s">
        <v>930</v>
      </c>
      <c r="AD529">
        <v>0</v>
      </c>
      <c r="AE529" s="2">
        <v>45737</v>
      </c>
      <c r="AF529">
        <v>0</v>
      </c>
      <c r="AG529">
        <v>10</v>
      </c>
    </row>
    <row r="530" spans="1:33">
      <c r="A530">
        <v>10270</v>
      </c>
      <c r="B530" t="s">
        <v>1199</v>
      </c>
      <c r="C530" t="s">
        <v>31</v>
      </c>
      <c r="D530" t="s">
        <v>31</v>
      </c>
      <c r="E530" t="s">
        <v>934</v>
      </c>
      <c r="F530" t="s">
        <v>37</v>
      </c>
      <c r="G530" t="s">
        <v>50</v>
      </c>
      <c r="H530" t="s">
        <v>61</v>
      </c>
      <c r="I530">
        <v>74813</v>
      </c>
      <c r="J530" s="3">
        <v>897756</v>
      </c>
      <c r="K530" s="2">
        <v>31121</v>
      </c>
      <c r="L530" t="s">
        <v>51</v>
      </c>
      <c r="M530" t="s">
        <v>29</v>
      </c>
      <c r="N530">
        <v>1778</v>
      </c>
      <c r="O530" t="s">
        <v>33</v>
      </c>
      <c r="P530" t="s">
        <v>32</v>
      </c>
      <c r="Q530" t="s">
        <v>34</v>
      </c>
      <c r="R530" s="2">
        <v>40553</v>
      </c>
      <c r="S530" s="1" t="s">
        <v>250</v>
      </c>
      <c r="T530">
        <v>1</v>
      </c>
      <c r="U530" t="s">
        <v>78</v>
      </c>
      <c r="V530">
        <v>5</v>
      </c>
      <c r="W530" t="s">
        <v>45</v>
      </c>
      <c r="X530">
        <v>0</v>
      </c>
      <c r="Y530" t="s">
        <v>39</v>
      </c>
      <c r="Z530">
        <v>3</v>
      </c>
      <c r="AA530" t="s">
        <v>49</v>
      </c>
      <c r="AB530">
        <v>4.4000000000000004</v>
      </c>
      <c r="AC530" t="s">
        <v>932</v>
      </c>
      <c r="AD530">
        <v>0</v>
      </c>
      <c r="AE530" s="2">
        <v>41644</v>
      </c>
      <c r="AF530">
        <v>0</v>
      </c>
      <c r="AG530">
        <v>5</v>
      </c>
    </row>
    <row r="531" spans="1:33">
      <c r="A531">
        <v>10270</v>
      </c>
      <c r="B531" t="s">
        <v>1492</v>
      </c>
      <c r="C531" t="s">
        <v>42</v>
      </c>
      <c r="D531" t="s">
        <v>31</v>
      </c>
      <c r="E531" t="s">
        <v>934</v>
      </c>
      <c r="F531" t="s">
        <v>283</v>
      </c>
      <c r="G531" t="s">
        <v>269</v>
      </c>
      <c r="H531" t="s">
        <v>626</v>
      </c>
      <c r="I531">
        <v>84353</v>
      </c>
      <c r="J531" s="3">
        <v>1012236</v>
      </c>
      <c r="K531" s="2">
        <v>35243</v>
      </c>
      <c r="L531" t="s">
        <v>51</v>
      </c>
      <c r="M531" t="s">
        <v>144</v>
      </c>
      <c r="N531">
        <v>75191</v>
      </c>
      <c r="O531" t="s">
        <v>73</v>
      </c>
      <c r="P531" t="s">
        <v>124</v>
      </c>
      <c r="Q531" t="s">
        <v>160</v>
      </c>
      <c r="R531" s="2">
        <v>45576</v>
      </c>
      <c r="S531" s="1" t="s">
        <v>35</v>
      </c>
      <c r="T531">
        <v>1</v>
      </c>
      <c r="U531" t="s">
        <v>36</v>
      </c>
      <c r="V531">
        <v>3</v>
      </c>
      <c r="W531" t="s">
        <v>36</v>
      </c>
      <c r="X531">
        <v>0</v>
      </c>
      <c r="Y531" t="s">
        <v>268</v>
      </c>
      <c r="Z531">
        <v>3</v>
      </c>
      <c r="AA531" t="s">
        <v>276</v>
      </c>
      <c r="AB531">
        <v>3.1</v>
      </c>
      <c r="AC531" t="s">
        <v>930</v>
      </c>
      <c r="AD531">
        <v>2</v>
      </c>
      <c r="AE531" s="2">
        <v>45781</v>
      </c>
      <c r="AF531">
        <v>4</v>
      </c>
      <c r="AG531">
        <v>8</v>
      </c>
    </row>
    <row r="532" spans="1:33">
      <c r="A532">
        <v>10271</v>
      </c>
      <c r="B532" t="s">
        <v>1222</v>
      </c>
      <c r="C532" t="s">
        <v>31</v>
      </c>
      <c r="D532" t="s">
        <v>65</v>
      </c>
      <c r="E532" t="s">
        <v>934</v>
      </c>
      <c r="F532" t="s">
        <v>37</v>
      </c>
      <c r="G532" t="s">
        <v>28</v>
      </c>
      <c r="H532" t="s">
        <v>76</v>
      </c>
      <c r="I532">
        <v>45046</v>
      </c>
      <c r="J532" s="3">
        <v>540552</v>
      </c>
      <c r="K532" s="2">
        <v>28719</v>
      </c>
      <c r="L532" t="s">
        <v>51</v>
      </c>
      <c r="M532" t="s">
        <v>29</v>
      </c>
      <c r="N532">
        <v>1730</v>
      </c>
      <c r="O532" t="s">
        <v>33</v>
      </c>
      <c r="P532" t="s">
        <v>32</v>
      </c>
      <c r="Q532" t="s">
        <v>92</v>
      </c>
      <c r="R532" s="2">
        <v>41911</v>
      </c>
      <c r="S532" s="1" t="s">
        <v>35</v>
      </c>
      <c r="T532">
        <v>0</v>
      </c>
      <c r="U532" t="s">
        <v>36</v>
      </c>
      <c r="V532">
        <v>1</v>
      </c>
      <c r="W532" t="s">
        <v>36</v>
      </c>
      <c r="X532">
        <v>0</v>
      </c>
      <c r="Y532" t="s">
        <v>39</v>
      </c>
      <c r="Z532">
        <v>3</v>
      </c>
      <c r="AA532" t="s">
        <v>49</v>
      </c>
      <c r="AB532">
        <v>4.5</v>
      </c>
      <c r="AC532" t="s">
        <v>930</v>
      </c>
      <c r="AD532">
        <v>0</v>
      </c>
      <c r="AE532" s="2">
        <v>43495</v>
      </c>
      <c r="AF532">
        <v>0</v>
      </c>
      <c r="AG532">
        <v>2</v>
      </c>
    </row>
    <row r="533" spans="1:33">
      <c r="A533">
        <v>10271</v>
      </c>
      <c r="B533" t="s">
        <v>1493</v>
      </c>
      <c r="C533" t="s">
        <v>42</v>
      </c>
      <c r="D533" t="s">
        <v>42</v>
      </c>
      <c r="E533" t="s">
        <v>929</v>
      </c>
      <c r="F533" t="s">
        <v>283</v>
      </c>
      <c r="G533" t="s">
        <v>294</v>
      </c>
      <c r="H533" t="s">
        <v>627</v>
      </c>
      <c r="I533">
        <v>37270</v>
      </c>
      <c r="J533" s="3">
        <v>447240</v>
      </c>
      <c r="K533" s="2">
        <v>26138</v>
      </c>
      <c r="L533" t="s">
        <v>264</v>
      </c>
      <c r="M533" t="s">
        <v>29</v>
      </c>
      <c r="N533">
        <v>94671</v>
      </c>
      <c r="O533" t="s">
        <v>73</v>
      </c>
      <c r="P533" t="s">
        <v>124</v>
      </c>
      <c r="Q533" t="s">
        <v>34</v>
      </c>
      <c r="R533" s="2">
        <v>43850</v>
      </c>
      <c r="S533" s="1" t="s">
        <v>35</v>
      </c>
      <c r="T533">
        <v>0</v>
      </c>
      <c r="U533" t="s">
        <v>36</v>
      </c>
      <c r="V533">
        <v>1</v>
      </c>
      <c r="W533" t="s">
        <v>45</v>
      </c>
      <c r="X533">
        <v>0</v>
      </c>
      <c r="Y533" t="s">
        <v>268</v>
      </c>
      <c r="Z533">
        <v>1</v>
      </c>
      <c r="AA533" t="s">
        <v>95</v>
      </c>
      <c r="AB533">
        <v>5</v>
      </c>
      <c r="AC533" t="s">
        <v>1003</v>
      </c>
      <c r="AD533">
        <v>5</v>
      </c>
      <c r="AE533" s="2">
        <v>45777</v>
      </c>
      <c r="AF533">
        <v>1</v>
      </c>
      <c r="AG533">
        <v>0</v>
      </c>
    </row>
    <row r="534" spans="1:33">
      <c r="A534">
        <v>10272</v>
      </c>
      <c r="B534" t="s">
        <v>133</v>
      </c>
      <c r="C534" t="s">
        <v>42</v>
      </c>
      <c r="D534" t="s">
        <v>42</v>
      </c>
      <c r="E534" t="s">
        <v>934</v>
      </c>
      <c r="F534" t="s">
        <v>113</v>
      </c>
      <c r="G534" t="s">
        <v>176</v>
      </c>
      <c r="H534" t="s">
        <v>107</v>
      </c>
      <c r="I534">
        <v>180000</v>
      </c>
      <c r="J534" s="3">
        <v>2160000</v>
      </c>
      <c r="K534" s="2">
        <v>24183</v>
      </c>
      <c r="L534" t="s">
        <v>51</v>
      </c>
      <c r="M534" t="s">
        <v>177</v>
      </c>
      <c r="N534">
        <v>2908</v>
      </c>
      <c r="O534" t="s">
        <v>33</v>
      </c>
      <c r="P534" t="s">
        <v>32</v>
      </c>
      <c r="Q534" t="s">
        <v>34</v>
      </c>
      <c r="R534" s="2">
        <v>41764</v>
      </c>
      <c r="S534" s="1" t="s">
        <v>35</v>
      </c>
      <c r="T534">
        <v>0</v>
      </c>
      <c r="U534" t="s">
        <v>36</v>
      </c>
      <c r="V534">
        <v>1</v>
      </c>
      <c r="W534" t="s">
        <v>36</v>
      </c>
      <c r="X534">
        <v>0</v>
      </c>
      <c r="Y534" t="s">
        <v>39</v>
      </c>
      <c r="Z534">
        <v>3</v>
      </c>
      <c r="AA534" t="s">
        <v>49</v>
      </c>
      <c r="AB534">
        <v>4.5</v>
      </c>
      <c r="AC534" t="s">
        <v>937</v>
      </c>
      <c r="AD534">
        <v>0</v>
      </c>
      <c r="AE534" s="2">
        <v>43486</v>
      </c>
      <c r="AF534">
        <v>0</v>
      </c>
      <c r="AG534">
        <v>19</v>
      </c>
    </row>
    <row r="535" spans="1:33">
      <c r="A535">
        <v>10272</v>
      </c>
      <c r="B535" t="s">
        <v>1494</v>
      </c>
      <c r="C535" t="s">
        <v>31</v>
      </c>
      <c r="D535" t="s">
        <v>42</v>
      </c>
      <c r="E535" t="s">
        <v>929</v>
      </c>
      <c r="F535" t="s">
        <v>283</v>
      </c>
      <c r="G535" t="s">
        <v>269</v>
      </c>
      <c r="H535" t="s">
        <v>629</v>
      </c>
      <c r="I535">
        <v>118516</v>
      </c>
      <c r="J535" s="3">
        <v>1422192</v>
      </c>
      <c r="K535" s="2">
        <v>29660</v>
      </c>
      <c r="L535" t="s">
        <v>51</v>
      </c>
      <c r="M535" t="s">
        <v>80</v>
      </c>
      <c r="N535">
        <v>26692</v>
      </c>
      <c r="O535" t="s">
        <v>73</v>
      </c>
      <c r="P535" t="s">
        <v>32</v>
      </c>
      <c r="Q535" t="s">
        <v>160</v>
      </c>
      <c r="R535" s="2">
        <v>43200</v>
      </c>
      <c r="S535" s="1" t="s">
        <v>628</v>
      </c>
      <c r="T535">
        <v>0</v>
      </c>
      <c r="U535" t="s">
        <v>36</v>
      </c>
      <c r="V535">
        <v>2</v>
      </c>
      <c r="W535" t="s">
        <v>45</v>
      </c>
      <c r="X535">
        <v>0</v>
      </c>
      <c r="Y535" t="s">
        <v>268</v>
      </c>
      <c r="Z535">
        <v>3</v>
      </c>
      <c r="AA535" t="s">
        <v>95</v>
      </c>
      <c r="AB535">
        <v>3.9</v>
      </c>
      <c r="AC535" t="s">
        <v>1003</v>
      </c>
      <c r="AD535">
        <v>0</v>
      </c>
      <c r="AE535" s="2">
        <v>45923</v>
      </c>
      <c r="AF535">
        <v>4</v>
      </c>
      <c r="AG535">
        <v>9</v>
      </c>
    </row>
    <row r="536" spans="1:33">
      <c r="A536">
        <v>10273</v>
      </c>
      <c r="B536" t="s">
        <v>1027</v>
      </c>
      <c r="C536" t="s">
        <v>31</v>
      </c>
      <c r="D536" t="s">
        <v>31</v>
      </c>
      <c r="E536" t="s">
        <v>934</v>
      </c>
      <c r="F536" t="s">
        <v>46</v>
      </c>
      <c r="G536" t="s">
        <v>71</v>
      </c>
      <c r="H536" t="s">
        <v>125</v>
      </c>
      <c r="I536">
        <v>65707</v>
      </c>
      <c r="J536" s="3">
        <v>788484</v>
      </c>
      <c r="K536" s="2">
        <v>25025</v>
      </c>
      <c r="L536" t="s">
        <v>51</v>
      </c>
      <c r="M536" t="s">
        <v>98</v>
      </c>
      <c r="N536">
        <v>6040</v>
      </c>
      <c r="O536" t="s">
        <v>33</v>
      </c>
      <c r="P536" t="s">
        <v>32</v>
      </c>
      <c r="Q536" t="s">
        <v>34</v>
      </c>
      <c r="R536" s="2">
        <v>40299</v>
      </c>
      <c r="S536" s="1" t="s">
        <v>35</v>
      </c>
      <c r="T536">
        <v>0</v>
      </c>
      <c r="U536" t="s">
        <v>36</v>
      </c>
      <c r="V536">
        <v>1</v>
      </c>
      <c r="W536" t="s">
        <v>36</v>
      </c>
      <c r="X536">
        <v>0</v>
      </c>
      <c r="Y536" t="s">
        <v>39</v>
      </c>
      <c r="Z536">
        <v>3</v>
      </c>
      <c r="AA536" t="s">
        <v>49</v>
      </c>
      <c r="AB536">
        <v>4.7</v>
      </c>
      <c r="AC536" t="s">
        <v>937</v>
      </c>
      <c r="AD536">
        <v>5</v>
      </c>
      <c r="AE536" s="2">
        <v>43497</v>
      </c>
      <c r="AF536">
        <v>0</v>
      </c>
      <c r="AG536">
        <v>1</v>
      </c>
    </row>
    <row r="537" spans="1:33">
      <c r="A537">
        <v>10273</v>
      </c>
      <c r="B537" t="s">
        <v>1362</v>
      </c>
      <c r="C537" t="s">
        <v>42</v>
      </c>
      <c r="D537" t="s">
        <v>56</v>
      </c>
      <c r="E537" t="s">
        <v>934</v>
      </c>
      <c r="F537" t="s">
        <v>113</v>
      </c>
      <c r="G537" t="s">
        <v>62</v>
      </c>
      <c r="H537" t="s">
        <v>630</v>
      </c>
      <c r="I537">
        <v>31659</v>
      </c>
      <c r="J537" s="3">
        <v>379908</v>
      </c>
      <c r="K537" s="2">
        <v>33169</v>
      </c>
      <c r="L537" t="s">
        <v>51</v>
      </c>
      <c r="M537" t="s">
        <v>210</v>
      </c>
      <c r="N537">
        <v>52848</v>
      </c>
      <c r="O537" t="s">
        <v>33</v>
      </c>
      <c r="P537" t="s">
        <v>32</v>
      </c>
      <c r="Q537" t="s">
        <v>204</v>
      </c>
      <c r="R537" s="2">
        <v>43806</v>
      </c>
      <c r="S537" s="1" t="s">
        <v>35</v>
      </c>
      <c r="T537">
        <v>1</v>
      </c>
      <c r="U537" t="s">
        <v>273</v>
      </c>
      <c r="V537">
        <v>2</v>
      </c>
      <c r="W537" t="s">
        <v>36</v>
      </c>
      <c r="X537">
        <v>1</v>
      </c>
      <c r="Y537" t="s">
        <v>280</v>
      </c>
      <c r="Z537">
        <v>4</v>
      </c>
      <c r="AA537" t="s">
        <v>95</v>
      </c>
      <c r="AB537">
        <v>3.6</v>
      </c>
      <c r="AC537" t="s">
        <v>937</v>
      </c>
      <c r="AD537">
        <v>2</v>
      </c>
      <c r="AE537" s="2">
        <v>45695</v>
      </c>
      <c r="AF537">
        <v>1</v>
      </c>
      <c r="AG537">
        <v>4</v>
      </c>
    </row>
    <row r="538" spans="1:33">
      <c r="A538">
        <v>10274</v>
      </c>
      <c r="B538" t="s">
        <v>1209</v>
      </c>
      <c r="C538" t="s">
        <v>42</v>
      </c>
      <c r="D538" t="s">
        <v>42</v>
      </c>
      <c r="E538" t="s">
        <v>934</v>
      </c>
      <c r="F538" t="s">
        <v>37</v>
      </c>
      <c r="G538" t="s">
        <v>104</v>
      </c>
      <c r="H538" t="s">
        <v>107</v>
      </c>
      <c r="I538">
        <v>80512</v>
      </c>
      <c r="J538" s="3">
        <v>966144</v>
      </c>
      <c r="K538" s="2">
        <v>20407</v>
      </c>
      <c r="L538" t="s">
        <v>51</v>
      </c>
      <c r="M538" t="s">
        <v>29</v>
      </c>
      <c r="N538">
        <v>2478</v>
      </c>
      <c r="O538" t="s">
        <v>33</v>
      </c>
      <c r="P538" t="s">
        <v>32</v>
      </c>
      <c r="Q538" t="s">
        <v>68</v>
      </c>
      <c r="R538" s="2">
        <v>40812</v>
      </c>
      <c r="S538" s="1" t="s">
        <v>257</v>
      </c>
      <c r="T538">
        <v>1</v>
      </c>
      <c r="U538" t="s">
        <v>75</v>
      </c>
      <c r="V538">
        <v>5</v>
      </c>
      <c r="W538" t="s">
        <v>45</v>
      </c>
      <c r="X538">
        <v>1</v>
      </c>
      <c r="Y538" t="s">
        <v>70</v>
      </c>
      <c r="Z538">
        <v>3</v>
      </c>
      <c r="AA538" t="s">
        <v>49</v>
      </c>
      <c r="AB538">
        <v>4.5</v>
      </c>
      <c r="AC538" t="s">
        <v>932</v>
      </c>
      <c r="AD538">
        <v>0</v>
      </c>
      <c r="AE538" s="2">
        <v>40910</v>
      </c>
      <c r="AF538">
        <v>0</v>
      </c>
      <c r="AG538">
        <v>5</v>
      </c>
    </row>
    <row r="539" spans="1:33">
      <c r="A539">
        <v>10274</v>
      </c>
      <c r="B539" t="s">
        <v>1495</v>
      </c>
      <c r="C539" t="s">
        <v>42</v>
      </c>
      <c r="D539" t="s">
        <v>42</v>
      </c>
      <c r="E539" t="s">
        <v>929</v>
      </c>
      <c r="F539" t="s">
        <v>283</v>
      </c>
      <c r="G539" t="s">
        <v>62</v>
      </c>
      <c r="H539" t="s">
        <v>631</v>
      </c>
      <c r="I539">
        <v>110146</v>
      </c>
      <c r="J539" s="3">
        <v>1321752</v>
      </c>
      <c r="K539" s="2">
        <v>35493</v>
      </c>
      <c r="L539" t="s">
        <v>264</v>
      </c>
      <c r="M539" t="s">
        <v>80</v>
      </c>
      <c r="N539">
        <v>11402</v>
      </c>
      <c r="O539" t="s">
        <v>73</v>
      </c>
      <c r="P539" t="s">
        <v>124</v>
      </c>
      <c r="Q539" t="s">
        <v>270</v>
      </c>
      <c r="R539" s="2">
        <v>45622</v>
      </c>
      <c r="S539" s="1" t="s">
        <v>470</v>
      </c>
      <c r="T539">
        <v>0</v>
      </c>
      <c r="U539" t="s">
        <v>36</v>
      </c>
      <c r="V539">
        <v>3</v>
      </c>
      <c r="W539" t="s">
        <v>45</v>
      </c>
      <c r="X539">
        <v>1</v>
      </c>
      <c r="Y539" t="s">
        <v>280</v>
      </c>
      <c r="Z539">
        <v>3</v>
      </c>
      <c r="AA539" t="s">
        <v>49</v>
      </c>
      <c r="AB539">
        <v>4.0999999999999996</v>
      </c>
      <c r="AC539" t="s">
        <v>1003</v>
      </c>
      <c r="AD539">
        <v>5</v>
      </c>
      <c r="AE539" s="2">
        <v>45607</v>
      </c>
      <c r="AF539">
        <v>5</v>
      </c>
      <c r="AG539">
        <v>4</v>
      </c>
    </row>
    <row r="540" spans="1:33">
      <c r="A540">
        <v>10275</v>
      </c>
      <c r="B540" t="s">
        <v>980</v>
      </c>
      <c r="C540" t="s">
        <v>42</v>
      </c>
      <c r="D540" t="s">
        <v>42</v>
      </c>
      <c r="E540" t="s">
        <v>934</v>
      </c>
      <c r="F540" t="s">
        <v>37</v>
      </c>
      <c r="G540" t="s">
        <v>50</v>
      </c>
      <c r="H540" t="s">
        <v>69</v>
      </c>
      <c r="I540">
        <v>64066</v>
      </c>
      <c r="J540" s="3">
        <v>768792</v>
      </c>
      <c r="K540" s="2">
        <v>29829</v>
      </c>
      <c r="L540" t="s">
        <v>51</v>
      </c>
      <c r="M540" t="s">
        <v>29</v>
      </c>
      <c r="N540">
        <v>1752</v>
      </c>
      <c r="O540" t="s">
        <v>33</v>
      </c>
      <c r="P540" t="s">
        <v>32</v>
      </c>
      <c r="Q540" t="s">
        <v>34</v>
      </c>
      <c r="R540" s="2">
        <v>40679</v>
      </c>
      <c r="S540" s="1" t="s">
        <v>126</v>
      </c>
      <c r="T540">
        <v>1</v>
      </c>
      <c r="U540" t="s">
        <v>78</v>
      </c>
      <c r="V540">
        <v>5</v>
      </c>
      <c r="W540" t="s">
        <v>45</v>
      </c>
      <c r="X540">
        <v>0</v>
      </c>
      <c r="Y540" t="s">
        <v>60</v>
      </c>
      <c r="Z540">
        <v>3</v>
      </c>
      <c r="AA540" t="s">
        <v>49</v>
      </c>
      <c r="AB540">
        <v>4.2</v>
      </c>
      <c r="AC540" t="s">
        <v>930</v>
      </c>
      <c r="AD540">
        <v>0</v>
      </c>
      <c r="AE540" s="2">
        <v>41032</v>
      </c>
      <c r="AF540">
        <v>0</v>
      </c>
      <c r="AG540">
        <v>9</v>
      </c>
    </row>
    <row r="541" spans="1:33">
      <c r="A541">
        <v>10275</v>
      </c>
      <c r="B541" t="s">
        <v>1496</v>
      </c>
      <c r="C541" t="s">
        <v>42</v>
      </c>
      <c r="D541" t="s">
        <v>31</v>
      </c>
      <c r="E541" t="s">
        <v>934</v>
      </c>
      <c r="F541" t="s">
        <v>278</v>
      </c>
      <c r="G541" t="s">
        <v>294</v>
      </c>
      <c r="H541" t="s">
        <v>632</v>
      </c>
      <c r="I541">
        <v>82346</v>
      </c>
      <c r="J541" s="3">
        <v>988152</v>
      </c>
      <c r="K541" s="2">
        <v>37420</v>
      </c>
      <c r="L541" t="s">
        <v>51</v>
      </c>
      <c r="M541" t="s">
        <v>29</v>
      </c>
      <c r="N541">
        <v>25462</v>
      </c>
      <c r="O541" t="s">
        <v>33</v>
      </c>
      <c r="P541" t="s">
        <v>32</v>
      </c>
      <c r="Q541" t="s">
        <v>34</v>
      </c>
      <c r="R541" s="2">
        <v>44708</v>
      </c>
      <c r="S541" s="1" t="s">
        <v>35</v>
      </c>
      <c r="T541">
        <v>1</v>
      </c>
      <c r="U541" t="s">
        <v>273</v>
      </c>
      <c r="V541">
        <v>1</v>
      </c>
      <c r="W541" t="s">
        <v>45</v>
      </c>
      <c r="X541">
        <v>1</v>
      </c>
      <c r="Y541" t="s">
        <v>39</v>
      </c>
      <c r="Z541">
        <v>4</v>
      </c>
      <c r="AA541" t="s">
        <v>136</v>
      </c>
      <c r="AB541">
        <v>4.3</v>
      </c>
      <c r="AC541" t="s">
        <v>932</v>
      </c>
      <c r="AD541">
        <v>1</v>
      </c>
      <c r="AE541" s="2">
        <v>45807</v>
      </c>
      <c r="AF541">
        <v>2</v>
      </c>
      <c r="AG541">
        <v>5</v>
      </c>
    </row>
    <row r="542" spans="1:33">
      <c r="A542">
        <v>10276</v>
      </c>
      <c r="B542" t="s">
        <v>1001</v>
      </c>
      <c r="C542" t="s">
        <v>31</v>
      </c>
      <c r="D542" t="s">
        <v>31</v>
      </c>
      <c r="E542" t="s">
        <v>929</v>
      </c>
      <c r="F542" t="s">
        <v>37</v>
      </c>
      <c r="G542" t="s">
        <v>28</v>
      </c>
      <c r="H542" t="s">
        <v>66</v>
      </c>
      <c r="I542">
        <v>51259</v>
      </c>
      <c r="J542" s="3">
        <v>615108</v>
      </c>
      <c r="K542" s="2">
        <v>30270</v>
      </c>
      <c r="L542" t="s">
        <v>30</v>
      </c>
      <c r="M542" t="s">
        <v>29</v>
      </c>
      <c r="N542">
        <v>2180</v>
      </c>
      <c r="O542" t="s">
        <v>33</v>
      </c>
      <c r="P542" t="s">
        <v>32</v>
      </c>
      <c r="Q542" t="s">
        <v>34</v>
      </c>
      <c r="R542" s="2">
        <v>41771</v>
      </c>
      <c r="S542" s="1" t="s">
        <v>35</v>
      </c>
      <c r="T542">
        <v>0</v>
      </c>
      <c r="U542" t="s">
        <v>36</v>
      </c>
      <c r="V542">
        <v>1</v>
      </c>
      <c r="W542" t="s">
        <v>36</v>
      </c>
      <c r="X542">
        <v>0</v>
      </c>
      <c r="Y542" t="s">
        <v>48</v>
      </c>
      <c r="Z542">
        <v>3</v>
      </c>
      <c r="AA542" t="s">
        <v>49</v>
      </c>
      <c r="AB542">
        <v>4.3</v>
      </c>
      <c r="AC542" t="s">
        <v>937</v>
      </c>
      <c r="AD542">
        <v>0</v>
      </c>
      <c r="AE542" s="2">
        <v>43515</v>
      </c>
      <c r="AF542">
        <v>0</v>
      </c>
      <c r="AG542">
        <v>1</v>
      </c>
    </row>
    <row r="543" spans="1:33">
      <c r="A543">
        <v>10276</v>
      </c>
      <c r="B543" t="s">
        <v>1497</v>
      </c>
      <c r="C543" t="s">
        <v>31</v>
      </c>
      <c r="D543" t="s">
        <v>31</v>
      </c>
      <c r="E543" t="s">
        <v>929</v>
      </c>
      <c r="F543" t="s">
        <v>271</v>
      </c>
      <c r="G543" t="s">
        <v>28</v>
      </c>
      <c r="H543" t="s">
        <v>633</v>
      </c>
      <c r="I543">
        <v>102533</v>
      </c>
      <c r="J543" s="3">
        <v>1230396</v>
      </c>
      <c r="K543" s="2">
        <v>37246</v>
      </c>
      <c r="L543" t="s">
        <v>264</v>
      </c>
      <c r="M543" t="s">
        <v>80</v>
      </c>
      <c r="N543">
        <v>31639</v>
      </c>
      <c r="O543" t="s">
        <v>73</v>
      </c>
      <c r="P543" t="s">
        <v>32</v>
      </c>
      <c r="Q543" t="s">
        <v>204</v>
      </c>
      <c r="R543" s="2">
        <v>43851</v>
      </c>
      <c r="S543" s="1" t="s">
        <v>35</v>
      </c>
      <c r="T543">
        <v>1</v>
      </c>
      <c r="U543" t="s">
        <v>290</v>
      </c>
      <c r="V543">
        <v>3</v>
      </c>
      <c r="W543" t="s">
        <v>87</v>
      </c>
      <c r="X543">
        <v>1</v>
      </c>
      <c r="Y543" t="s">
        <v>280</v>
      </c>
      <c r="Z543">
        <v>1</v>
      </c>
      <c r="AA543" t="s">
        <v>136</v>
      </c>
      <c r="AB543">
        <v>4.7</v>
      </c>
      <c r="AC543" t="s">
        <v>930</v>
      </c>
      <c r="AD543">
        <v>4</v>
      </c>
      <c r="AE543" s="2">
        <v>45673</v>
      </c>
      <c r="AF543">
        <v>5</v>
      </c>
      <c r="AG543">
        <v>3</v>
      </c>
    </row>
    <row r="544" spans="1:33">
      <c r="A544">
        <v>10277</v>
      </c>
      <c r="B544" t="s">
        <v>1498</v>
      </c>
      <c r="C544" t="s">
        <v>31</v>
      </c>
      <c r="D544" t="s">
        <v>56</v>
      </c>
      <c r="E544" t="s">
        <v>934</v>
      </c>
      <c r="F544" t="s">
        <v>274</v>
      </c>
      <c r="G544" t="s">
        <v>294</v>
      </c>
      <c r="H544" t="s">
        <v>634</v>
      </c>
      <c r="I544">
        <v>79209</v>
      </c>
      <c r="J544" s="3">
        <v>950508</v>
      </c>
      <c r="K544" s="2">
        <v>33482</v>
      </c>
      <c r="L544" t="s">
        <v>51</v>
      </c>
      <c r="M544" t="s">
        <v>144</v>
      </c>
      <c r="N544">
        <v>40748</v>
      </c>
      <c r="O544" t="s">
        <v>33</v>
      </c>
      <c r="P544" t="s">
        <v>124</v>
      </c>
      <c r="Q544" t="s">
        <v>92</v>
      </c>
      <c r="R544" s="2">
        <v>44911</v>
      </c>
      <c r="S544" s="1" t="s">
        <v>35</v>
      </c>
      <c r="T544">
        <v>1</v>
      </c>
      <c r="U544" t="s">
        <v>36</v>
      </c>
      <c r="V544">
        <v>1</v>
      </c>
      <c r="W544" t="s">
        <v>87</v>
      </c>
      <c r="X544">
        <v>0</v>
      </c>
      <c r="Y544" t="s">
        <v>280</v>
      </c>
      <c r="Z544">
        <v>2</v>
      </c>
      <c r="AA544" t="s">
        <v>136</v>
      </c>
      <c r="AB544">
        <v>4.4000000000000004</v>
      </c>
      <c r="AC544" t="s">
        <v>962</v>
      </c>
      <c r="AD544">
        <v>4</v>
      </c>
      <c r="AE544" s="2">
        <v>45917</v>
      </c>
      <c r="AF544">
        <v>2</v>
      </c>
      <c r="AG544">
        <v>10</v>
      </c>
    </row>
    <row r="545" spans="1:33">
      <c r="A545">
        <v>10278</v>
      </c>
      <c r="B545" t="s">
        <v>1180</v>
      </c>
      <c r="C545" t="s">
        <v>31</v>
      </c>
      <c r="D545" t="s">
        <v>56</v>
      </c>
      <c r="E545" t="s">
        <v>934</v>
      </c>
      <c r="F545" t="s">
        <v>37</v>
      </c>
      <c r="G545" t="s">
        <v>28</v>
      </c>
      <c r="H545" t="s">
        <v>54</v>
      </c>
      <c r="I545">
        <v>47961</v>
      </c>
      <c r="J545" s="3">
        <v>575532</v>
      </c>
      <c r="K545" s="2">
        <v>30188</v>
      </c>
      <c r="L545" t="s">
        <v>51</v>
      </c>
      <c r="M545" t="s">
        <v>29</v>
      </c>
      <c r="N545">
        <v>2050</v>
      </c>
      <c r="O545" t="s">
        <v>33</v>
      </c>
      <c r="P545" t="s">
        <v>32</v>
      </c>
      <c r="Q545" t="s">
        <v>81</v>
      </c>
      <c r="R545" s="2">
        <v>40553</v>
      </c>
      <c r="S545" s="1" t="s">
        <v>35</v>
      </c>
      <c r="T545">
        <v>0</v>
      </c>
      <c r="U545" t="s">
        <v>36</v>
      </c>
      <c r="V545">
        <v>1</v>
      </c>
      <c r="W545" t="s">
        <v>36</v>
      </c>
      <c r="X545">
        <v>0</v>
      </c>
      <c r="Y545" t="s">
        <v>60</v>
      </c>
      <c r="Z545">
        <v>3</v>
      </c>
      <c r="AA545" t="s">
        <v>49</v>
      </c>
      <c r="AB545">
        <v>4.0999999999999996</v>
      </c>
      <c r="AC545" t="s">
        <v>937</v>
      </c>
      <c r="AD545">
        <v>0</v>
      </c>
      <c r="AE545" s="2">
        <v>43503</v>
      </c>
      <c r="AF545">
        <v>0</v>
      </c>
      <c r="AG545">
        <v>9</v>
      </c>
    </row>
    <row r="546" spans="1:33">
      <c r="A546">
        <v>10278</v>
      </c>
      <c r="B546" t="s">
        <v>1499</v>
      </c>
      <c r="C546" t="s">
        <v>42</v>
      </c>
      <c r="D546" t="s">
        <v>56</v>
      </c>
      <c r="E546" t="s">
        <v>934</v>
      </c>
      <c r="F546" t="s">
        <v>274</v>
      </c>
      <c r="G546" t="s">
        <v>269</v>
      </c>
      <c r="H546" t="s">
        <v>635</v>
      </c>
      <c r="I546">
        <v>42834</v>
      </c>
      <c r="J546" s="3">
        <v>514008</v>
      </c>
      <c r="K546" s="2">
        <v>30196</v>
      </c>
      <c r="L546" t="s">
        <v>264</v>
      </c>
      <c r="M546" t="s">
        <v>29</v>
      </c>
      <c r="N546">
        <v>86796</v>
      </c>
      <c r="O546" t="s">
        <v>73</v>
      </c>
      <c r="P546" t="s">
        <v>32</v>
      </c>
      <c r="Q546" t="s">
        <v>160</v>
      </c>
      <c r="R546" s="2">
        <v>43146</v>
      </c>
      <c r="S546" s="1" t="s">
        <v>35</v>
      </c>
      <c r="T546">
        <v>1</v>
      </c>
      <c r="U546" t="s">
        <v>36</v>
      </c>
      <c r="V546">
        <v>1</v>
      </c>
      <c r="W546" t="s">
        <v>45</v>
      </c>
      <c r="X546">
        <v>1</v>
      </c>
      <c r="Y546" t="s">
        <v>280</v>
      </c>
      <c r="Z546">
        <v>2</v>
      </c>
      <c r="AA546" t="s">
        <v>95</v>
      </c>
      <c r="AB546">
        <v>4</v>
      </c>
      <c r="AC546" t="s">
        <v>932</v>
      </c>
      <c r="AD546">
        <v>1</v>
      </c>
      <c r="AE546" s="2">
        <v>45890</v>
      </c>
      <c r="AF546">
        <v>1</v>
      </c>
      <c r="AG546">
        <v>6</v>
      </c>
    </row>
    <row r="547" spans="1:33">
      <c r="A547">
        <v>10279</v>
      </c>
      <c r="B547" t="s">
        <v>1101</v>
      </c>
      <c r="C547" t="s">
        <v>42</v>
      </c>
      <c r="D547" t="s">
        <v>42</v>
      </c>
      <c r="E547" t="s">
        <v>934</v>
      </c>
      <c r="F547" t="s">
        <v>37</v>
      </c>
      <c r="G547" t="s">
        <v>28</v>
      </c>
      <c r="H547" t="s">
        <v>69</v>
      </c>
      <c r="I547">
        <v>61349</v>
      </c>
      <c r="J547" s="3">
        <v>736188</v>
      </c>
      <c r="K547" s="2">
        <v>27340</v>
      </c>
      <c r="L547" t="s">
        <v>51</v>
      </c>
      <c r="M547" t="s">
        <v>29</v>
      </c>
      <c r="N547">
        <v>2451</v>
      </c>
      <c r="O547" t="s">
        <v>33</v>
      </c>
      <c r="P547" t="s">
        <v>32</v>
      </c>
      <c r="Q547" t="s">
        <v>34</v>
      </c>
      <c r="R547" s="2">
        <v>41589</v>
      </c>
      <c r="S547" s="1" t="s">
        <v>35</v>
      </c>
      <c r="T547">
        <v>0</v>
      </c>
      <c r="U547" t="s">
        <v>36</v>
      </c>
      <c r="V547">
        <v>1</v>
      </c>
      <c r="W547" t="s">
        <v>36</v>
      </c>
      <c r="X547">
        <v>0</v>
      </c>
      <c r="Y547" t="s">
        <v>39</v>
      </c>
      <c r="Z547">
        <v>3</v>
      </c>
      <c r="AA547" t="s">
        <v>49</v>
      </c>
      <c r="AB547">
        <v>4.0999999999999996</v>
      </c>
      <c r="AC547" t="s">
        <v>932</v>
      </c>
      <c r="AD547">
        <v>0</v>
      </c>
      <c r="AE547" s="2">
        <v>43487</v>
      </c>
      <c r="AF547">
        <v>0</v>
      </c>
      <c r="AG547">
        <v>11</v>
      </c>
    </row>
    <row r="548" spans="1:33">
      <c r="A548">
        <v>10279</v>
      </c>
      <c r="B548" t="s">
        <v>1500</v>
      </c>
      <c r="C548" t="s">
        <v>42</v>
      </c>
      <c r="D548" t="s">
        <v>31</v>
      </c>
      <c r="E548" t="s">
        <v>929</v>
      </c>
      <c r="F548" t="s">
        <v>278</v>
      </c>
      <c r="G548" t="s">
        <v>28</v>
      </c>
      <c r="H548" t="s">
        <v>637</v>
      </c>
      <c r="I548">
        <v>86528</v>
      </c>
      <c r="J548" s="3">
        <v>1038336</v>
      </c>
      <c r="K548" s="2">
        <v>24516</v>
      </c>
      <c r="L548" t="s">
        <v>51</v>
      </c>
      <c r="M548" t="s">
        <v>210</v>
      </c>
      <c r="N548">
        <v>27117</v>
      </c>
      <c r="O548" t="s">
        <v>33</v>
      </c>
      <c r="P548" t="s">
        <v>124</v>
      </c>
      <c r="Q548" t="s">
        <v>204</v>
      </c>
      <c r="R548" s="2">
        <v>42691</v>
      </c>
      <c r="S548" s="1" t="s">
        <v>636</v>
      </c>
      <c r="T548">
        <v>1</v>
      </c>
      <c r="U548" t="s">
        <v>290</v>
      </c>
      <c r="V548">
        <v>3</v>
      </c>
      <c r="W548" t="s">
        <v>45</v>
      </c>
      <c r="X548">
        <v>0</v>
      </c>
      <c r="Y548" t="s">
        <v>39</v>
      </c>
      <c r="Z548">
        <v>3</v>
      </c>
      <c r="AA548" t="s">
        <v>276</v>
      </c>
      <c r="AB548">
        <v>5</v>
      </c>
      <c r="AC548" t="s">
        <v>962</v>
      </c>
      <c r="AD548">
        <v>0</v>
      </c>
      <c r="AE548" s="2">
        <v>45885</v>
      </c>
      <c r="AF548">
        <v>1</v>
      </c>
      <c r="AG548">
        <v>6</v>
      </c>
    </row>
    <row r="549" spans="1:33">
      <c r="A549">
        <v>10280</v>
      </c>
      <c r="B549" t="s">
        <v>1013</v>
      </c>
      <c r="C549" t="s">
        <v>31</v>
      </c>
      <c r="D549" t="s">
        <v>31</v>
      </c>
      <c r="E549" t="s">
        <v>929</v>
      </c>
      <c r="F549" t="s">
        <v>37</v>
      </c>
      <c r="G549" t="s">
        <v>28</v>
      </c>
      <c r="H549" t="s">
        <v>38</v>
      </c>
      <c r="I549">
        <v>60340</v>
      </c>
      <c r="J549" s="3">
        <v>724080</v>
      </c>
      <c r="K549" s="2">
        <v>30561</v>
      </c>
      <c r="L549" t="s">
        <v>30</v>
      </c>
      <c r="M549" t="s">
        <v>29</v>
      </c>
      <c r="N549">
        <v>2129</v>
      </c>
      <c r="O549" t="s">
        <v>33</v>
      </c>
      <c r="P549" t="s">
        <v>32</v>
      </c>
      <c r="Q549" t="s">
        <v>34</v>
      </c>
      <c r="R549" s="2">
        <v>41001</v>
      </c>
      <c r="S549" s="1" t="s">
        <v>147</v>
      </c>
      <c r="T549">
        <v>1</v>
      </c>
      <c r="U549" t="s">
        <v>86</v>
      </c>
      <c r="V549">
        <v>4</v>
      </c>
      <c r="W549" t="s">
        <v>87</v>
      </c>
      <c r="X549">
        <v>0</v>
      </c>
      <c r="Y549" t="s">
        <v>60</v>
      </c>
      <c r="Z549">
        <v>2</v>
      </c>
      <c r="AA549" t="s">
        <v>95</v>
      </c>
      <c r="AB549">
        <v>5</v>
      </c>
      <c r="AC549" t="s">
        <v>937</v>
      </c>
      <c r="AD549">
        <v>0</v>
      </c>
      <c r="AE549" s="2">
        <v>43202</v>
      </c>
      <c r="AF549">
        <v>5</v>
      </c>
      <c r="AG549">
        <v>16</v>
      </c>
    </row>
    <row r="550" spans="1:33">
      <c r="A550">
        <v>10280</v>
      </c>
      <c r="B550" t="s">
        <v>1501</v>
      </c>
      <c r="C550" t="s">
        <v>42</v>
      </c>
      <c r="D550" t="s">
        <v>31</v>
      </c>
      <c r="E550" t="s">
        <v>929</v>
      </c>
      <c r="F550" t="s">
        <v>288</v>
      </c>
      <c r="G550" t="s">
        <v>277</v>
      </c>
      <c r="H550" t="s">
        <v>638</v>
      </c>
      <c r="I550">
        <v>62021</v>
      </c>
      <c r="J550" s="3">
        <v>744252</v>
      </c>
      <c r="K550" s="2">
        <v>26840</v>
      </c>
      <c r="L550" t="s">
        <v>51</v>
      </c>
      <c r="M550" t="s">
        <v>80</v>
      </c>
      <c r="N550">
        <v>10866</v>
      </c>
      <c r="O550" t="s">
        <v>73</v>
      </c>
      <c r="P550" t="s">
        <v>124</v>
      </c>
      <c r="Q550" t="s">
        <v>270</v>
      </c>
      <c r="R550" s="2">
        <v>43045</v>
      </c>
      <c r="S550" s="1" t="s">
        <v>35</v>
      </c>
      <c r="T550">
        <v>0</v>
      </c>
      <c r="U550" t="s">
        <v>36</v>
      </c>
      <c r="V550">
        <v>3</v>
      </c>
      <c r="W550" t="s">
        <v>87</v>
      </c>
      <c r="X550">
        <v>0</v>
      </c>
      <c r="Y550" t="s">
        <v>280</v>
      </c>
      <c r="Z550">
        <v>2</v>
      </c>
      <c r="AA550" t="s">
        <v>95</v>
      </c>
      <c r="AB550">
        <v>4.3</v>
      </c>
      <c r="AC550" t="s">
        <v>937</v>
      </c>
      <c r="AD550">
        <v>3</v>
      </c>
      <c r="AE550" s="2">
        <v>45857</v>
      </c>
      <c r="AF550">
        <v>1</v>
      </c>
      <c r="AG550">
        <v>8</v>
      </c>
    </row>
    <row r="551" spans="1:33">
      <c r="A551">
        <v>10281</v>
      </c>
      <c r="B551" t="s">
        <v>1128</v>
      </c>
      <c r="C551" t="s">
        <v>31</v>
      </c>
      <c r="D551" t="s">
        <v>31</v>
      </c>
      <c r="E551" t="s">
        <v>929</v>
      </c>
      <c r="F551" t="s">
        <v>37</v>
      </c>
      <c r="G551" t="s">
        <v>28</v>
      </c>
      <c r="H551" t="s">
        <v>38</v>
      </c>
      <c r="I551">
        <v>53060</v>
      </c>
      <c r="J551" s="3">
        <v>636720</v>
      </c>
      <c r="K551" s="2">
        <v>29183</v>
      </c>
      <c r="L551" t="s">
        <v>30</v>
      </c>
      <c r="M551" t="s">
        <v>29</v>
      </c>
      <c r="N551">
        <v>1760</v>
      </c>
      <c r="O551" t="s">
        <v>33</v>
      </c>
      <c r="P551" t="s">
        <v>32</v>
      </c>
      <c r="Q551" t="s">
        <v>68</v>
      </c>
      <c r="R551" s="2">
        <v>41687</v>
      </c>
      <c r="S551" s="1" t="s">
        <v>35</v>
      </c>
      <c r="T551">
        <v>0</v>
      </c>
      <c r="U551" t="s">
        <v>36</v>
      </c>
      <c r="V551">
        <v>1</v>
      </c>
      <c r="W551" t="s">
        <v>36</v>
      </c>
      <c r="X551">
        <v>0</v>
      </c>
      <c r="Y551" t="s">
        <v>39</v>
      </c>
      <c r="Z551">
        <v>2</v>
      </c>
      <c r="AA551" t="s">
        <v>95</v>
      </c>
      <c r="AB551">
        <v>4.25</v>
      </c>
      <c r="AC551" t="s">
        <v>932</v>
      </c>
      <c r="AD551">
        <v>0</v>
      </c>
      <c r="AE551" s="2">
        <v>43500</v>
      </c>
      <c r="AF551">
        <v>4</v>
      </c>
      <c r="AG551">
        <v>6</v>
      </c>
    </row>
    <row r="552" spans="1:33">
      <c r="A552">
        <v>10281</v>
      </c>
      <c r="B552" t="s">
        <v>1502</v>
      </c>
      <c r="C552" t="s">
        <v>42</v>
      </c>
      <c r="D552" t="s">
        <v>31</v>
      </c>
      <c r="E552" t="s">
        <v>929</v>
      </c>
      <c r="F552" t="s">
        <v>274</v>
      </c>
      <c r="G552" t="s">
        <v>269</v>
      </c>
      <c r="H552" t="s">
        <v>639</v>
      </c>
      <c r="I552">
        <v>119692</v>
      </c>
      <c r="J552" s="3">
        <v>1436304</v>
      </c>
      <c r="K552" s="2">
        <v>27648</v>
      </c>
      <c r="L552" t="s">
        <v>264</v>
      </c>
      <c r="M552" t="s">
        <v>144</v>
      </c>
      <c r="N552">
        <v>89308</v>
      </c>
      <c r="O552" t="s">
        <v>33</v>
      </c>
      <c r="P552" t="s">
        <v>32</v>
      </c>
      <c r="Q552" t="s">
        <v>34</v>
      </c>
      <c r="R552" s="2">
        <v>43551</v>
      </c>
      <c r="S552" s="1" t="s">
        <v>35</v>
      </c>
      <c r="T552">
        <v>1</v>
      </c>
      <c r="U552" t="s">
        <v>273</v>
      </c>
      <c r="V552">
        <v>3</v>
      </c>
      <c r="W552" t="s">
        <v>36</v>
      </c>
      <c r="X552">
        <v>0</v>
      </c>
      <c r="Y552" t="s">
        <v>268</v>
      </c>
      <c r="Z552">
        <v>2</v>
      </c>
      <c r="AA552" t="s">
        <v>95</v>
      </c>
      <c r="AB552">
        <v>3.1</v>
      </c>
      <c r="AC552" t="s">
        <v>930</v>
      </c>
      <c r="AD552">
        <v>4</v>
      </c>
      <c r="AE552" s="2">
        <v>45910</v>
      </c>
      <c r="AF552">
        <v>5</v>
      </c>
      <c r="AG552">
        <v>3</v>
      </c>
    </row>
    <row r="553" spans="1:33">
      <c r="A553">
        <v>10282</v>
      </c>
      <c r="B553" t="s">
        <v>985</v>
      </c>
      <c r="C553" t="s">
        <v>31</v>
      </c>
      <c r="D553" t="s">
        <v>56</v>
      </c>
      <c r="E553" t="s">
        <v>929</v>
      </c>
      <c r="F553" t="s">
        <v>37</v>
      </c>
      <c r="G553" t="s">
        <v>104</v>
      </c>
      <c r="H553" t="s">
        <v>107</v>
      </c>
      <c r="I553">
        <v>68051</v>
      </c>
      <c r="J553" s="3">
        <v>816612</v>
      </c>
      <c r="K553" s="2">
        <v>27745</v>
      </c>
      <c r="L553" t="s">
        <v>30</v>
      </c>
      <c r="M553" t="s">
        <v>29</v>
      </c>
      <c r="N553">
        <v>1803</v>
      </c>
      <c r="O553" t="s">
        <v>33</v>
      </c>
      <c r="P553" t="s">
        <v>32</v>
      </c>
      <c r="Q553" t="s">
        <v>34</v>
      </c>
      <c r="R553" s="2">
        <v>40379</v>
      </c>
      <c r="S553" s="1" t="s">
        <v>35</v>
      </c>
      <c r="T553">
        <v>0</v>
      </c>
      <c r="U553" t="s">
        <v>36</v>
      </c>
      <c r="V553">
        <v>1</v>
      </c>
      <c r="W553" t="s">
        <v>36</v>
      </c>
      <c r="X553">
        <v>0</v>
      </c>
      <c r="Y553" t="s">
        <v>94</v>
      </c>
      <c r="Z553">
        <v>2</v>
      </c>
      <c r="AA553" t="s">
        <v>95</v>
      </c>
      <c r="AB553">
        <v>4.13</v>
      </c>
      <c r="AC553" t="s">
        <v>962</v>
      </c>
      <c r="AD553">
        <v>0</v>
      </c>
      <c r="AE553" s="2">
        <v>43479</v>
      </c>
      <c r="AF553">
        <v>3</v>
      </c>
      <c r="AG553">
        <v>3</v>
      </c>
    </row>
    <row r="554" spans="1:33">
      <c r="A554">
        <v>10282</v>
      </c>
      <c r="B554" t="s">
        <v>1503</v>
      </c>
      <c r="C554" t="s">
        <v>42</v>
      </c>
      <c r="D554" t="s">
        <v>31</v>
      </c>
      <c r="E554" t="s">
        <v>934</v>
      </c>
      <c r="F554" t="s">
        <v>113</v>
      </c>
      <c r="G554" t="s">
        <v>28</v>
      </c>
      <c r="H554" t="s">
        <v>641</v>
      </c>
      <c r="I554">
        <v>95224</v>
      </c>
      <c r="J554" s="3">
        <v>1142688</v>
      </c>
      <c r="K554" s="2">
        <v>30100</v>
      </c>
      <c r="L554" t="s">
        <v>264</v>
      </c>
      <c r="M554" t="s">
        <v>144</v>
      </c>
      <c r="N554">
        <v>7674</v>
      </c>
      <c r="O554" t="s">
        <v>33</v>
      </c>
      <c r="P554" t="s">
        <v>32</v>
      </c>
      <c r="Q554" t="s">
        <v>160</v>
      </c>
      <c r="R554" s="2">
        <v>42800</v>
      </c>
      <c r="S554" s="1" t="s">
        <v>640</v>
      </c>
      <c r="T554">
        <v>0</v>
      </c>
      <c r="U554" t="s">
        <v>36</v>
      </c>
      <c r="V554">
        <v>1</v>
      </c>
      <c r="W554" t="s">
        <v>87</v>
      </c>
      <c r="X554">
        <v>1</v>
      </c>
      <c r="Y554" t="s">
        <v>39</v>
      </c>
      <c r="Z554">
        <v>2</v>
      </c>
      <c r="AA554" t="s">
        <v>276</v>
      </c>
      <c r="AB554">
        <v>2.6</v>
      </c>
      <c r="AC554" t="s">
        <v>932</v>
      </c>
      <c r="AD554">
        <v>5</v>
      </c>
      <c r="AE554" s="2">
        <v>45393</v>
      </c>
      <c r="AF554">
        <v>1</v>
      </c>
      <c r="AG554">
        <v>10</v>
      </c>
    </row>
    <row r="555" spans="1:33">
      <c r="A555">
        <v>10283</v>
      </c>
      <c r="B555" t="s">
        <v>1033</v>
      </c>
      <c r="C555" t="s">
        <v>42</v>
      </c>
      <c r="D555" t="s">
        <v>42</v>
      </c>
      <c r="E555" t="s">
        <v>929</v>
      </c>
      <c r="F555" t="s">
        <v>37</v>
      </c>
      <c r="G555" t="s">
        <v>28</v>
      </c>
      <c r="H555" t="s">
        <v>59</v>
      </c>
      <c r="I555">
        <v>54933</v>
      </c>
      <c r="J555" s="3">
        <v>659196</v>
      </c>
      <c r="K555" s="2">
        <v>27250</v>
      </c>
      <c r="L555" t="s">
        <v>30</v>
      </c>
      <c r="M555" t="s">
        <v>29</v>
      </c>
      <c r="N555">
        <v>2062</v>
      </c>
      <c r="O555" t="s">
        <v>33</v>
      </c>
      <c r="P555" t="s">
        <v>32</v>
      </c>
      <c r="Q555" t="s">
        <v>68</v>
      </c>
      <c r="R555" s="2">
        <v>41001</v>
      </c>
      <c r="S555" s="1" t="s">
        <v>164</v>
      </c>
      <c r="T555">
        <v>1</v>
      </c>
      <c r="U555" t="s">
        <v>146</v>
      </c>
      <c r="V555">
        <v>5</v>
      </c>
      <c r="W555" t="s">
        <v>45</v>
      </c>
      <c r="X555">
        <v>1</v>
      </c>
      <c r="Y555" t="s">
        <v>70</v>
      </c>
      <c r="Z555">
        <v>2</v>
      </c>
      <c r="AA555" t="s">
        <v>95</v>
      </c>
      <c r="AB555">
        <v>3.97</v>
      </c>
      <c r="AC555" t="s">
        <v>937</v>
      </c>
      <c r="AD555">
        <v>0</v>
      </c>
      <c r="AE555" s="2">
        <v>42024</v>
      </c>
      <c r="AF555">
        <v>3</v>
      </c>
      <c r="AG555">
        <v>15</v>
      </c>
    </row>
    <row r="556" spans="1:33">
      <c r="A556">
        <v>10283</v>
      </c>
      <c r="B556" t="s">
        <v>1504</v>
      </c>
      <c r="C556" t="s">
        <v>42</v>
      </c>
      <c r="D556" t="s">
        <v>42</v>
      </c>
      <c r="E556" t="s">
        <v>929</v>
      </c>
      <c r="F556" t="s">
        <v>271</v>
      </c>
      <c r="G556" t="s">
        <v>294</v>
      </c>
      <c r="H556" t="s">
        <v>642</v>
      </c>
      <c r="I556">
        <v>69184</v>
      </c>
      <c r="J556" s="3">
        <v>830208</v>
      </c>
      <c r="K556" s="2">
        <v>27092</v>
      </c>
      <c r="L556" t="s">
        <v>264</v>
      </c>
      <c r="M556" t="s">
        <v>29</v>
      </c>
      <c r="N556">
        <v>33320</v>
      </c>
      <c r="O556" t="s">
        <v>73</v>
      </c>
      <c r="P556" t="s">
        <v>32</v>
      </c>
      <c r="Q556" t="s">
        <v>270</v>
      </c>
      <c r="R556" s="2">
        <v>42969</v>
      </c>
      <c r="S556" s="1" t="s">
        <v>35</v>
      </c>
      <c r="T556">
        <v>1</v>
      </c>
      <c r="U556" t="s">
        <v>36</v>
      </c>
      <c r="V556">
        <v>1</v>
      </c>
      <c r="W556" t="s">
        <v>87</v>
      </c>
      <c r="X556">
        <v>1</v>
      </c>
      <c r="Y556" t="s">
        <v>39</v>
      </c>
      <c r="Z556">
        <v>3</v>
      </c>
      <c r="AA556" t="s">
        <v>49</v>
      </c>
      <c r="AB556">
        <v>3.1</v>
      </c>
      <c r="AC556" t="s">
        <v>962</v>
      </c>
      <c r="AD556">
        <v>2</v>
      </c>
      <c r="AE556" s="2">
        <v>45906</v>
      </c>
      <c r="AF556">
        <v>5</v>
      </c>
      <c r="AG556">
        <v>5</v>
      </c>
    </row>
    <row r="557" spans="1:33">
      <c r="A557">
        <v>10284</v>
      </c>
      <c r="B557" t="s">
        <v>1004</v>
      </c>
      <c r="C557" t="s">
        <v>42</v>
      </c>
      <c r="D557" t="s">
        <v>42</v>
      </c>
      <c r="E557" t="s">
        <v>934</v>
      </c>
      <c r="F557" t="s">
        <v>37</v>
      </c>
      <c r="G557" t="s">
        <v>28</v>
      </c>
      <c r="H557" t="s">
        <v>69</v>
      </c>
      <c r="I557">
        <v>61584</v>
      </c>
      <c r="J557" s="3">
        <v>739008</v>
      </c>
      <c r="K557" s="2">
        <v>28826</v>
      </c>
      <c r="L557" t="s">
        <v>51</v>
      </c>
      <c r="M557" t="s">
        <v>29</v>
      </c>
      <c r="N557">
        <v>2351</v>
      </c>
      <c r="O557" t="s">
        <v>33</v>
      </c>
      <c r="P557" t="s">
        <v>32</v>
      </c>
      <c r="Q557" t="s">
        <v>68</v>
      </c>
      <c r="R557" s="2">
        <v>41281</v>
      </c>
      <c r="S557" s="1" t="s">
        <v>35</v>
      </c>
      <c r="T557">
        <v>0</v>
      </c>
      <c r="U557" t="s">
        <v>36</v>
      </c>
      <c r="V557">
        <v>1</v>
      </c>
      <c r="W557" t="s">
        <v>36</v>
      </c>
      <c r="X557">
        <v>0</v>
      </c>
      <c r="Y557" t="s">
        <v>48</v>
      </c>
      <c r="Z557">
        <v>2</v>
      </c>
      <c r="AA557" t="s">
        <v>95</v>
      </c>
      <c r="AB557">
        <v>3.88</v>
      </c>
      <c r="AC557" t="s">
        <v>937</v>
      </c>
      <c r="AD557">
        <v>0</v>
      </c>
      <c r="AE557" s="2">
        <v>43483</v>
      </c>
      <c r="AF557">
        <v>0</v>
      </c>
      <c r="AG557">
        <v>6</v>
      </c>
    </row>
    <row r="558" spans="1:33">
      <c r="A558">
        <v>10284</v>
      </c>
      <c r="B558" t="s">
        <v>1505</v>
      </c>
      <c r="C558" t="s">
        <v>42</v>
      </c>
      <c r="D558" t="s">
        <v>42</v>
      </c>
      <c r="E558" t="s">
        <v>934</v>
      </c>
      <c r="F558" t="s">
        <v>278</v>
      </c>
      <c r="G558" t="s">
        <v>269</v>
      </c>
      <c r="H558" t="s">
        <v>643</v>
      </c>
      <c r="I558">
        <v>85565</v>
      </c>
      <c r="J558" s="3">
        <v>1026780</v>
      </c>
      <c r="K558" s="2">
        <v>37849</v>
      </c>
      <c r="L558" t="s">
        <v>51</v>
      </c>
      <c r="M558" t="s">
        <v>80</v>
      </c>
      <c r="N558">
        <v>67777</v>
      </c>
      <c r="O558" t="s">
        <v>33</v>
      </c>
      <c r="P558" t="s">
        <v>124</v>
      </c>
      <c r="Q558" t="s">
        <v>34</v>
      </c>
      <c r="R558" s="2">
        <v>45062</v>
      </c>
      <c r="S558" s="1" t="s">
        <v>35</v>
      </c>
      <c r="T558">
        <v>1</v>
      </c>
      <c r="U558" t="s">
        <v>36</v>
      </c>
      <c r="V558">
        <v>2</v>
      </c>
      <c r="W558" t="s">
        <v>87</v>
      </c>
      <c r="X558">
        <v>1</v>
      </c>
      <c r="Y558" t="s">
        <v>48</v>
      </c>
      <c r="Z558">
        <v>2</v>
      </c>
      <c r="AA558" t="s">
        <v>49</v>
      </c>
      <c r="AB558">
        <v>4.5</v>
      </c>
      <c r="AC558" t="s">
        <v>932</v>
      </c>
      <c r="AD558">
        <v>4</v>
      </c>
      <c r="AE558" s="2">
        <v>45957</v>
      </c>
      <c r="AF558">
        <v>5</v>
      </c>
      <c r="AG558">
        <v>3</v>
      </c>
    </row>
    <row r="559" spans="1:33">
      <c r="A559">
        <v>10285</v>
      </c>
      <c r="B559" t="s">
        <v>1154</v>
      </c>
      <c r="C559" t="s">
        <v>42</v>
      </c>
      <c r="D559" t="s">
        <v>42</v>
      </c>
      <c r="E559" t="s">
        <v>934</v>
      </c>
      <c r="F559" t="s">
        <v>37</v>
      </c>
      <c r="G559" t="s">
        <v>28</v>
      </c>
      <c r="H559" t="s">
        <v>66</v>
      </c>
      <c r="I559">
        <v>61422</v>
      </c>
      <c r="J559" s="3">
        <v>737064</v>
      </c>
      <c r="K559" s="2">
        <v>31054</v>
      </c>
      <c r="L559" t="s">
        <v>51</v>
      </c>
      <c r="M559" t="s">
        <v>29</v>
      </c>
      <c r="N559">
        <v>1460</v>
      </c>
      <c r="O559" t="s">
        <v>33</v>
      </c>
      <c r="P559" t="s">
        <v>32</v>
      </c>
      <c r="Q559" t="s">
        <v>34</v>
      </c>
      <c r="R559" s="2">
        <v>40553</v>
      </c>
      <c r="S559" s="1" t="s">
        <v>151</v>
      </c>
      <c r="T559">
        <v>1</v>
      </c>
      <c r="U559" t="s">
        <v>86</v>
      </c>
      <c r="V559">
        <v>4</v>
      </c>
      <c r="W559" t="s">
        <v>87</v>
      </c>
      <c r="X559">
        <v>0</v>
      </c>
      <c r="Y559" t="s">
        <v>48</v>
      </c>
      <c r="Z559">
        <v>2</v>
      </c>
      <c r="AA559" t="s">
        <v>95</v>
      </c>
      <c r="AB559">
        <v>3.6</v>
      </c>
      <c r="AC559" t="s">
        <v>932</v>
      </c>
      <c r="AD559">
        <v>0</v>
      </c>
      <c r="AE559" s="2">
        <v>42465</v>
      </c>
      <c r="AF559">
        <v>4</v>
      </c>
      <c r="AG559">
        <v>16</v>
      </c>
    </row>
    <row r="560" spans="1:33">
      <c r="A560">
        <v>10285</v>
      </c>
      <c r="B560" t="s">
        <v>1506</v>
      </c>
      <c r="C560" t="s">
        <v>42</v>
      </c>
      <c r="D560" t="s">
        <v>56</v>
      </c>
      <c r="E560" t="s">
        <v>934</v>
      </c>
      <c r="F560" t="s">
        <v>113</v>
      </c>
      <c r="G560" t="s">
        <v>28</v>
      </c>
      <c r="H560" t="s">
        <v>645</v>
      </c>
      <c r="I560">
        <v>54717</v>
      </c>
      <c r="J560" s="3">
        <v>656604</v>
      </c>
      <c r="K560" s="2">
        <v>28018</v>
      </c>
      <c r="L560" t="s">
        <v>264</v>
      </c>
      <c r="M560" t="s">
        <v>80</v>
      </c>
      <c r="N560">
        <v>89333</v>
      </c>
      <c r="O560" t="s">
        <v>33</v>
      </c>
      <c r="P560" t="s">
        <v>32</v>
      </c>
      <c r="Q560" t="s">
        <v>34</v>
      </c>
      <c r="R560" s="2">
        <v>45093</v>
      </c>
      <c r="S560" s="1" t="s">
        <v>644</v>
      </c>
      <c r="T560">
        <v>1</v>
      </c>
      <c r="U560" t="s">
        <v>273</v>
      </c>
      <c r="V560">
        <v>3</v>
      </c>
      <c r="W560" t="s">
        <v>87</v>
      </c>
      <c r="X560">
        <v>0</v>
      </c>
      <c r="Y560" t="s">
        <v>142</v>
      </c>
      <c r="Z560">
        <v>4</v>
      </c>
      <c r="AA560" t="s">
        <v>95</v>
      </c>
      <c r="AB560">
        <v>3.2</v>
      </c>
      <c r="AC560" t="s">
        <v>1003</v>
      </c>
      <c r="AD560">
        <v>0</v>
      </c>
      <c r="AE560" s="2">
        <v>45895</v>
      </c>
      <c r="AF560">
        <v>0</v>
      </c>
      <c r="AG560">
        <v>5</v>
      </c>
    </row>
    <row r="561" spans="1:33">
      <c r="A561">
        <v>10286</v>
      </c>
      <c r="B561" t="s">
        <v>1133</v>
      </c>
      <c r="C561" t="s">
        <v>31</v>
      </c>
      <c r="D561" t="s">
        <v>31</v>
      </c>
      <c r="E561" t="s">
        <v>929</v>
      </c>
      <c r="F561" t="s">
        <v>37</v>
      </c>
      <c r="G561" t="s">
        <v>28</v>
      </c>
      <c r="H561" t="s">
        <v>59</v>
      </c>
      <c r="I561">
        <v>53564</v>
      </c>
      <c r="J561" s="3">
        <v>642768</v>
      </c>
      <c r="K561" s="2">
        <v>32219</v>
      </c>
      <c r="L561" t="s">
        <v>30</v>
      </c>
      <c r="M561" t="s">
        <v>29</v>
      </c>
      <c r="N561">
        <v>2458</v>
      </c>
      <c r="O561" t="s">
        <v>33</v>
      </c>
      <c r="P561" t="s">
        <v>32</v>
      </c>
      <c r="Q561" t="s">
        <v>68</v>
      </c>
      <c r="R561" s="2">
        <v>40553</v>
      </c>
      <c r="S561" s="1" t="s">
        <v>215</v>
      </c>
      <c r="T561">
        <v>1</v>
      </c>
      <c r="U561" t="s">
        <v>44</v>
      </c>
      <c r="V561">
        <v>5</v>
      </c>
      <c r="W561" t="s">
        <v>45</v>
      </c>
      <c r="X561">
        <v>0</v>
      </c>
      <c r="Y561" t="s">
        <v>60</v>
      </c>
      <c r="Z561">
        <v>2</v>
      </c>
      <c r="AA561" t="s">
        <v>95</v>
      </c>
      <c r="AB561">
        <v>3.54</v>
      </c>
      <c r="AC561" t="s">
        <v>930</v>
      </c>
      <c r="AD561">
        <v>0</v>
      </c>
      <c r="AE561" s="2">
        <v>42831</v>
      </c>
      <c r="AF561">
        <v>4</v>
      </c>
      <c r="AG561">
        <v>15</v>
      </c>
    </row>
    <row r="562" spans="1:33">
      <c r="A562">
        <v>10286</v>
      </c>
      <c r="B562" t="s">
        <v>1507</v>
      </c>
      <c r="C562" t="s">
        <v>31</v>
      </c>
      <c r="D562" t="s">
        <v>42</v>
      </c>
      <c r="E562" t="s">
        <v>929</v>
      </c>
      <c r="F562" t="s">
        <v>288</v>
      </c>
      <c r="G562" t="s">
        <v>62</v>
      </c>
      <c r="H562" t="s">
        <v>646</v>
      </c>
      <c r="I562">
        <v>52827</v>
      </c>
      <c r="J562" s="3">
        <v>633924</v>
      </c>
      <c r="K562" s="2">
        <v>27977</v>
      </c>
      <c r="L562" t="s">
        <v>51</v>
      </c>
      <c r="M562" t="s">
        <v>210</v>
      </c>
      <c r="N562">
        <v>49700</v>
      </c>
      <c r="O562" t="s">
        <v>33</v>
      </c>
      <c r="P562" t="s">
        <v>124</v>
      </c>
      <c r="Q562" t="s">
        <v>204</v>
      </c>
      <c r="R562" s="2">
        <v>43635</v>
      </c>
      <c r="S562" s="1" t="s">
        <v>35</v>
      </c>
      <c r="T562">
        <v>0</v>
      </c>
      <c r="U562" t="s">
        <v>36</v>
      </c>
      <c r="V562">
        <v>1</v>
      </c>
      <c r="W562" t="s">
        <v>45</v>
      </c>
      <c r="X562">
        <v>0</v>
      </c>
      <c r="Y562" t="s">
        <v>48</v>
      </c>
      <c r="Z562">
        <v>3</v>
      </c>
      <c r="AA562" t="s">
        <v>136</v>
      </c>
      <c r="AB562">
        <v>4</v>
      </c>
      <c r="AC562" t="s">
        <v>1003</v>
      </c>
      <c r="AD562">
        <v>4</v>
      </c>
      <c r="AE562" s="2">
        <v>45718</v>
      </c>
      <c r="AF562">
        <v>3</v>
      </c>
      <c r="AG562">
        <v>4</v>
      </c>
    </row>
    <row r="563" spans="1:33">
      <c r="A563">
        <v>10287</v>
      </c>
      <c r="B563" t="s">
        <v>1196</v>
      </c>
      <c r="C563" t="s">
        <v>31</v>
      </c>
      <c r="D563" t="s">
        <v>31</v>
      </c>
      <c r="E563" t="s">
        <v>934</v>
      </c>
      <c r="F563" t="s">
        <v>37</v>
      </c>
      <c r="G563" t="s">
        <v>28</v>
      </c>
      <c r="H563" t="s">
        <v>76</v>
      </c>
      <c r="I563">
        <v>63025</v>
      </c>
      <c r="J563" s="3">
        <v>756300</v>
      </c>
      <c r="K563" s="2">
        <v>30452</v>
      </c>
      <c r="L563" t="s">
        <v>51</v>
      </c>
      <c r="M563" t="s">
        <v>29</v>
      </c>
      <c r="N563">
        <v>2021</v>
      </c>
      <c r="O563" t="s">
        <v>33</v>
      </c>
      <c r="P563" t="s">
        <v>32</v>
      </c>
      <c r="Q563" t="s">
        <v>34</v>
      </c>
      <c r="R563" s="2">
        <v>41687</v>
      </c>
      <c r="S563" s="1" t="s">
        <v>35</v>
      </c>
      <c r="T563">
        <v>0</v>
      </c>
      <c r="U563" t="s">
        <v>36</v>
      </c>
      <c r="V563">
        <v>1</v>
      </c>
      <c r="W563" t="s">
        <v>36</v>
      </c>
      <c r="X563">
        <v>0</v>
      </c>
      <c r="Y563" t="s">
        <v>39</v>
      </c>
      <c r="Z563">
        <v>2</v>
      </c>
      <c r="AA563" t="s">
        <v>95</v>
      </c>
      <c r="AB563">
        <v>2.44</v>
      </c>
      <c r="AC563" t="s">
        <v>930</v>
      </c>
      <c r="AD563">
        <v>0</v>
      </c>
      <c r="AE563" s="2">
        <v>43507</v>
      </c>
      <c r="AF563">
        <v>4</v>
      </c>
      <c r="AG563">
        <v>18</v>
      </c>
    </row>
    <row r="564" spans="1:33">
      <c r="A564">
        <v>10287</v>
      </c>
      <c r="B564" t="s">
        <v>1508</v>
      </c>
      <c r="C564" t="s">
        <v>31</v>
      </c>
      <c r="D564" t="s">
        <v>42</v>
      </c>
      <c r="E564" t="s">
        <v>929</v>
      </c>
      <c r="F564" t="s">
        <v>113</v>
      </c>
      <c r="G564" t="s">
        <v>277</v>
      </c>
      <c r="H564" t="s">
        <v>648</v>
      </c>
      <c r="I564">
        <v>106087</v>
      </c>
      <c r="J564" s="3">
        <v>1273044</v>
      </c>
      <c r="K564" s="2">
        <v>35889</v>
      </c>
      <c r="L564" t="s">
        <v>51</v>
      </c>
      <c r="M564" t="s">
        <v>144</v>
      </c>
      <c r="N564">
        <v>13713</v>
      </c>
      <c r="O564" t="s">
        <v>73</v>
      </c>
      <c r="P564" t="s">
        <v>32</v>
      </c>
      <c r="Q564" t="s">
        <v>34</v>
      </c>
      <c r="R564" s="2">
        <v>44173</v>
      </c>
      <c r="S564" s="1" t="s">
        <v>647</v>
      </c>
      <c r="T564">
        <v>1</v>
      </c>
      <c r="U564" t="s">
        <v>273</v>
      </c>
      <c r="V564">
        <v>1</v>
      </c>
      <c r="W564" t="s">
        <v>45</v>
      </c>
      <c r="X564">
        <v>0</v>
      </c>
      <c r="Y564" t="s">
        <v>39</v>
      </c>
      <c r="Z564">
        <v>4</v>
      </c>
      <c r="AA564" t="s">
        <v>49</v>
      </c>
      <c r="AB564">
        <v>5</v>
      </c>
      <c r="AC564" t="s">
        <v>932</v>
      </c>
      <c r="AD564">
        <v>2</v>
      </c>
      <c r="AE564" s="2">
        <v>45948</v>
      </c>
      <c r="AF564">
        <v>1</v>
      </c>
      <c r="AG564">
        <v>3</v>
      </c>
    </row>
    <row r="565" spans="1:33">
      <c r="A565">
        <v>10288</v>
      </c>
      <c r="B565" t="s">
        <v>72</v>
      </c>
      <c r="C565" t="s">
        <v>42</v>
      </c>
      <c r="D565" t="s">
        <v>42</v>
      </c>
      <c r="E565" t="s">
        <v>929</v>
      </c>
      <c r="F565" t="s">
        <v>46</v>
      </c>
      <c r="G565" t="s">
        <v>206</v>
      </c>
      <c r="H565" t="s">
        <v>116</v>
      </c>
      <c r="I565">
        <v>157000</v>
      </c>
      <c r="J565" s="3">
        <v>1884000</v>
      </c>
      <c r="K565" s="2">
        <v>31690</v>
      </c>
      <c r="L565" t="s">
        <v>30</v>
      </c>
      <c r="M565" t="s">
        <v>29</v>
      </c>
      <c r="N565">
        <v>2134</v>
      </c>
      <c r="O565" t="s">
        <v>73</v>
      </c>
      <c r="P565" t="s">
        <v>88</v>
      </c>
      <c r="Q565" t="s">
        <v>68</v>
      </c>
      <c r="R565" s="2">
        <v>40954</v>
      </c>
      <c r="S565" s="1" t="s">
        <v>35</v>
      </c>
      <c r="T565">
        <v>0</v>
      </c>
      <c r="U565" t="s">
        <v>36</v>
      </c>
      <c r="V565">
        <v>1</v>
      </c>
      <c r="W565" t="s">
        <v>36</v>
      </c>
      <c r="X565">
        <v>1</v>
      </c>
      <c r="Y565" t="s">
        <v>70</v>
      </c>
      <c r="Z565">
        <v>2</v>
      </c>
      <c r="AA565" t="s">
        <v>95</v>
      </c>
      <c r="AB565">
        <v>2.39</v>
      </c>
      <c r="AC565" t="s">
        <v>932</v>
      </c>
      <c r="AD565">
        <v>6</v>
      </c>
      <c r="AE565" s="2">
        <v>43518</v>
      </c>
      <c r="AF565">
        <v>4</v>
      </c>
      <c r="AG565">
        <v>13</v>
      </c>
    </row>
    <row r="566" spans="1:33">
      <c r="A566">
        <v>10288</v>
      </c>
      <c r="B566" t="s">
        <v>1509</v>
      </c>
      <c r="C566" t="s">
        <v>42</v>
      </c>
      <c r="D566" t="s">
        <v>42</v>
      </c>
      <c r="E566" t="s">
        <v>934</v>
      </c>
      <c r="F566" t="s">
        <v>278</v>
      </c>
      <c r="G566" t="s">
        <v>277</v>
      </c>
      <c r="H566" t="s">
        <v>649</v>
      </c>
      <c r="I566">
        <v>82423</v>
      </c>
      <c r="J566" s="3">
        <v>989076</v>
      </c>
      <c r="K566" s="2">
        <v>30722</v>
      </c>
      <c r="L566" t="s">
        <v>264</v>
      </c>
      <c r="M566" t="s">
        <v>29</v>
      </c>
      <c r="N566">
        <v>20394</v>
      </c>
      <c r="O566" t="s">
        <v>33</v>
      </c>
      <c r="P566" t="s">
        <v>32</v>
      </c>
      <c r="Q566" t="s">
        <v>92</v>
      </c>
      <c r="R566" s="2">
        <v>44559</v>
      </c>
      <c r="S566" s="1" t="s">
        <v>35</v>
      </c>
      <c r="T566">
        <v>0</v>
      </c>
      <c r="U566" t="s">
        <v>36</v>
      </c>
      <c r="V566">
        <v>2</v>
      </c>
      <c r="W566" t="s">
        <v>45</v>
      </c>
      <c r="X566">
        <v>0</v>
      </c>
      <c r="Y566" t="s">
        <v>39</v>
      </c>
      <c r="Z566">
        <v>4</v>
      </c>
      <c r="AA566" t="s">
        <v>276</v>
      </c>
      <c r="AB566">
        <v>2.9</v>
      </c>
      <c r="AC566" t="s">
        <v>937</v>
      </c>
      <c r="AD566">
        <v>2</v>
      </c>
      <c r="AE566" s="2">
        <v>45895</v>
      </c>
      <c r="AF566">
        <v>3</v>
      </c>
      <c r="AG566">
        <v>6</v>
      </c>
    </row>
    <row r="567" spans="1:33">
      <c r="A567">
        <v>10289</v>
      </c>
      <c r="B567" t="s">
        <v>1062</v>
      </c>
      <c r="C567" t="s">
        <v>42</v>
      </c>
      <c r="D567" t="s">
        <v>42</v>
      </c>
      <c r="E567" t="s">
        <v>929</v>
      </c>
      <c r="F567" t="s">
        <v>37</v>
      </c>
      <c r="G567" t="s">
        <v>104</v>
      </c>
      <c r="H567" t="s">
        <v>107</v>
      </c>
      <c r="I567">
        <v>83082</v>
      </c>
      <c r="J567" s="3">
        <v>996984</v>
      </c>
      <c r="K567" s="2">
        <v>28079</v>
      </c>
      <c r="L567" t="s">
        <v>30</v>
      </c>
      <c r="M567" t="s">
        <v>29</v>
      </c>
      <c r="N567">
        <v>2128</v>
      </c>
      <c r="O567" t="s">
        <v>33</v>
      </c>
      <c r="P567" t="s">
        <v>32</v>
      </c>
      <c r="Q567" t="s">
        <v>92</v>
      </c>
      <c r="R567" s="2">
        <v>40595</v>
      </c>
      <c r="S567" s="1" t="s">
        <v>52</v>
      </c>
      <c r="T567">
        <v>1</v>
      </c>
      <c r="U567" t="s">
        <v>78</v>
      </c>
      <c r="V567">
        <v>5</v>
      </c>
      <c r="W567" t="s">
        <v>45</v>
      </c>
      <c r="X567">
        <v>0</v>
      </c>
      <c r="Y567" t="s">
        <v>48</v>
      </c>
      <c r="Z567">
        <v>2</v>
      </c>
      <c r="AA567" t="s">
        <v>95</v>
      </c>
      <c r="AB567">
        <v>2.34</v>
      </c>
      <c r="AC567" t="s">
        <v>962</v>
      </c>
      <c r="AD567">
        <v>0</v>
      </c>
      <c r="AE567" s="2">
        <v>41011</v>
      </c>
      <c r="AF567">
        <v>3</v>
      </c>
      <c r="AG567">
        <v>4</v>
      </c>
    </row>
    <row r="568" spans="1:33">
      <c r="A568">
        <v>10289</v>
      </c>
      <c r="B568" t="s">
        <v>1510</v>
      </c>
      <c r="C568" t="s">
        <v>31</v>
      </c>
      <c r="D568" t="s">
        <v>56</v>
      </c>
      <c r="E568" t="s">
        <v>929</v>
      </c>
      <c r="F568" t="s">
        <v>113</v>
      </c>
      <c r="G568" t="s">
        <v>269</v>
      </c>
      <c r="H568" t="s">
        <v>650</v>
      </c>
      <c r="I568">
        <v>33597</v>
      </c>
      <c r="J568" s="3">
        <v>403164</v>
      </c>
      <c r="K568" s="2">
        <v>27551</v>
      </c>
      <c r="L568" t="s">
        <v>264</v>
      </c>
      <c r="M568" t="s">
        <v>210</v>
      </c>
      <c r="N568">
        <v>41594</v>
      </c>
      <c r="O568" t="s">
        <v>33</v>
      </c>
      <c r="P568" t="s">
        <v>32</v>
      </c>
      <c r="Q568" t="s">
        <v>204</v>
      </c>
      <c r="R568" s="2">
        <v>44911</v>
      </c>
      <c r="S568" s="1" t="s">
        <v>35</v>
      </c>
      <c r="T568">
        <v>1</v>
      </c>
      <c r="U568" t="s">
        <v>36</v>
      </c>
      <c r="V568">
        <v>2</v>
      </c>
      <c r="W568" t="s">
        <v>45</v>
      </c>
      <c r="X568">
        <v>0</v>
      </c>
      <c r="Y568" t="s">
        <v>48</v>
      </c>
      <c r="Z568">
        <v>3</v>
      </c>
      <c r="AA568" t="s">
        <v>95</v>
      </c>
      <c r="AB568">
        <v>4.9000000000000004</v>
      </c>
      <c r="AC568" t="s">
        <v>932</v>
      </c>
      <c r="AD568">
        <v>3</v>
      </c>
      <c r="AE568" s="2">
        <v>45818</v>
      </c>
      <c r="AF568">
        <v>0</v>
      </c>
      <c r="AG568">
        <v>9</v>
      </c>
    </row>
    <row r="569" spans="1:33">
      <c r="A569">
        <v>10290</v>
      </c>
      <c r="B569" t="s">
        <v>1015</v>
      </c>
      <c r="C569" t="s">
        <v>42</v>
      </c>
      <c r="D569" t="s">
        <v>42</v>
      </c>
      <c r="E569" t="s">
        <v>934</v>
      </c>
      <c r="F569" t="s">
        <v>63</v>
      </c>
      <c r="G569" t="s">
        <v>62</v>
      </c>
      <c r="H569" t="s">
        <v>64</v>
      </c>
      <c r="I569">
        <v>99280</v>
      </c>
      <c r="J569" s="3">
        <v>1191360</v>
      </c>
      <c r="K569" s="2">
        <v>31912</v>
      </c>
      <c r="L569" t="s">
        <v>51</v>
      </c>
      <c r="M569" t="s">
        <v>29</v>
      </c>
      <c r="N569">
        <v>1749</v>
      </c>
      <c r="O569" t="s">
        <v>33</v>
      </c>
      <c r="P569" t="s">
        <v>32</v>
      </c>
      <c r="Q569" t="s">
        <v>68</v>
      </c>
      <c r="R569" s="2">
        <v>40665</v>
      </c>
      <c r="S569" s="1" t="s">
        <v>150</v>
      </c>
      <c r="T569">
        <v>1</v>
      </c>
      <c r="U569" t="s">
        <v>86</v>
      </c>
      <c r="V569">
        <v>4</v>
      </c>
      <c r="W569" t="s">
        <v>87</v>
      </c>
      <c r="X569">
        <v>0</v>
      </c>
      <c r="Y569" t="s">
        <v>48</v>
      </c>
      <c r="Z569">
        <v>2</v>
      </c>
      <c r="AA569" t="s">
        <v>95</v>
      </c>
      <c r="AB569">
        <v>2.1</v>
      </c>
      <c r="AC569" t="s">
        <v>930</v>
      </c>
      <c r="AD569">
        <v>4</v>
      </c>
      <c r="AE569" s="2">
        <v>41131</v>
      </c>
      <c r="AF569">
        <v>4</v>
      </c>
      <c r="AG569">
        <v>19</v>
      </c>
    </row>
    <row r="570" spans="1:33">
      <c r="A570">
        <v>10290</v>
      </c>
      <c r="B570" t="s">
        <v>1511</v>
      </c>
      <c r="C570" t="s">
        <v>42</v>
      </c>
      <c r="D570" t="s">
        <v>42</v>
      </c>
      <c r="E570" t="s">
        <v>929</v>
      </c>
      <c r="F570" t="s">
        <v>278</v>
      </c>
      <c r="G570" t="s">
        <v>28</v>
      </c>
      <c r="H570" t="s">
        <v>651</v>
      </c>
      <c r="I570">
        <v>31806</v>
      </c>
      <c r="J570" s="3">
        <v>381672</v>
      </c>
      <c r="K570" s="2">
        <v>36964</v>
      </c>
      <c r="L570" t="s">
        <v>264</v>
      </c>
      <c r="M570" t="s">
        <v>210</v>
      </c>
      <c r="N570">
        <v>59527</v>
      </c>
      <c r="O570" t="s">
        <v>73</v>
      </c>
      <c r="P570" t="s">
        <v>32</v>
      </c>
      <c r="Q570" t="s">
        <v>270</v>
      </c>
      <c r="R570" s="2">
        <v>42334</v>
      </c>
      <c r="S570" s="1" t="s">
        <v>35</v>
      </c>
      <c r="T570">
        <v>0</v>
      </c>
      <c r="U570" t="s">
        <v>36</v>
      </c>
      <c r="V570">
        <v>2</v>
      </c>
      <c r="W570" t="s">
        <v>87</v>
      </c>
      <c r="X570">
        <v>0</v>
      </c>
      <c r="Y570" t="s">
        <v>268</v>
      </c>
      <c r="Z570">
        <v>1</v>
      </c>
      <c r="AA570" t="s">
        <v>95</v>
      </c>
      <c r="AB570">
        <v>3.7</v>
      </c>
      <c r="AC570" t="s">
        <v>1003</v>
      </c>
      <c r="AD570">
        <v>5</v>
      </c>
      <c r="AE570" s="2">
        <v>45681</v>
      </c>
      <c r="AF570">
        <v>2</v>
      </c>
      <c r="AG570">
        <v>1</v>
      </c>
    </row>
    <row r="571" spans="1:33">
      <c r="A571">
        <v>10291</v>
      </c>
      <c r="B571" t="s">
        <v>114</v>
      </c>
      <c r="C571" t="s">
        <v>31</v>
      </c>
      <c r="D571" t="s">
        <v>56</v>
      </c>
      <c r="E571" t="s">
        <v>929</v>
      </c>
      <c r="F571" t="s">
        <v>113</v>
      </c>
      <c r="G571" t="s">
        <v>132</v>
      </c>
      <c r="H571" t="s">
        <v>133</v>
      </c>
      <c r="I571">
        <v>72992</v>
      </c>
      <c r="J571" s="3">
        <v>875904</v>
      </c>
      <c r="K571" s="2">
        <v>30910</v>
      </c>
      <c r="L571" t="s">
        <v>30</v>
      </c>
      <c r="M571" t="s">
        <v>29</v>
      </c>
      <c r="N571">
        <v>1886</v>
      </c>
      <c r="O571" t="s">
        <v>33</v>
      </c>
      <c r="P571" t="s">
        <v>32</v>
      </c>
      <c r="Q571" t="s">
        <v>68</v>
      </c>
      <c r="R571" s="2">
        <v>41777</v>
      </c>
      <c r="S571" s="1" t="s">
        <v>35</v>
      </c>
      <c r="T571">
        <v>0</v>
      </c>
      <c r="U571" t="s">
        <v>36</v>
      </c>
      <c r="V571">
        <v>1</v>
      </c>
      <c r="W571" t="s">
        <v>36</v>
      </c>
      <c r="X571">
        <v>1</v>
      </c>
      <c r="Y571" t="s">
        <v>70</v>
      </c>
      <c r="Z571">
        <v>2</v>
      </c>
      <c r="AA571" t="s">
        <v>95</v>
      </c>
      <c r="AB571">
        <v>2.4</v>
      </c>
      <c r="AC571" t="s">
        <v>937</v>
      </c>
      <c r="AD571">
        <v>0</v>
      </c>
      <c r="AE571" s="2">
        <v>43481</v>
      </c>
      <c r="AF571">
        <v>2</v>
      </c>
      <c r="AG571">
        <v>16</v>
      </c>
    </row>
    <row r="572" spans="1:33">
      <c r="A572">
        <v>10291</v>
      </c>
      <c r="B572" t="s">
        <v>1512</v>
      </c>
      <c r="C572" t="s">
        <v>31</v>
      </c>
      <c r="D572" t="s">
        <v>56</v>
      </c>
      <c r="E572" t="s">
        <v>929</v>
      </c>
      <c r="F572" t="s">
        <v>274</v>
      </c>
      <c r="G572" t="s">
        <v>294</v>
      </c>
      <c r="H572" t="s">
        <v>652</v>
      </c>
      <c r="I572">
        <v>50232</v>
      </c>
      <c r="J572" s="3">
        <v>602784</v>
      </c>
      <c r="K572" s="2">
        <v>29472</v>
      </c>
      <c r="L572" t="s">
        <v>264</v>
      </c>
      <c r="M572" t="s">
        <v>29</v>
      </c>
      <c r="N572">
        <v>45448</v>
      </c>
      <c r="O572" t="s">
        <v>33</v>
      </c>
      <c r="P572" t="s">
        <v>32</v>
      </c>
      <c r="Q572" t="s">
        <v>92</v>
      </c>
      <c r="R572" s="2">
        <v>45473</v>
      </c>
      <c r="S572" s="1" t="s">
        <v>35</v>
      </c>
      <c r="T572">
        <v>0</v>
      </c>
      <c r="U572" t="s">
        <v>36</v>
      </c>
      <c r="V572">
        <v>3</v>
      </c>
      <c r="W572" t="s">
        <v>87</v>
      </c>
      <c r="X572">
        <v>0</v>
      </c>
      <c r="Y572" t="s">
        <v>280</v>
      </c>
      <c r="Z572">
        <v>1</v>
      </c>
      <c r="AA572" t="s">
        <v>95</v>
      </c>
      <c r="AB572">
        <v>2.5</v>
      </c>
      <c r="AC572" t="s">
        <v>962</v>
      </c>
      <c r="AD572">
        <v>1</v>
      </c>
      <c r="AE572" s="2">
        <v>45889</v>
      </c>
      <c r="AF572">
        <v>2</v>
      </c>
      <c r="AG572">
        <v>2</v>
      </c>
    </row>
    <row r="573" spans="1:33">
      <c r="A573">
        <v>10292</v>
      </c>
      <c r="B573" t="s">
        <v>984</v>
      </c>
      <c r="C573" t="s">
        <v>31</v>
      </c>
      <c r="D573" t="s">
        <v>31</v>
      </c>
      <c r="E573" t="s">
        <v>929</v>
      </c>
      <c r="F573" t="s">
        <v>37</v>
      </c>
      <c r="G573" t="s">
        <v>28</v>
      </c>
      <c r="H573" t="s">
        <v>54</v>
      </c>
      <c r="I573">
        <v>59144</v>
      </c>
      <c r="J573" s="3">
        <v>709728</v>
      </c>
      <c r="K573" s="2">
        <v>29079</v>
      </c>
      <c r="L573" t="s">
        <v>30</v>
      </c>
      <c r="M573" t="s">
        <v>29</v>
      </c>
      <c r="N573">
        <v>1880</v>
      </c>
      <c r="O573" t="s">
        <v>33</v>
      </c>
      <c r="P573" t="s">
        <v>32</v>
      </c>
      <c r="Q573" t="s">
        <v>68</v>
      </c>
      <c r="R573" s="2">
        <v>40735</v>
      </c>
      <c r="S573" s="1" t="s">
        <v>129</v>
      </c>
      <c r="T573">
        <v>1</v>
      </c>
      <c r="U573" t="s">
        <v>91</v>
      </c>
      <c r="V573">
        <v>4</v>
      </c>
      <c r="W573" t="s">
        <v>87</v>
      </c>
      <c r="X573">
        <v>0</v>
      </c>
      <c r="Y573" t="s">
        <v>39</v>
      </c>
      <c r="Z573">
        <v>2</v>
      </c>
      <c r="AA573" t="s">
        <v>95</v>
      </c>
      <c r="AB573">
        <v>2</v>
      </c>
      <c r="AC573" t="s">
        <v>932</v>
      </c>
      <c r="AD573">
        <v>0</v>
      </c>
      <c r="AE573" s="2">
        <v>42491</v>
      </c>
      <c r="AF573">
        <v>5</v>
      </c>
      <c r="AG573">
        <v>16</v>
      </c>
    </row>
    <row r="574" spans="1:33">
      <c r="A574">
        <v>10292</v>
      </c>
      <c r="B574" t="s">
        <v>1513</v>
      </c>
      <c r="C574" t="s">
        <v>42</v>
      </c>
      <c r="D574" t="s">
        <v>42</v>
      </c>
      <c r="E574" t="s">
        <v>934</v>
      </c>
      <c r="F574" t="s">
        <v>283</v>
      </c>
      <c r="G574" t="s">
        <v>277</v>
      </c>
      <c r="H574" t="s">
        <v>654</v>
      </c>
      <c r="I574">
        <v>61757</v>
      </c>
      <c r="J574" s="3">
        <v>741084</v>
      </c>
      <c r="K574" s="2">
        <v>26509</v>
      </c>
      <c r="L574" t="s">
        <v>264</v>
      </c>
      <c r="M574" t="s">
        <v>210</v>
      </c>
      <c r="N574">
        <v>61018</v>
      </c>
      <c r="O574" t="s">
        <v>33</v>
      </c>
      <c r="P574" t="s">
        <v>124</v>
      </c>
      <c r="Q574" t="s">
        <v>34</v>
      </c>
      <c r="R574" s="2">
        <v>42808</v>
      </c>
      <c r="S574" s="1" t="s">
        <v>653</v>
      </c>
      <c r="T574">
        <v>1</v>
      </c>
      <c r="U574" t="s">
        <v>266</v>
      </c>
      <c r="V574">
        <v>2</v>
      </c>
      <c r="W574" t="s">
        <v>36</v>
      </c>
      <c r="X574">
        <v>1</v>
      </c>
      <c r="Y574" t="s">
        <v>39</v>
      </c>
      <c r="Z574">
        <v>4</v>
      </c>
      <c r="AA574" t="s">
        <v>95</v>
      </c>
      <c r="AB574">
        <v>4.8</v>
      </c>
      <c r="AC574" t="s">
        <v>930</v>
      </c>
      <c r="AD574">
        <v>2</v>
      </c>
      <c r="AE574" s="2">
        <v>45790</v>
      </c>
      <c r="AF574">
        <v>0</v>
      </c>
      <c r="AG574">
        <v>3</v>
      </c>
    </row>
    <row r="575" spans="1:33">
      <c r="A575">
        <v>10293</v>
      </c>
      <c r="B575" t="s">
        <v>1210</v>
      </c>
      <c r="C575" t="s">
        <v>31</v>
      </c>
      <c r="D575" t="s">
        <v>31</v>
      </c>
      <c r="E575" t="s">
        <v>934</v>
      </c>
      <c r="F575" t="s">
        <v>37</v>
      </c>
      <c r="G575" t="s">
        <v>28</v>
      </c>
      <c r="H575" t="s">
        <v>55</v>
      </c>
      <c r="I575">
        <v>50274</v>
      </c>
      <c r="J575" s="3">
        <v>603288</v>
      </c>
      <c r="K575" s="2">
        <v>29435</v>
      </c>
      <c r="L575" t="s">
        <v>51</v>
      </c>
      <c r="M575" t="s">
        <v>29</v>
      </c>
      <c r="N575">
        <v>1887</v>
      </c>
      <c r="O575" t="s">
        <v>33</v>
      </c>
      <c r="P575" t="s">
        <v>32</v>
      </c>
      <c r="Q575" t="s">
        <v>34</v>
      </c>
      <c r="R575" s="2">
        <v>41134</v>
      </c>
      <c r="S575" s="1" t="s">
        <v>258</v>
      </c>
      <c r="T575">
        <v>1</v>
      </c>
      <c r="U575" t="s">
        <v>44</v>
      </c>
      <c r="V575">
        <v>5</v>
      </c>
      <c r="W575" t="s">
        <v>45</v>
      </c>
      <c r="X575">
        <v>0</v>
      </c>
      <c r="Y575" t="s">
        <v>94</v>
      </c>
      <c r="Z575">
        <v>2</v>
      </c>
      <c r="AA575" t="s">
        <v>95</v>
      </c>
      <c r="AB575">
        <v>2.5</v>
      </c>
      <c r="AC575" t="s">
        <v>932</v>
      </c>
      <c r="AD575">
        <v>0</v>
      </c>
      <c r="AE575" s="2">
        <v>41887</v>
      </c>
      <c r="AF575">
        <v>6</v>
      </c>
      <c r="AG575">
        <v>13</v>
      </c>
    </row>
    <row r="576" spans="1:33">
      <c r="A576">
        <v>10293</v>
      </c>
      <c r="B576" t="s">
        <v>1514</v>
      </c>
      <c r="C576" t="s">
        <v>42</v>
      </c>
      <c r="D576" t="s">
        <v>56</v>
      </c>
      <c r="E576" t="s">
        <v>929</v>
      </c>
      <c r="F576" t="s">
        <v>271</v>
      </c>
      <c r="G576" t="s">
        <v>294</v>
      </c>
      <c r="H576" t="s">
        <v>656</v>
      </c>
      <c r="I576">
        <v>60392</v>
      </c>
      <c r="J576" s="3">
        <v>724704</v>
      </c>
      <c r="K576" s="2">
        <v>24646</v>
      </c>
      <c r="L576" t="s">
        <v>264</v>
      </c>
      <c r="M576" t="s">
        <v>210</v>
      </c>
      <c r="N576">
        <v>43483</v>
      </c>
      <c r="O576" t="s">
        <v>73</v>
      </c>
      <c r="P576" t="s">
        <v>124</v>
      </c>
      <c r="Q576" t="s">
        <v>204</v>
      </c>
      <c r="R576" s="2">
        <v>45622</v>
      </c>
      <c r="S576" s="1" t="s">
        <v>655</v>
      </c>
      <c r="T576">
        <v>0</v>
      </c>
      <c r="U576" t="s">
        <v>36</v>
      </c>
      <c r="V576">
        <v>3</v>
      </c>
      <c r="W576" t="s">
        <v>87</v>
      </c>
      <c r="X576">
        <v>0</v>
      </c>
      <c r="Y576" t="s">
        <v>268</v>
      </c>
      <c r="Z576">
        <v>1</v>
      </c>
      <c r="AA576" t="s">
        <v>95</v>
      </c>
      <c r="AB576">
        <v>2.7</v>
      </c>
      <c r="AC576" t="s">
        <v>1003</v>
      </c>
      <c r="AD576">
        <v>1</v>
      </c>
      <c r="AE576" s="2">
        <v>45618</v>
      </c>
      <c r="AF576">
        <v>1</v>
      </c>
      <c r="AG576">
        <v>4</v>
      </c>
    </row>
    <row r="577" spans="1:33">
      <c r="A577">
        <v>10294</v>
      </c>
      <c r="B577" t="s">
        <v>955</v>
      </c>
      <c r="C577" t="s">
        <v>31</v>
      </c>
      <c r="D577" t="s">
        <v>31</v>
      </c>
      <c r="E577" t="s">
        <v>934</v>
      </c>
      <c r="F577" t="s">
        <v>37</v>
      </c>
      <c r="G577" t="s">
        <v>50</v>
      </c>
      <c r="H577" t="s">
        <v>38</v>
      </c>
      <c r="I577">
        <v>66441</v>
      </c>
      <c r="J577" s="3">
        <v>797292</v>
      </c>
      <c r="K577" s="2">
        <v>33137</v>
      </c>
      <c r="L577" t="s">
        <v>51</v>
      </c>
      <c r="M577" t="s">
        <v>29</v>
      </c>
      <c r="N577">
        <v>2171</v>
      </c>
      <c r="O577" t="s">
        <v>33</v>
      </c>
      <c r="P577" t="s">
        <v>32</v>
      </c>
      <c r="Q577" t="s">
        <v>34</v>
      </c>
      <c r="R577" s="2">
        <v>40637</v>
      </c>
      <c r="S577" s="1" t="s">
        <v>35</v>
      </c>
      <c r="T577">
        <v>0</v>
      </c>
      <c r="U577" t="s">
        <v>36</v>
      </c>
      <c r="V577">
        <v>1</v>
      </c>
      <c r="W577" t="s">
        <v>36</v>
      </c>
      <c r="X577">
        <v>0</v>
      </c>
      <c r="Y577" t="s">
        <v>94</v>
      </c>
      <c r="Z577">
        <v>2</v>
      </c>
      <c r="AA577" t="s">
        <v>95</v>
      </c>
      <c r="AB577">
        <v>2</v>
      </c>
      <c r="AC577" t="s">
        <v>932</v>
      </c>
      <c r="AD577">
        <v>0</v>
      </c>
      <c r="AE577" s="2">
        <v>43523</v>
      </c>
      <c r="AF577">
        <v>2</v>
      </c>
      <c r="AG577">
        <v>3</v>
      </c>
    </row>
    <row r="578" spans="1:33">
      <c r="A578">
        <v>10294</v>
      </c>
      <c r="B578" t="s">
        <v>1515</v>
      </c>
      <c r="C578" t="s">
        <v>42</v>
      </c>
      <c r="D578" t="s">
        <v>56</v>
      </c>
      <c r="E578" t="s">
        <v>929</v>
      </c>
      <c r="F578" t="s">
        <v>113</v>
      </c>
      <c r="G578" t="s">
        <v>277</v>
      </c>
      <c r="H578" t="s">
        <v>657</v>
      </c>
      <c r="I578">
        <v>43944</v>
      </c>
      <c r="J578" s="3">
        <v>527328</v>
      </c>
      <c r="K578" s="2">
        <v>28003</v>
      </c>
      <c r="L578" t="s">
        <v>264</v>
      </c>
      <c r="M578" t="s">
        <v>144</v>
      </c>
      <c r="N578">
        <v>5809</v>
      </c>
      <c r="O578" t="s">
        <v>73</v>
      </c>
      <c r="P578" t="s">
        <v>32</v>
      </c>
      <c r="Q578" t="s">
        <v>34</v>
      </c>
      <c r="R578" s="2">
        <v>42627</v>
      </c>
      <c r="S578" s="1" t="s">
        <v>35</v>
      </c>
      <c r="T578">
        <v>0</v>
      </c>
      <c r="U578" t="s">
        <v>36</v>
      </c>
      <c r="V578">
        <v>3</v>
      </c>
      <c r="W578" t="s">
        <v>45</v>
      </c>
      <c r="X578">
        <v>1</v>
      </c>
      <c r="Y578" t="s">
        <v>268</v>
      </c>
      <c r="Z578">
        <v>3</v>
      </c>
      <c r="AA578" t="s">
        <v>136</v>
      </c>
      <c r="AB578">
        <v>3.2</v>
      </c>
      <c r="AC578" t="s">
        <v>962</v>
      </c>
      <c r="AD578">
        <v>5</v>
      </c>
      <c r="AE578" s="2">
        <v>45812</v>
      </c>
      <c r="AF578">
        <v>0</v>
      </c>
      <c r="AG578">
        <v>2</v>
      </c>
    </row>
    <row r="579" spans="1:33">
      <c r="A579">
        <v>10295</v>
      </c>
      <c r="B579" t="s">
        <v>1163</v>
      </c>
      <c r="C579" t="s">
        <v>31</v>
      </c>
      <c r="D579" t="s">
        <v>31</v>
      </c>
      <c r="E579" t="s">
        <v>934</v>
      </c>
      <c r="F579" t="s">
        <v>37</v>
      </c>
      <c r="G579" t="s">
        <v>28</v>
      </c>
      <c r="H579" t="s">
        <v>82</v>
      </c>
      <c r="I579">
        <v>47750</v>
      </c>
      <c r="J579" s="3">
        <v>573000</v>
      </c>
      <c r="K579" s="2">
        <v>24995</v>
      </c>
      <c r="L579" t="s">
        <v>51</v>
      </c>
      <c r="M579" t="s">
        <v>29</v>
      </c>
      <c r="N579">
        <v>1801</v>
      </c>
      <c r="O579" t="s">
        <v>33</v>
      </c>
      <c r="P579" t="s">
        <v>32</v>
      </c>
      <c r="Q579" t="s">
        <v>68</v>
      </c>
      <c r="R579" s="2">
        <v>42555</v>
      </c>
      <c r="S579" s="1" t="s">
        <v>35</v>
      </c>
      <c r="T579">
        <v>0</v>
      </c>
      <c r="U579" t="s">
        <v>36</v>
      </c>
      <c r="V579">
        <v>2</v>
      </c>
      <c r="W579" t="s">
        <v>36</v>
      </c>
      <c r="X579">
        <v>1</v>
      </c>
      <c r="Y579" t="s">
        <v>70</v>
      </c>
      <c r="Z579">
        <v>2</v>
      </c>
      <c r="AA579" t="s">
        <v>95</v>
      </c>
      <c r="AB579">
        <v>2.6</v>
      </c>
      <c r="AC579" t="s">
        <v>937</v>
      </c>
      <c r="AD579">
        <v>0</v>
      </c>
      <c r="AE579" s="2">
        <v>43514</v>
      </c>
      <c r="AF579">
        <v>5</v>
      </c>
      <c r="AG579">
        <v>4</v>
      </c>
    </row>
    <row r="580" spans="1:33">
      <c r="A580">
        <v>10295</v>
      </c>
      <c r="B580" t="s">
        <v>1516</v>
      </c>
      <c r="C580" t="s">
        <v>31</v>
      </c>
      <c r="D580" t="s">
        <v>56</v>
      </c>
      <c r="E580" t="s">
        <v>934</v>
      </c>
      <c r="F580" t="s">
        <v>274</v>
      </c>
      <c r="G580" t="s">
        <v>269</v>
      </c>
      <c r="H580" t="s">
        <v>658</v>
      </c>
      <c r="I580">
        <v>102737</v>
      </c>
      <c r="J580" s="3">
        <v>1232844</v>
      </c>
      <c r="K580" s="2">
        <v>29301</v>
      </c>
      <c r="L580" t="s">
        <v>51</v>
      </c>
      <c r="M580" t="s">
        <v>29</v>
      </c>
      <c r="N580">
        <v>16697</v>
      </c>
      <c r="O580" t="s">
        <v>73</v>
      </c>
      <c r="P580" t="s">
        <v>32</v>
      </c>
      <c r="Q580" t="s">
        <v>160</v>
      </c>
      <c r="R580" s="2">
        <v>44001</v>
      </c>
      <c r="S580" s="1" t="s">
        <v>35</v>
      </c>
      <c r="T580">
        <v>0</v>
      </c>
      <c r="U580" t="s">
        <v>36</v>
      </c>
      <c r="V580">
        <v>1</v>
      </c>
      <c r="W580" t="s">
        <v>36</v>
      </c>
      <c r="X580">
        <v>0</v>
      </c>
      <c r="Y580" t="s">
        <v>268</v>
      </c>
      <c r="Z580">
        <v>4</v>
      </c>
      <c r="AA580" t="s">
        <v>49</v>
      </c>
      <c r="AB580">
        <v>4.8</v>
      </c>
      <c r="AC580" t="s">
        <v>930</v>
      </c>
      <c r="AD580">
        <v>0</v>
      </c>
      <c r="AE580" s="2">
        <v>45859</v>
      </c>
      <c r="AF580">
        <v>4</v>
      </c>
      <c r="AG580">
        <v>4</v>
      </c>
    </row>
    <row r="581" spans="1:33">
      <c r="A581">
        <v>10296</v>
      </c>
      <c r="B581" t="s">
        <v>1014</v>
      </c>
      <c r="C581" t="s">
        <v>31</v>
      </c>
      <c r="D581" t="s">
        <v>31</v>
      </c>
      <c r="E581" t="s">
        <v>934</v>
      </c>
      <c r="F581" t="s">
        <v>37</v>
      </c>
      <c r="G581" t="s">
        <v>28</v>
      </c>
      <c r="H581" t="s">
        <v>55</v>
      </c>
      <c r="I581">
        <v>59124</v>
      </c>
      <c r="J581" s="3">
        <v>709488</v>
      </c>
      <c r="K581" s="2">
        <v>32634</v>
      </c>
      <c r="L581" t="s">
        <v>51</v>
      </c>
      <c r="M581" t="s">
        <v>29</v>
      </c>
      <c r="N581">
        <v>2458</v>
      </c>
      <c r="O581" t="s">
        <v>33</v>
      </c>
      <c r="P581" t="s">
        <v>32</v>
      </c>
      <c r="Q581" t="s">
        <v>34</v>
      </c>
      <c r="R581" s="2">
        <v>41687</v>
      </c>
      <c r="S581" s="1" t="s">
        <v>148</v>
      </c>
      <c r="T581">
        <v>1</v>
      </c>
      <c r="U581" t="s">
        <v>149</v>
      </c>
      <c r="V581">
        <v>4</v>
      </c>
      <c r="W581" t="s">
        <v>87</v>
      </c>
      <c r="X581">
        <v>0</v>
      </c>
      <c r="Y581" t="s">
        <v>60</v>
      </c>
      <c r="Z581">
        <v>2</v>
      </c>
      <c r="AA581" t="s">
        <v>95</v>
      </c>
      <c r="AB581">
        <v>2.2999999999999998</v>
      </c>
      <c r="AC581" t="s">
        <v>932</v>
      </c>
      <c r="AD581">
        <v>0</v>
      </c>
      <c r="AE581" s="2">
        <v>42750</v>
      </c>
      <c r="AF581">
        <v>5</v>
      </c>
      <c r="AG581">
        <v>19</v>
      </c>
    </row>
    <row r="582" spans="1:33">
      <c r="A582">
        <v>10296</v>
      </c>
      <c r="B582" t="s">
        <v>1517</v>
      </c>
      <c r="C582" t="s">
        <v>42</v>
      </c>
      <c r="D582" t="s">
        <v>31</v>
      </c>
      <c r="E582" t="s">
        <v>934</v>
      </c>
      <c r="F582" t="s">
        <v>113</v>
      </c>
      <c r="G582" t="s">
        <v>294</v>
      </c>
      <c r="H582" t="s">
        <v>659</v>
      </c>
      <c r="I582">
        <v>84238</v>
      </c>
      <c r="J582" s="3">
        <v>1010856</v>
      </c>
      <c r="K582" s="2">
        <v>30227</v>
      </c>
      <c r="L582" t="s">
        <v>51</v>
      </c>
      <c r="M582" t="s">
        <v>29</v>
      </c>
      <c r="N582">
        <v>8227</v>
      </c>
      <c r="O582" t="s">
        <v>73</v>
      </c>
      <c r="P582" t="s">
        <v>124</v>
      </c>
      <c r="Q582" t="s">
        <v>92</v>
      </c>
      <c r="R582" s="2">
        <v>43811</v>
      </c>
      <c r="S582" s="1" t="s">
        <v>35</v>
      </c>
      <c r="T582">
        <v>0</v>
      </c>
      <c r="U582" t="s">
        <v>36</v>
      </c>
      <c r="V582">
        <v>1</v>
      </c>
      <c r="W582" t="s">
        <v>45</v>
      </c>
      <c r="X582">
        <v>0</v>
      </c>
      <c r="Y582" t="s">
        <v>48</v>
      </c>
      <c r="Z582">
        <v>4</v>
      </c>
      <c r="AA582" t="s">
        <v>276</v>
      </c>
      <c r="AB582">
        <v>3</v>
      </c>
      <c r="AC582" t="s">
        <v>937</v>
      </c>
      <c r="AD582">
        <v>5</v>
      </c>
      <c r="AE582" s="2">
        <v>45736</v>
      </c>
      <c r="AF582">
        <v>5</v>
      </c>
      <c r="AG582">
        <v>5</v>
      </c>
    </row>
    <row r="583" spans="1:33">
      <c r="A583">
        <v>10297</v>
      </c>
      <c r="B583" t="s">
        <v>1134</v>
      </c>
      <c r="C583" t="s">
        <v>42</v>
      </c>
      <c r="D583" t="s">
        <v>42</v>
      </c>
      <c r="E583" t="s">
        <v>934</v>
      </c>
      <c r="F583" t="s">
        <v>37</v>
      </c>
      <c r="G583" t="s">
        <v>50</v>
      </c>
      <c r="H583" t="s">
        <v>61</v>
      </c>
      <c r="I583">
        <v>60270</v>
      </c>
      <c r="J583" s="3">
        <v>723240</v>
      </c>
      <c r="K583" s="2">
        <v>32707</v>
      </c>
      <c r="L583" t="s">
        <v>51</v>
      </c>
      <c r="M583" t="s">
        <v>29</v>
      </c>
      <c r="N583">
        <v>2472</v>
      </c>
      <c r="O583" t="s">
        <v>33</v>
      </c>
      <c r="P583" t="s">
        <v>32</v>
      </c>
      <c r="Q583" t="s">
        <v>92</v>
      </c>
      <c r="R583" s="2">
        <v>40729</v>
      </c>
      <c r="S583" s="1" t="s">
        <v>216</v>
      </c>
      <c r="T583">
        <v>1</v>
      </c>
      <c r="U583" t="s">
        <v>78</v>
      </c>
      <c r="V583">
        <v>5</v>
      </c>
      <c r="W583" t="s">
        <v>45</v>
      </c>
      <c r="X583">
        <v>0</v>
      </c>
      <c r="Y583" t="s">
        <v>94</v>
      </c>
      <c r="Z583">
        <v>2</v>
      </c>
      <c r="AA583" t="s">
        <v>95</v>
      </c>
      <c r="AB583">
        <v>2.4</v>
      </c>
      <c r="AC583" t="s">
        <v>930</v>
      </c>
      <c r="AD583">
        <v>0</v>
      </c>
      <c r="AE583" s="2">
        <v>42041</v>
      </c>
      <c r="AF583">
        <v>5</v>
      </c>
      <c r="AG583">
        <v>2</v>
      </c>
    </row>
    <row r="584" spans="1:33">
      <c r="A584">
        <v>10297</v>
      </c>
      <c r="B584" t="s">
        <v>1518</v>
      </c>
      <c r="C584" t="s">
        <v>31</v>
      </c>
      <c r="D584" t="s">
        <v>31</v>
      </c>
      <c r="E584" t="s">
        <v>934</v>
      </c>
      <c r="F584" t="s">
        <v>113</v>
      </c>
      <c r="G584" t="s">
        <v>28</v>
      </c>
      <c r="H584" t="s">
        <v>661</v>
      </c>
      <c r="I584">
        <v>62232</v>
      </c>
      <c r="J584" s="3">
        <v>746784</v>
      </c>
      <c r="K584" s="2">
        <v>29685</v>
      </c>
      <c r="L584" t="s">
        <v>51</v>
      </c>
      <c r="M584" t="s">
        <v>144</v>
      </c>
      <c r="N584">
        <v>78911</v>
      </c>
      <c r="O584" t="s">
        <v>73</v>
      </c>
      <c r="P584" t="s">
        <v>32</v>
      </c>
      <c r="Q584" t="s">
        <v>204</v>
      </c>
      <c r="R584" s="2">
        <v>44723</v>
      </c>
      <c r="S584" s="1" t="s">
        <v>660</v>
      </c>
      <c r="T584">
        <v>0</v>
      </c>
      <c r="U584" t="s">
        <v>36</v>
      </c>
      <c r="V584">
        <v>1</v>
      </c>
      <c r="W584" t="s">
        <v>87</v>
      </c>
      <c r="X584">
        <v>1</v>
      </c>
      <c r="Y584" t="s">
        <v>48</v>
      </c>
      <c r="Z584">
        <v>2</v>
      </c>
      <c r="AA584" t="s">
        <v>49</v>
      </c>
      <c r="AB584">
        <v>4.2</v>
      </c>
      <c r="AC584" t="s">
        <v>962</v>
      </c>
      <c r="AD584">
        <v>4</v>
      </c>
      <c r="AE584" s="2">
        <v>45455</v>
      </c>
      <c r="AF584">
        <v>3</v>
      </c>
      <c r="AG584">
        <v>10</v>
      </c>
    </row>
    <row r="585" spans="1:33">
      <c r="A585">
        <v>10298</v>
      </c>
      <c r="B585" t="s">
        <v>1108</v>
      </c>
      <c r="C585" t="s">
        <v>31</v>
      </c>
      <c r="D585" t="s">
        <v>31</v>
      </c>
      <c r="E585" t="s">
        <v>929</v>
      </c>
      <c r="F585" t="s">
        <v>37</v>
      </c>
      <c r="G585" t="s">
        <v>50</v>
      </c>
      <c r="H585" t="s">
        <v>69</v>
      </c>
      <c r="I585">
        <v>55800</v>
      </c>
      <c r="J585" s="3">
        <v>669600</v>
      </c>
      <c r="K585" s="2">
        <v>31227</v>
      </c>
      <c r="L585" t="s">
        <v>30</v>
      </c>
      <c r="M585" t="s">
        <v>29</v>
      </c>
      <c r="N585">
        <v>2472</v>
      </c>
      <c r="O585" t="s">
        <v>33</v>
      </c>
      <c r="P585" t="s">
        <v>32</v>
      </c>
      <c r="Q585" t="s">
        <v>34</v>
      </c>
      <c r="R585" s="2">
        <v>40770</v>
      </c>
      <c r="S585" s="1" t="s">
        <v>205</v>
      </c>
      <c r="T585">
        <v>1</v>
      </c>
      <c r="U585" t="s">
        <v>78</v>
      </c>
      <c r="V585">
        <v>5</v>
      </c>
      <c r="W585" t="s">
        <v>45</v>
      </c>
      <c r="X585">
        <v>0</v>
      </c>
      <c r="Y585" t="s">
        <v>39</v>
      </c>
      <c r="Z585">
        <v>1</v>
      </c>
      <c r="AA585" t="s">
        <v>136</v>
      </c>
      <c r="AB585">
        <v>3</v>
      </c>
      <c r="AC585" t="s">
        <v>962</v>
      </c>
      <c r="AD585">
        <v>0</v>
      </c>
      <c r="AE585" s="2">
        <v>41288</v>
      </c>
      <c r="AF585">
        <v>6</v>
      </c>
      <c r="AG585">
        <v>6</v>
      </c>
    </row>
    <row r="586" spans="1:33">
      <c r="A586">
        <v>10298</v>
      </c>
      <c r="B586" t="s">
        <v>1519</v>
      </c>
      <c r="C586" t="s">
        <v>31</v>
      </c>
      <c r="D586" t="s">
        <v>31</v>
      </c>
      <c r="E586" t="s">
        <v>934</v>
      </c>
      <c r="F586" t="s">
        <v>278</v>
      </c>
      <c r="G586" t="s">
        <v>28</v>
      </c>
      <c r="H586" t="s">
        <v>662</v>
      </c>
      <c r="I586">
        <v>108436</v>
      </c>
      <c r="J586" s="3">
        <v>1301232</v>
      </c>
      <c r="K586" s="2">
        <v>36546</v>
      </c>
      <c r="L586" t="s">
        <v>264</v>
      </c>
      <c r="M586" t="s">
        <v>144</v>
      </c>
      <c r="N586">
        <v>72632</v>
      </c>
      <c r="O586" t="s">
        <v>33</v>
      </c>
      <c r="P586" t="s">
        <v>32</v>
      </c>
      <c r="Q586" t="s">
        <v>204</v>
      </c>
      <c r="R586" s="2">
        <v>45668</v>
      </c>
      <c r="S586" s="1" t="s">
        <v>35</v>
      </c>
      <c r="T586">
        <v>1</v>
      </c>
      <c r="U586" t="s">
        <v>290</v>
      </c>
      <c r="V586">
        <v>1</v>
      </c>
      <c r="W586" t="s">
        <v>36</v>
      </c>
      <c r="X586">
        <v>1</v>
      </c>
      <c r="Y586" t="s">
        <v>280</v>
      </c>
      <c r="Z586">
        <v>2</v>
      </c>
      <c r="AA586" t="s">
        <v>276</v>
      </c>
      <c r="AB586">
        <v>3</v>
      </c>
      <c r="AC586" t="s">
        <v>930</v>
      </c>
      <c r="AD586">
        <v>5</v>
      </c>
      <c r="AE586" s="2">
        <v>45663</v>
      </c>
      <c r="AF586">
        <v>1</v>
      </c>
      <c r="AG586">
        <v>10</v>
      </c>
    </row>
    <row r="587" spans="1:33">
      <c r="A587">
        <v>10299</v>
      </c>
      <c r="B587" t="s">
        <v>1012</v>
      </c>
      <c r="C587" t="s">
        <v>31</v>
      </c>
      <c r="D587" t="s">
        <v>964</v>
      </c>
      <c r="E587" t="s">
        <v>934</v>
      </c>
      <c r="F587" t="s">
        <v>37</v>
      </c>
      <c r="G587" t="s">
        <v>50</v>
      </c>
      <c r="H587" t="s">
        <v>38</v>
      </c>
      <c r="I587">
        <v>56847</v>
      </c>
      <c r="J587" s="3">
        <v>682164</v>
      </c>
      <c r="K587" s="2">
        <v>32745</v>
      </c>
      <c r="L587" t="s">
        <v>51</v>
      </c>
      <c r="M587" t="s">
        <v>29</v>
      </c>
      <c r="N587">
        <v>2133</v>
      </c>
      <c r="O587" t="s">
        <v>33</v>
      </c>
      <c r="P587" t="s">
        <v>32</v>
      </c>
      <c r="Q587" t="s">
        <v>34</v>
      </c>
      <c r="R587" s="2">
        <v>41827</v>
      </c>
      <c r="S587" s="1" t="s">
        <v>35</v>
      </c>
      <c r="T587">
        <v>0</v>
      </c>
      <c r="U587" t="s">
        <v>36</v>
      </c>
      <c r="V587">
        <v>1</v>
      </c>
      <c r="W587" t="s">
        <v>36</v>
      </c>
      <c r="X587">
        <v>0</v>
      </c>
      <c r="Y587" t="s">
        <v>48</v>
      </c>
      <c r="Z587">
        <v>1</v>
      </c>
      <c r="AA587" t="s">
        <v>136</v>
      </c>
      <c r="AB587">
        <v>3</v>
      </c>
      <c r="AC587" t="s">
        <v>1003</v>
      </c>
      <c r="AD587">
        <v>0</v>
      </c>
      <c r="AE587" s="2">
        <v>43521</v>
      </c>
      <c r="AF587">
        <v>2</v>
      </c>
      <c r="AG587">
        <v>5</v>
      </c>
    </row>
    <row r="588" spans="1:33">
      <c r="A588">
        <v>10299</v>
      </c>
      <c r="B588" t="s">
        <v>1520</v>
      </c>
      <c r="C588" t="s">
        <v>31</v>
      </c>
      <c r="D588" t="s">
        <v>42</v>
      </c>
      <c r="E588" t="s">
        <v>934</v>
      </c>
      <c r="F588" t="s">
        <v>271</v>
      </c>
      <c r="G588" t="s">
        <v>62</v>
      </c>
      <c r="H588" t="s">
        <v>663</v>
      </c>
      <c r="I588">
        <v>31320</v>
      </c>
      <c r="J588" s="3">
        <v>375840</v>
      </c>
      <c r="K588" s="2">
        <v>28161</v>
      </c>
      <c r="L588" t="s">
        <v>264</v>
      </c>
      <c r="M588" t="s">
        <v>144</v>
      </c>
      <c r="N588">
        <v>97995</v>
      </c>
      <c r="O588" t="s">
        <v>33</v>
      </c>
      <c r="P588" t="s">
        <v>32</v>
      </c>
      <c r="Q588" t="s">
        <v>270</v>
      </c>
      <c r="R588" s="2">
        <v>44684</v>
      </c>
      <c r="S588" s="1" t="s">
        <v>35</v>
      </c>
      <c r="T588">
        <v>0</v>
      </c>
      <c r="U588" t="s">
        <v>36</v>
      </c>
      <c r="V588">
        <v>1</v>
      </c>
      <c r="W588" t="s">
        <v>87</v>
      </c>
      <c r="X588">
        <v>1</v>
      </c>
      <c r="Y588" t="s">
        <v>280</v>
      </c>
      <c r="Z588">
        <v>2</v>
      </c>
      <c r="AA588" t="s">
        <v>276</v>
      </c>
      <c r="AB588">
        <v>4</v>
      </c>
      <c r="AC588" t="s">
        <v>962</v>
      </c>
      <c r="AD588">
        <v>0</v>
      </c>
      <c r="AE588" s="2">
        <v>45838</v>
      </c>
      <c r="AF588">
        <v>2</v>
      </c>
      <c r="AG588">
        <v>1</v>
      </c>
    </row>
    <row r="589" spans="1:33">
      <c r="A589">
        <v>10300</v>
      </c>
      <c r="B589" t="s">
        <v>1040</v>
      </c>
      <c r="C589" t="s">
        <v>42</v>
      </c>
      <c r="D589" t="s">
        <v>42</v>
      </c>
      <c r="E589" t="s">
        <v>929</v>
      </c>
      <c r="F589" t="s">
        <v>37</v>
      </c>
      <c r="G589" t="s">
        <v>50</v>
      </c>
      <c r="H589" t="s">
        <v>69</v>
      </c>
      <c r="I589">
        <v>68898</v>
      </c>
      <c r="J589" s="3">
        <v>826776</v>
      </c>
      <c r="K589" s="2">
        <v>23662</v>
      </c>
      <c r="L589" t="s">
        <v>30</v>
      </c>
      <c r="M589" t="s">
        <v>29</v>
      </c>
      <c r="N589">
        <v>2128</v>
      </c>
      <c r="O589" t="s">
        <v>33</v>
      </c>
      <c r="P589" t="s">
        <v>32</v>
      </c>
      <c r="Q589" t="s">
        <v>68</v>
      </c>
      <c r="R589" s="2">
        <v>40294</v>
      </c>
      <c r="S589" s="1" t="s">
        <v>167</v>
      </c>
      <c r="T589">
        <v>1</v>
      </c>
      <c r="U589" t="s">
        <v>44</v>
      </c>
      <c r="V589">
        <v>5</v>
      </c>
      <c r="W589" t="s">
        <v>45</v>
      </c>
      <c r="X589">
        <v>1</v>
      </c>
      <c r="Y589" t="s">
        <v>70</v>
      </c>
      <c r="Z589">
        <v>1</v>
      </c>
      <c r="AA589" t="s">
        <v>136</v>
      </c>
      <c r="AB589">
        <v>3</v>
      </c>
      <c r="AC589" t="s">
        <v>932</v>
      </c>
      <c r="AD589">
        <v>0</v>
      </c>
      <c r="AE589" s="2">
        <v>40608</v>
      </c>
      <c r="AF589">
        <v>3</v>
      </c>
      <c r="AG589">
        <v>10</v>
      </c>
    </row>
    <row r="590" spans="1:33">
      <c r="A590">
        <v>10300</v>
      </c>
      <c r="B590" t="s">
        <v>1521</v>
      </c>
      <c r="C590" t="s">
        <v>31</v>
      </c>
      <c r="D590" t="s">
        <v>31</v>
      </c>
      <c r="E590" t="s">
        <v>934</v>
      </c>
      <c r="F590" t="s">
        <v>274</v>
      </c>
      <c r="G590" t="s">
        <v>269</v>
      </c>
      <c r="H590" t="s">
        <v>664</v>
      </c>
      <c r="I590">
        <v>54831</v>
      </c>
      <c r="J590" s="3">
        <v>657972</v>
      </c>
      <c r="K590" s="2">
        <v>32113</v>
      </c>
      <c r="L590" t="s">
        <v>264</v>
      </c>
      <c r="M590" t="s">
        <v>144</v>
      </c>
      <c r="N590">
        <v>72902</v>
      </c>
      <c r="O590" t="s">
        <v>73</v>
      </c>
      <c r="P590" t="s">
        <v>124</v>
      </c>
      <c r="Q590" t="s">
        <v>34</v>
      </c>
      <c r="R590" s="2">
        <v>45393</v>
      </c>
      <c r="S590" s="1" t="s">
        <v>35</v>
      </c>
      <c r="T590">
        <v>0</v>
      </c>
      <c r="U590" t="s">
        <v>36</v>
      </c>
      <c r="V590">
        <v>2</v>
      </c>
      <c r="W590" t="s">
        <v>36</v>
      </c>
      <c r="X590">
        <v>0</v>
      </c>
      <c r="Y590" t="s">
        <v>268</v>
      </c>
      <c r="Z590">
        <v>1</v>
      </c>
      <c r="AA590" t="s">
        <v>136</v>
      </c>
      <c r="AB590">
        <v>4.5</v>
      </c>
      <c r="AC590" t="s">
        <v>937</v>
      </c>
      <c r="AD590">
        <v>3</v>
      </c>
      <c r="AE590" s="2">
        <v>45697</v>
      </c>
      <c r="AF590">
        <v>0</v>
      </c>
      <c r="AG590">
        <v>4</v>
      </c>
    </row>
    <row r="591" spans="1:33">
      <c r="A591">
        <v>10301</v>
      </c>
      <c r="B591" t="s">
        <v>1220</v>
      </c>
      <c r="C591" t="s">
        <v>31</v>
      </c>
      <c r="D591" t="s">
        <v>31</v>
      </c>
      <c r="E591" t="s">
        <v>934</v>
      </c>
      <c r="F591" t="s">
        <v>37</v>
      </c>
      <c r="G591" t="s">
        <v>28</v>
      </c>
      <c r="H591" t="s">
        <v>69</v>
      </c>
      <c r="I591">
        <v>48513</v>
      </c>
      <c r="J591" s="3">
        <v>582156</v>
      </c>
      <c r="K591" s="2">
        <v>30075</v>
      </c>
      <c r="L591" t="s">
        <v>51</v>
      </c>
      <c r="M591" t="s">
        <v>29</v>
      </c>
      <c r="N591">
        <v>2458</v>
      </c>
      <c r="O591" t="s">
        <v>33</v>
      </c>
      <c r="P591" t="s">
        <v>32</v>
      </c>
      <c r="Q591" t="s">
        <v>92</v>
      </c>
      <c r="R591" s="2">
        <v>39693</v>
      </c>
      <c r="S591" s="1" t="s">
        <v>262</v>
      </c>
      <c r="T591">
        <v>1</v>
      </c>
      <c r="U591" t="s">
        <v>75</v>
      </c>
      <c r="V591">
        <v>5</v>
      </c>
      <c r="W591" t="s">
        <v>45</v>
      </c>
      <c r="X591">
        <v>0</v>
      </c>
      <c r="Y591" t="s">
        <v>60</v>
      </c>
      <c r="Z591">
        <v>1</v>
      </c>
      <c r="AA591" t="s">
        <v>136</v>
      </c>
      <c r="AB591">
        <v>3.2</v>
      </c>
      <c r="AC591" t="s">
        <v>962</v>
      </c>
      <c r="AD591">
        <v>0</v>
      </c>
      <c r="AE591" s="2">
        <v>42249</v>
      </c>
      <c r="AF591">
        <v>5</v>
      </c>
      <c r="AG591">
        <v>4</v>
      </c>
    </row>
    <row r="592" spans="1:33">
      <c r="A592">
        <v>10301</v>
      </c>
      <c r="B592" t="s">
        <v>1522</v>
      </c>
      <c r="C592" t="s">
        <v>31</v>
      </c>
      <c r="D592" t="s">
        <v>31</v>
      </c>
      <c r="E592" t="s">
        <v>934</v>
      </c>
      <c r="F592" t="s">
        <v>278</v>
      </c>
      <c r="G592" t="s">
        <v>62</v>
      </c>
      <c r="H592" t="s">
        <v>666</v>
      </c>
      <c r="I592">
        <v>32515</v>
      </c>
      <c r="J592" s="3">
        <v>390180</v>
      </c>
      <c r="K592" s="2">
        <v>31034</v>
      </c>
      <c r="L592" t="s">
        <v>51</v>
      </c>
      <c r="M592" t="s">
        <v>210</v>
      </c>
      <c r="N592">
        <v>63666</v>
      </c>
      <c r="O592" t="s">
        <v>73</v>
      </c>
      <c r="P592" t="s">
        <v>32</v>
      </c>
      <c r="Q592" t="s">
        <v>204</v>
      </c>
      <c r="R592" s="2">
        <v>45165</v>
      </c>
      <c r="S592" s="1" t="s">
        <v>665</v>
      </c>
      <c r="T592">
        <v>1</v>
      </c>
      <c r="U592" t="s">
        <v>36</v>
      </c>
      <c r="V592">
        <v>2</v>
      </c>
      <c r="W592" t="s">
        <v>36</v>
      </c>
      <c r="X592">
        <v>0</v>
      </c>
      <c r="Y592" t="s">
        <v>142</v>
      </c>
      <c r="Z592">
        <v>4</v>
      </c>
      <c r="AA592" t="s">
        <v>95</v>
      </c>
      <c r="AB592">
        <v>3</v>
      </c>
      <c r="AC592" t="s">
        <v>1003</v>
      </c>
      <c r="AD592">
        <v>0</v>
      </c>
      <c r="AE592" s="2">
        <v>45860</v>
      </c>
      <c r="AF592">
        <v>1</v>
      </c>
      <c r="AG592">
        <v>1</v>
      </c>
    </row>
    <row r="593" spans="1:33">
      <c r="A593">
        <v>10302</v>
      </c>
      <c r="B593" t="s">
        <v>1178</v>
      </c>
      <c r="C593" t="s">
        <v>42</v>
      </c>
      <c r="D593" t="s">
        <v>42</v>
      </c>
      <c r="E593" t="s">
        <v>934</v>
      </c>
      <c r="F593" t="s">
        <v>37</v>
      </c>
      <c r="G593" t="s">
        <v>28</v>
      </c>
      <c r="H593" t="s">
        <v>69</v>
      </c>
      <c r="I593">
        <v>64021</v>
      </c>
      <c r="J593" s="3">
        <v>768252</v>
      </c>
      <c r="K593" s="2">
        <v>25039</v>
      </c>
      <c r="L593" t="s">
        <v>51</v>
      </c>
      <c r="M593" t="s">
        <v>29</v>
      </c>
      <c r="N593">
        <v>2093</v>
      </c>
      <c r="O593" t="s">
        <v>33</v>
      </c>
      <c r="P593" t="s">
        <v>32</v>
      </c>
      <c r="Q593" t="s">
        <v>34</v>
      </c>
      <c r="R593" s="2">
        <v>40959</v>
      </c>
      <c r="S593" s="1" t="s">
        <v>35</v>
      </c>
      <c r="T593">
        <v>0</v>
      </c>
      <c r="U593" t="s">
        <v>36</v>
      </c>
      <c r="V593">
        <v>1</v>
      </c>
      <c r="W593" t="s">
        <v>36</v>
      </c>
      <c r="X593">
        <v>0</v>
      </c>
      <c r="Y593" t="s">
        <v>48</v>
      </c>
      <c r="Z593">
        <v>1</v>
      </c>
      <c r="AA593" t="s">
        <v>136</v>
      </c>
      <c r="AB593">
        <v>2.4</v>
      </c>
      <c r="AC593" t="s">
        <v>962</v>
      </c>
      <c r="AD593">
        <v>1</v>
      </c>
      <c r="AE593" s="2">
        <v>43521</v>
      </c>
      <c r="AF593">
        <v>6</v>
      </c>
      <c r="AG593">
        <v>20</v>
      </c>
    </row>
    <row r="594" spans="1:33">
      <c r="A594">
        <v>10302</v>
      </c>
      <c r="B594" t="s">
        <v>1523</v>
      </c>
      <c r="C594" t="s">
        <v>31</v>
      </c>
      <c r="D594" t="s">
        <v>42</v>
      </c>
      <c r="E594" t="s">
        <v>929</v>
      </c>
      <c r="F594" t="s">
        <v>271</v>
      </c>
      <c r="G594" t="s">
        <v>62</v>
      </c>
      <c r="H594" t="s">
        <v>667</v>
      </c>
      <c r="I594">
        <v>87660</v>
      </c>
      <c r="J594" s="3">
        <v>1051920</v>
      </c>
      <c r="K594" s="2">
        <v>28373</v>
      </c>
      <c r="L594" t="s">
        <v>264</v>
      </c>
      <c r="M594" t="s">
        <v>144</v>
      </c>
      <c r="N594">
        <v>86715</v>
      </c>
      <c r="O594" t="s">
        <v>73</v>
      </c>
      <c r="P594" t="s">
        <v>124</v>
      </c>
      <c r="Q594" t="s">
        <v>270</v>
      </c>
      <c r="R594" s="2">
        <v>44067</v>
      </c>
      <c r="S594" s="1" t="s">
        <v>35</v>
      </c>
      <c r="T594">
        <v>1</v>
      </c>
      <c r="U594" t="s">
        <v>298</v>
      </c>
      <c r="V594">
        <v>1</v>
      </c>
      <c r="W594" t="s">
        <v>87</v>
      </c>
      <c r="X594">
        <v>0</v>
      </c>
      <c r="Y594" t="s">
        <v>39</v>
      </c>
      <c r="Z594">
        <v>4</v>
      </c>
      <c r="AA594" t="s">
        <v>136</v>
      </c>
      <c r="AB594">
        <v>3.9</v>
      </c>
      <c r="AC594" t="s">
        <v>937</v>
      </c>
      <c r="AD594">
        <v>3</v>
      </c>
      <c r="AE594" s="2">
        <v>45694</v>
      </c>
      <c r="AF594">
        <v>1</v>
      </c>
      <c r="AG594">
        <v>3</v>
      </c>
    </row>
    <row r="595" spans="1:33">
      <c r="A595">
        <v>10303</v>
      </c>
      <c r="B595" t="s">
        <v>1124</v>
      </c>
      <c r="C595" t="s">
        <v>31</v>
      </c>
      <c r="D595" t="s">
        <v>31</v>
      </c>
      <c r="E595" t="s">
        <v>934</v>
      </c>
      <c r="F595" t="s">
        <v>37</v>
      </c>
      <c r="G595" t="s">
        <v>28</v>
      </c>
      <c r="H595" t="s">
        <v>54</v>
      </c>
      <c r="I595">
        <v>52674</v>
      </c>
      <c r="J595" s="3">
        <v>632088</v>
      </c>
      <c r="K595" s="2">
        <v>29494</v>
      </c>
      <c r="L595" t="s">
        <v>51</v>
      </c>
      <c r="M595" t="s">
        <v>29</v>
      </c>
      <c r="N595">
        <v>2152</v>
      </c>
      <c r="O595" t="s">
        <v>33</v>
      </c>
      <c r="P595" t="s">
        <v>32</v>
      </c>
      <c r="Q595" t="s">
        <v>81</v>
      </c>
      <c r="R595" s="2">
        <v>41729</v>
      </c>
      <c r="S595" s="1" t="s">
        <v>209</v>
      </c>
      <c r="T595">
        <v>1</v>
      </c>
      <c r="U595" t="s">
        <v>91</v>
      </c>
      <c r="V595">
        <v>4</v>
      </c>
      <c r="W595" t="s">
        <v>87</v>
      </c>
      <c r="X595">
        <v>0</v>
      </c>
      <c r="Y595" t="s">
        <v>39</v>
      </c>
      <c r="Z595">
        <v>1</v>
      </c>
      <c r="AA595" t="s">
        <v>136</v>
      </c>
      <c r="AB595">
        <v>2.33</v>
      </c>
      <c r="AC595" t="s">
        <v>962</v>
      </c>
      <c r="AD595">
        <v>0</v>
      </c>
      <c r="AE595" s="2">
        <v>43168</v>
      </c>
      <c r="AF595">
        <v>6</v>
      </c>
      <c r="AG595">
        <v>3</v>
      </c>
    </row>
    <row r="596" spans="1:33">
      <c r="A596">
        <v>10303</v>
      </c>
      <c r="B596" t="s">
        <v>1524</v>
      </c>
      <c r="C596" t="s">
        <v>42</v>
      </c>
      <c r="D596" t="s">
        <v>42</v>
      </c>
      <c r="E596" t="s">
        <v>934</v>
      </c>
      <c r="F596" t="s">
        <v>288</v>
      </c>
      <c r="G596" t="s">
        <v>277</v>
      </c>
      <c r="H596" t="s">
        <v>668</v>
      </c>
      <c r="I596">
        <v>42994</v>
      </c>
      <c r="J596" s="3">
        <v>515928</v>
      </c>
      <c r="K596" s="2">
        <v>23969</v>
      </c>
      <c r="L596" t="s">
        <v>264</v>
      </c>
      <c r="M596" t="s">
        <v>191</v>
      </c>
      <c r="N596">
        <v>28411</v>
      </c>
      <c r="O596" t="s">
        <v>33</v>
      </c>
      <c r="P596" t="s">
        <v>32</v>
      </c>
      <c r="Q596" t="s">
        <v>160</v>
      </c>
      <c r="R596" s="2">
        <v>43121</v>
      </c>
      <c r="S596" s="1" t="s">
        <v>35</v>
      </c>
      <c r="T596">
        <v>0</v>
      </c>
      <c r="U596" t="s">
        <v>36</v>
      </c>
      <c r="V596">
        <v>3</v>
      </c>
      <c r="W596" t="s">
        <v>87</v>
      </c>
      <c r="X596">
        <v>0</v>
      </c>
      <c r="Y596" t="s">
        <v>280</v>
      </c>
      <c r="Z596">
        <v>2</v>
      </c>
      <c r="AA596" t="s">
        <v>49</v>
      </c>
      <c r="AB596">
        <v>4.2</v>
      </c>
      <c r="AC596" t="s">
        <v>930</v>
      </c>
      <c r="AD596">
        <v>3</v>
      </c>
      <c r="AE596" s="2">
        <v>45873</v>
      </c>
      <c r="AF596">
        <v>1</v>
      </c>
      <c r="AG596">
        <v>0</v>
      </c>
    </row>
    <row r="597" spans="1:33">
      <c r="A597">
        <v>10304</v>
      </c>
      <c r="B597" t="s">
        <v>1002</v>
      </c>
      <c r="C597" t="s">
        <v>31</v>
      </c>
      <c r="D597" t="s">
        <v>31</v>
      </c>
      <c r="E597" t="s">
        <v>934</v>
      </c>
      <c r="F597" t="s">
        <v>113</v>
      </c>
      <c r="G597" t="s">
        <v>110</v>
      </c>
      <c r="H597" t="s">
        <v>114</v>
      </c>
      <c r="I597">
        <v>59231</v>
      </c>
      <c r="J597" s="3">
        <v>710772</v>
      </c>
      <c r="K597" s="2">
        <v>31911</v>
      </c>
      <c r="L597" t="s">
        <v>51</v>
      </c>
      <c r="M597" t="s">
        <v>141</v>
      </c>
      <c r="N597">
        <v>98052</v>
      </c>
      <c r="O597" t="s">
        <v>73</v>
      </c>
      <c r="P597" t="s">
        <v>32</v>
      </c>
      <c r="Q597" t="s">
        <v>34</v>
      </c>
      <c r="R597" s="2">
        <v>40959</v>
      </c>
      <c r="S597" s="1" t="s">
        <v>35</v>
      </c>
      <c r="T597">
        <v>0</v>
      </c>
      <c r="U597" t="s">
        <v>36</v>
      </c>
      <c r="V597">
        <v>1</v>
      </c>
      <c r="W597" t="s">
        <v>36</v>
      </c>
      <c r="X597">
        <v>0</v>
      </c>
      <c r="Y597" t="s">
        <v>142</v>
      </c>
      <c r="Z597">
        <v>1</v>
      </c>
      <c r="AA597" t="s">
        <v>136</v>
      </c>
      <c r="AB597">
        <v>2.2999999999999998</v>
      </c>
      <c r="AC597" t="s">
        <v>1003</v>
      </c>
      <c r="AD597">
        <v>0</v>
      </c>
      <c r="AE597" s="2">
        <v>43494</v>
      </c>
      <c r="AF597">
        <v>2</v>
      </c>
      <c r="AG597">
        <v>17</v>
      </c>
    </row>
    <row r="598" spans="1:33">
      <c r="A598">
        <v>10304</v>
      </c>
      <c r="B598" t="s">
        <v>1525</v>
      </c>
      <c r="C598" t="s">
        <v>31</v>
      </c>
      <c r="D598" t="s">
        <v>42</v>
      </c>
      <c r="E598" t="s">
        <v>934</v>
      </c>
      <c r="F598" t="s">
        <v>274</v>
      </c>
      <c r="G598" t="s">
        <v>62</v>
      </c>
      <c r="H598" t="s">
        <v>669</v>
      </c>
      <c r="I598">
        <v>62031</v>
      </c>
      <c r="J598" s="3">
        <v>744372</v>
      </c>
      <c r="K598" s="2">
        <v>26560</v>
      </c>
      <c r="L598" t="s">
        <v>51</v>
      </c>
      <c r="M598" t="s">
        <v>29</v>
      </c>
      <c r="N598">
        <v>86438</v>
      </c>
      <c r="O598" t="s">
        <v>73</v>
      </c>
      <c r="P598" t="s">
        <v>124</v>
      </c>
      <c r="Q598" t="s">
        <v>34</v>
      </c>
      <c r="R598" s="2">
        <v>45397</v>
      </c>
      <c r="S598" s="1" t="s">
        <v>35</v>
      </c>
      <c r="T598">
        <v>0</v>
      </c>
      <c r="U598" t="s">
        <v>36</v>
      </c>
      <c r="V598">
        <v>2</v>
      </c>
      <c r="W598" t="s">
        <v>45</v>
      </c>
      <c r="X598">
        <v>1</v>
      </c>
      <c r="Y598" t="s">
        <v>142</v>
      </c>
      <c r="Z598">
        <v>4</v>
      </c>
      <c r="AA598" t="s">
        <v>95</v>
      </c>
      <c r="AB598">
        <v>3.3</v>
      </c>
      <c r="AC598" t="s">
        <v>1003</v>
      </c>
      <c r="AD598">
        <v>3</v>
      </c>
      <c r="AE598" s="2">
        <v>45888</v>
      </c>
      <c r="AF598">
        <v>1</v>
      </c>
      <c r="AG598">
        <v>7</v>
      </c>
    </row>
    <row r="599" spans="1:33">
      <c r="A599">
        <v>10305</v>
      </c>
      <c r="B599" t="s">
        <v>1023</v>
      </c>
      <c r="C599" t="s">
        <v>42</v>
      </c>
      <c r="D599" t="s">
        <v>42</v>
      </c>
      <c r="E599" t="s">
        <v>929</v>
      </c>
      <c r="F599" t="s">
        <v>113</v>
      </c>
      <c r="G599" t="s">
        <v>110</v>
      </c>
      <c r="H599" t="s">
        <v>121</v>
      </c>
      <c r="I599">
        <v>70187</v>
      </c>
      <c r="J599" s="3">
        <v>842244</v>
      </c>
      <c r="K599" s="2">
        <v>27582</v>
      </c>
      <c r="L599" t="s">
        <v>30</v>
      </c>
      <c r="M599" t="s">
        <v>29</v>
      </c>
      <c r="N599">
        <v>2330</v>
      </c>
      <c r="O599" t="s">
        <v>33</v>
      </c>
      <c r="P599" t="s">
        <v>32</v>
      </c>
      <c r="Q599" t="s">
        <v>34</v>
      </c>
      <c r="R599" s="2">
        <v>41911</v>
      </c>
      <c r="S599" s="1" t="s">
        <v>155</v>
      </c>
      <c r="T599">
        <v>1</v>
      </c>
      <c r="U599" t="s">
        <v>156</v>
      </c>
      <c r="V599">
        <v>1</v>
      </c>
      <c r="W599" t="s">
        <v>87</v>
      </c>
      <c r="X599">
        <v>0</v>
      </c>
      <c r="Y599" t="s">
        <v>67</v>
      </c>
      <c r="Z599">
        <v>3</v>
      </c>
      <c r="AA599" t="s">
        <v>136</v>
      </c>
      <c r="AB599">
        <v>2</v>
      </c>
      <c r="AC599" t="s">
        <v>930</v>
      </c>
      <c r="AD599">
        <v>0</v>
      </c>
      <c r="AE599" s="2">
        <v>43493</v>
      </c>
      <c r="AF599">
        <v>4</v>
      </c>
      <c r="AG599">
        <v>7</v>
      </c>
    </row>
    <row r="600" spans="1:33">
      <c r="A600">
        <v>10305</v>
      </c>
      <c r="B600" t="s">
        <v>1526</v>
      </c>
      <c r="C600" t="s">
        <v>31</v>
      </c>
      <c r="D600" t="s">
        <v>42</v>
      </c>
      <c r="E600" t="s">
        <v>934</v>
      </c>
      <c r="F600" t="s">
        <v>271</v>
      </c>
      <c r="G600" t="s">
        <v>294</v>
      </c>
      <c r="H600" t="s">
        <v>670</v>
      </c>
      <c r="I600">
        <v>56455</v>
      </c>
      <c r="J600" s="3">
        <v>677460</v>
      </c>
      <c r="K600" s="2">
        <v>27695</v>
      </c>
      <c r="L600" t="s">
        <v>264</v>
      </c>
      <c r="M600" t="s">
        <v>29</v>
      </c>
      <c r="N600">
        <v>30156</v>
      </c>
      <c r="O600" t="s">
        <v>73</v>
      </c>
      <c r="P600" t="s">
        <v>124</v>
      </c>
      <c r="Q600" t="s">
        <v>160</v>
      </c>
      <c r="R600" s="2">
        <v>44484</v>
      </c>
      <c r="S600" s="1" t="s">
        <v>35</v>
      </c>
      <c r="T600">
        <v>1</v>
      </c>
      <c r="U600" t="s">
        <v>273</v>
      </c>
      <c r="V600">
        <v>3</v>
      </c>
      <c r="W600" t="s">
        <v>87</v>
      </c>
      <c r="X600">
        <v>0</v>
      </c>
      <c r="Y600" t="s">
        <v>39</v>
      </c>
      <c r="Z600">
        <v>3</v>
      </c>
      <c r="AA600" t="s">
        <v>276</v>
      </c>
      <c r="AB600">
        <v>2.6</v>
      </c>
      <c r="AC600" t="s">
        <v>962</v>
      </c>
      <c r="AD600">
        <v>1</v>
      </c>
      <c r="AE600" s="2">
        <v>45716</v>
      </c>
      <c r="AF600">
        <v>0</v>
      </c>
      <c r="AG600">
        <v>2</v>
      </c>
    </row>
    <row r="601" spans="1:33">
      <c r="A601">
        <v>10306</v>
      </c>
      <c r="B601" t="s">
        <v>997</v>
      </c>
      <c r="C601" t="s">
        <v>31</v>
      </c>
      <c r="D601" t="s">
        <v>31</v>
      </c>
      <c r="E601" t="s">
        <v>929</v>
      </c>
      <c r="F601" t="s">
        <v>113</v>
      </c>
      <c r="G601" t="s">
        <v>110</v>
      </c>
      <c r="H601" t="s">
        <v>114</v>
      </c>
      <c r="I601">
        <v>61568</v>
      </c>
      <c r="J601" s="3">
        <v>738816</v>
      </c>
      <c r="K601" s="2">
        <v>27700</v>
      </c>
      <c r="L601" t="s">
        <v>30</v>
      </c>
      <c r="M601" t="s">
        <v>135</v>
      </c>
      <c r="N601">
        <v>36006</v>
      </c>
      <c r="O601" t="s">
        <v>33</v>
      </c>
      <c r="P601" t="s">
        <v>32</v>
      </c>
      <c r="Q601" t="s">
        <v>81</v>
      </c>
      <c r="R601" s="2">
        <v>41911</v>
      </c>
      <c r="S601" s="1" t="s">
        <v>35</v>
      </c>
      <c r="T601">
        <v>0</v>
      </c>
      <c r="U601" t="s">
        <v>36</v>
      </c>
      <c r="V601">
        <v>1</v>
      </c>
      <c r="W601" t="s">
        <v>36</v>
      </c>
      <c r="X601">
        <v>0</v>
      </c>
      <c r="Y601" t="s">
        <v>48</v>
      </c>
      <c r="Z601">
        <v>1</v>
      </c>
      <c r="AA601" t="s">
        <v>136</v>
      </c>
      <c r="AB601">
        <v>1.93</v>
      </c>
      <c r="AC601" t="s">
        <v>932</v>
      </c>
      <c r="AD601">
        <v>0</v>
      </c>
      <c r="AE601" s="2">
        <v>43495</v>
      </c>
      <c r="AF601">
        <v>6</v>
      </c>
      <c r="AG601">
        <v>5</v>
      </c>
    </row>
    <row r="602" spans="1:33">
      <c r="A602">
        <v>10306</v>
      </c>
      <c r="B602" t="s">
        <v>1527</v>
      </c>
      <c r="C602" t="s">
        <v>42</v>
      </c>
      <c r="D602" t="s">
        <v>42</v>
      </c>
      <c r="E602" t="s">
        <v>929</v>
      </c>
      <c r="F602" t="s">
        <v>283</v>
      </c>
      <c r="G602" t="s">
        <v>62</v>
      </c>
      <c r="H602" t="s">
        <v>671</v>
      </c>
      <c r="I602">
        <v>113389</v>
      </c>
      <c r="J602" s="3">
        <v>1360668</v>
      </c>
      <c r="K602" s="2">
        <v>33391</v>
      </c>
      <c r="L602" t="s">
        <v>264</v>
      </c>
      <c r="M602" t="s">
        <v>80</v>
      </c>
      <c r="N602">
        <v>33486</v>
      </c>
      <c r="O602" t="s">
        <v>73</v>
      </c>
      <c r="P602" t="s">
        <v>124</v>
      </c>
      <c r="Q602" t="s">
        <v>92</v>
      </c>
      <c r="R602" s="2">
        <v>44376</v>
      </c>
      <c r="S602" s="1" t="s">
        <v>35</v>
      </c>
      <c r="T602">
        <v>0</v>
      </c>
      <c r="U602" t="s">
        <v>36</v>
      </c>
      <c r="V602">
        <v>2</v>
      </c>
      <c r="W602" t="s">
        <v>87</v>
      </c>
      <c r="X602">
        <v>1</v>
      </c>
      <c r="Y602" t="s">
        <v>268</v>
      </c>
      <c r="Z602">
        <v>4</v>
      </c>
      <c r="AA602" t="s">
        <v>136</v>
      </c>
      <c r="AB602">
        <v>3.3</v>
      </c>
      <c r="AC602" t="s">
        <v>937</v>
      </c>
      <c r="AD602">
        <v>3</v>
      </c>
      <c r="AE602" s="2">
        <v>45612</v>
      </c>
      <c r="AF602">
        <v>2</v>
      </c>
      <c r="AG602">
        <v>10</v>
      </c>
    </row>
    <row r="603" spans="1:33">
      <c r="A603">
        <v>10307</v>
      </c>
      <c r="B603" t="s">
        <v>1181</v>
      </c>
      <c r="C603" t="s">
        <v>42</v>
      </c>
      <c r="D603" t="s">
        <v>42</v>
      </c>
      <c r="E603" t="s">
        <v>929</v>
      </c>
      <c r="F603" t="s">
        <v>113</v>
      </c>
      <c r="G603" t="s">
        <v>110</v>
      </c>
      <c r="H603" t="s">
        <v>121</v>
      </c>
      <c r="I603">
        <v>58273</v>
      </c>
      <c r="J603" s="3">
        <v>699276</v>
      </c>
      <c r="K603" s="2">
        <v>27158</v>
      </c>
      <c r="L603" t="s">
        <v>30</v>
      </c>
      <c r="M603" t="s">
        <v>242</v>
      </c>
      <c r="N603">
        <v>89139</v>
      </c>
      <c r="O603" t="s">
        <v>33</v>
      </c>
      <c r="P603" t="s">
        <v>32</v>
      </c>
      <c r="Q603" t="s">
        <v>34</v>
      </c>
      <c r="R603" s="2">
        <v>41771</v>
      </c>
      <c r="S603" s="1" t="s">
        <v>35</v>
      </c>
      <c r="T603">
        <v>0</v>
      </c>
      <c r="U603" t="s">
        <v>36</v>
      </c>
      <c r="V603">
        <v>1</v>
      </c>
      <c r="W603" t="s">
        <v>36</v>
      </c>
      <c r="X603">
        <v>0</v>
      </c>
      <c r="Y603" t="s">
        <v>142</v>
      </c>
      <c r="Z603">
        <v>1</v>
      </c>
      <c r="AA603" t="s">
        <v>136</v>
      </c>
      <c r="AB603">
        <v>1.81</v>
      </c>
      <c r="AC603" t="s">
        <v>962</v>
      </c>
      <c r="AD603">
        <v>0</v>
      </c>
      <c r="AE603" s="2">
        <v>43482</v>
      </c>
      <c r="AF603">
        <v>3</v>
      </c>
      <c r="AG603">
        <v>5</v>
      </c>
    </row>
    <row r="604" spans="1:33">
      <c r="A604">
        <v>10307</v>
      </c>
      <c r="B604" t="s">
        <v>1528</v>
      </c>
      <c r="C604" t="s">
        <v>31</v>
      </c>
      <c r="D604" t="s">
        <v>31</v>
      </c>
      <c r="E604" t="s">
        <v>934</v>
      </c>
      <c r="F604" t="s">
        <v>274</v>
      </c>
      <c r="G604" t="s">
        <v>277</v>
      </c>
      <c r="H604" t="s">
        <v>672</v>
      </c>
      <c r="I604">
        <v>89905</v>
      </c>
      <c r="J604" s="3">
        <v>1078860</v>
      </c>
      <c r="K604" s="2">
        <v>30179</v>
      </c>
      <c r="L604" t="s">
        <v>51</v>
      </c>
      <c r="M604" t="s">
        <v>29</v>
      </c>
      <c r="N604">
        <v>28917</v>
      </c>
      <c r="O604" t="s">
        <v>73</v>
      </c>
      <c r="P604" t="s">
        <v>32</v>
      </c>
      <c r="Q604" t="s">
        <v>92</v>
      </c>
      <c r="R604" s="2">
        <v>43736</v>
      </c>
      <c r="S604" s="1" t="s">
        <v>35</v>
      </c>
      <c r="T604">
        <v>0</v>
      </c>
      <c r="U604" t="s">
        <v>36</v>
      </c>
      <c r="V604">
        <v>2</v>
      </c>
      <c r="W604" t="s">
        <v>36</v>
      </c>
      <c r="X604">
        <v>0</v>
      </c>
      <c r="Y604" t="s">
        <v>48</v>
      </c>
      <c r="Z604">
        <v>4</v>
      </c>
      <c r="AA604" t="s">
        <v>49</v>
      </c>
      <c r="AB604">
        <v>3.1</v>
      </c>
      <c r="AC604" t="s">
        <v>937</v>
      </c>
      <c r="AD604">
        <v>4</v>
      </c>
      <c r="AE604" s="2">
        <v>45797</v>
      </c>
      <c r="AF604">
        <v>0</v>
      </c>
      <c r="AG604">
        <v>9</v>
      </c>
    </row>
    <row r="605" spans="1:33">
      <c r="A605">
        <v>10308</v>
      </c>
      <c r="B605" t="s">
        <v>1018</v>
      </c>
      <c r="C605" t="s">
        <v>42</v>
      </c>
      <c r="D605" t="s">
        <v>42</v>
      </c>
      <c r="E605" t="s">
        <v>929</v>
      </c>
      <c r="F605" t="s">
        <v>37</v>
      </c>
      <c r="G605" t="s">
        <v>28</v>
      </c>
      <c r="H605" t="s">
        <v>61</v>
      </c>
      <c r="I605">
        <v>64057</v>
      </c>
      <c r="J605" s="3">
        <v>768684</v>
      </c>
      <c r="K605" s="2">
        <v>32799</v>
      </c>
      <c r="L605" t="s">
        <v>30</v>
      </c>
      <c r="M605" t="s">
        <v>29</v>
      </c>
      <c r="N605">
        <v>2132</v>
      </c>
      <c r="O605" t="s">
        <v>33</v>
      </c>
      <c r="P605" t="s">
        <v>32</v>
      </c>
      <c r="Q605" t="s">
        <v>34</v>
      </c>
      <c r="R605" s="2">
        <v>42135</v>
      </c>
      <c r="S605" s="1" t="s">
        <v>35</v>
      </c>
      <c r="T605">
        <v>0</v>
      </c>
      <c r="U605" t="s">
        <v>36</v>
      </c>
      <c r="V605">
        <v>1</v>
      </c>
      <c r="W605" t="s">
        <v>36</v>
      </c>
      <c r="X605">
        <v>0</v>
      </c>
      <c r="Y605" t="s">
        <v>48</v>
      </c>
      <c r="Z605">
        <v>1</v>
      </c>
      <c r="AA605" t="s">
        <v>136</v>
      </c>
      <c r="AB605">
        <v>1.56</v>
      </c>
      <c r="AC605" t="s">
        <v>930</v>
      </c>
      <c r="AD605">
        <v>0</v>
      </c>
      <c r="AE605" s="2">
        <v>43468</v>
      </c>
      <c r="AF605">
        <v>6</v>
      </c>
      <c r="AG605">
        <v>15</v>
      </c>
    </row>
    <row r="606" spans="1:33">
      <c r="A606">
        <v>10308</v>
      </c>
      <c r="B606" t="s">
        <v>1529</v>
      </c>
      <c r="C606" t="s">
        <v>31</v>
      </c>
      <c r="D606" t="s">
        <v>56</v>
      </c>
      <c r="E606" t="s">
        <v>929</v>
      </c>
      <c r="F606" t="s">
        <v>271</v>
      </c>
      <c r="G606" t="s">
        <v>269</v>
      </c>
      <c r="H606" t="s">
        <v>674</v>
      </c>
      <c r="I606">
        <v>40710</v>
      </c>
      <c r="J606" s="3">
        <v>488520</v>
      </c>
      <c r="K606" s="2">
        <v>37786</v>
      </c>
      <c r="L606" t="s">
        <v>51</v>
      </c>
      <c r="M606" t="s">
        <v>210</v>
      </c>
      <c r="N606">
        <v>37827</v>
      </c>
      <c r="O606" t="s">
        <v>33</v>
      </c>
      <c r="P606" t="s">
        <v>32</v>
      </c>
      <c r="Q606" t="s">
        <v>92</v>
      </c>
      <c r="R606" s="2">
        <v>44295</v>
      </c>
      <c r="S606" s="1" t="s">
        <v>673</v>
      </c>
      <c r="T606">
        <v>0</v>
      </c>
      <c r="U606" t="s">
        <v>36</v>
      </c>
      <c r="V606">
        <v>1</v>
      </c>
      <c r="W606" t="s">
        <v>87</v>
      </c>
      <c r="X606">
        <v>0</v>
      </c>
      <c r="Y606" t="s">
        <v>280</v>
      </c>
      <c r="Z606">
        <v>3</v>
      </c>
      <c r="AA606" t="s">
        <v>136</v>
      </c>
      <c r="AB606">
        <v>4.2</v>
      </c>
      <c r="AC606" t="s">
        <v>932</v>
      </c>
      <c r="AD606">
        <v>5</v>
      </c>
      <c r="AE606" s="2">
        <v>45676</v>
      </c>
      <c r="AF606">
        <v>3</v>
      </c>
      <c r="AG606">
        <v>8</v>
      </c>
    </row>
    <row r="607" spans="1:33">
      <c r="A607">
        <v>10309</v>
      </c>
      <c r="B607" t="s">
        <v>1019</v>
      </c>
      <c r="C607" t="s">
        <v>31</v>
      </c>
      <c r="D607" t="s">
        <v>31</v>
      </c>
      <c r="E607" t="s">
        <v>929</v>
      </c>
      <c r="F607" t="s">
        <v>46</v>
      </c>
      <c r="G607" t="s">
        <v>152</v>
      </c>
      <c r="H607" t="s">
        <v>72</v>
      </c>
      <c r="I607">
        <v>53366</v>
      </c>
      <c r="J607" s="3">
        <v>640392</v>
      </c>
      <c r="K607" s="2">
        <v>31946</v>
      </c>
      <c r="L607" t="s">
        <v>30</v>
      </c>
      <c r="M607" t="s">
        <v>29</v>
      </c>
      <c r="N607">
        <v>2138</v>
      </c>
      <c r="O607" t="s">
        <v>33</v>
      </c>
      <c r="P607" t="s">
        <v>32</v>
      </c>
      <c r="Q607" t="s">
        <v>34</v>
      </c>
      <c r="R607" s="2">
        <v>42093</v>
      </c>
      <c r="S607" s="1" t="s">
        <v>35</v>
      </c>
      <c r="T607">
        <v>0</v>
      </c>
      <c r="U607" t="s">
        <v>36</v>
      </c>
      <c r="V607">
        <v>1</v>
      </c>
      <c r="W607" t="s">
        <v>36</v>
      </c>
      <c r="X607">
        <v>0</v>
      </c>
      <c r="Y607" t="s">
        <v>39</v>
      </c>
      <c r="Z607">
        <v>1</v>
      </c>
      <c r="AA607" t="s">
        <v>136</v>
      </c>
      <c r="AB607">
        <v>1.2</v>
      </c>
      <c r="AC607" t="s">
        <v>932</v>
      </c>
      <c r="AD607">
        <v>6</v>
      </c>
      <c r="AE607" s="2">
        <v>43500</v>
      </c>
      <c r="AF607">
        <v>3</v>
      </c>
      <c r="AG607">
        <v>2</v>
      </c>
    </row>
    <row r="608" spans="1:33">
      <c r="A608">
        <v>10309</v>
      </c>
      <c r="B608" t="s">
        <v>1530</v>
      </c>
      <c r="C608" t="s">
        <v>42</v>
      </c>
      <c r="D608" t="s">
        <v>42</v>
      </c>
      <c r="E608" t="s">
        <v>929</v>
      </c>
      <c r="F608" t="s">
        <v>113</v>
      </c>
      <c r="G608" t="s">
        <v>277</v>
      </c>
      <c r="H608" t="s">
        <v>675</v>
      </c>
      <c r="I608">
        <v>119417</v>
      </c>
      <c r="J608" s="3">
        <v>1433004</v>
      </c>
      <c r="K608" s="2">
        <v>25184</v>
      </c>
      <c r="L608" t="s">
        <v>264</v>
      </c>
      <c r="M608" t="s">
        <v>191</v>
      </c>
      <c r="N608">
        <v>84040</v>
      </c>
      <c r="O608" t="s">
        <v>73</v>
      </c>
      <c r="P608" t="s">
        <v>124</v>
      </c>
      <c r="Q608" t="s">
        <v>204</v>
      </c>
      <c r="R608" s="2">
        <v>45693</v>
      </c>
      <c r="S608" s="1" t="s">
        <v>35</v>
      </c>
      <c r="T608">
        <v>0</v>
      </c>
      <c r="U608" t="s">
        <v>36</v>
      </c>
      <c r="V608">
        <v>2</v>
      </c>
      <c r="W608" t="s">
        <v>36</v>
      </c>
      <c r="X608">
        <v>1</v>
      </c>
      <c r="Y608" t="s">
        <v>142</v>
      </c>
      <c r="Z608">
        <v>1</v>
      </c>
      <c r="AA608" t="s">
        <v>95</v>
      </c>
      <c r="AB608">
        <v>2.6</v>
      </c>
      <c r="AC608" t="s">
        <v>937</v>
      </c>
      <c r="AD608">
        <v>1</v>
      </c>
      <c r="AE608" s="2">
        <v>45823</v>
      </c>
      <c r="AF608">
        <v>3</v>
      </c>
      <c r="AG608">
        <v>0</v>
      </c>
    </row>
    <row r="609" spans="1:33">
      <c r="A609">
        <v>10310</v>
      </c>
      <c r="B609" t="s">
        <v>999</v>
      </c>
      <c r="C609" t="s">
        <v>42</v>
      </c>
      <c r="D609" t="s">
        <v>42</v>
      </c>
      <c r="E609" t="s">
        <v>929</v>
      </c>
      <c r="F609" t="s">
        <v>37</v>
      </c>
      <c r="G609" t="s">
        <v>28</v>
      </c>
      <c r="H609" t="s">
        <v>61</v>
      </c>
      <c r="I609">
        <v>53189</v>
      </c>
      <c r="J609" s="3">
        <v>638268</v>
      </c>
      <c r="K609" s="2">
        <v>24581</v>
      </c>
      <c r="L609" t="s">
        <v>30</v>
      </c>
      <c r="M609" t="s">
        <v>29</v>
      </c>
      <c r="N609">
        <v>2061</v>
      </c>
      <c r="O609" t="s">
        <v>33</v>
      </c>
      <c r="P609" t="s">
        <v>32</v>
      </c>
      <c r="Q609" t="s">
        <v>34</v>
      </c>
      <c r="R609" s="2">
        <v>41827</v>
      </c>
      <c r="S609" s="1" t="s">
        <v>35</v>
      </c>
      <c r="T609">
        <v>0</v>
      </c>
      <c r="U609" t="s">
        <v>36</v>
      </c>
      <c r="V609">
        <v>1</v>
      </c>
      <c r="W609" t="s">
        <v>36</v>
      </c>
      <c r="X609">
        <v>0</v>
      </c>
      <c r="Y609" t="s">
        <v>48</v>
      </c>
      <c r="Z609">
        <v>1</v>
      </c>
      <c r="AA609" t="s">
        <v>136</v>
      </c>
      <c r="AB609">
        <v>1.1200000000000001</v>
      </c>
      <c r="AC609" t="s">
        <v>962</v>
      </c>
      <c r="AD609">
        <v>0</v>
      </c>
      <c r="AE609" s="2">
        <v>43496</v>
      </c>
      <c r="AF609">
        <v>4</v>
      </c>
      <c r="AG609">
        <v>9</v>
      </c>
    </row>
    <row r="610" spans="1:33">
      <c r="A610">
        <v>10310</v>
      </c>
      <c r="B610" t="s">
        <v>1531</v>
      </c>
      <c r="C610" t="s">
        <v>42</v>
      </c>
      <c r="D610" t="s">
        <v>56</v>
      </c>
      <c r="E610" t="s">
        <v>929</v>
      </c>
      <c r="F610" t="s">
        <v>271</v>
      </c>
      <c r="G610" t="s">
        <v>28</v>
      </c>
      <c r="H610" t="s">
        <v>676</v>
      </c>
      <c r="I610">
        <v>42796</v>
      </c>
      <c r="J610" s="3">
        <v>513552</v>
      </c>
      <c r="K610" s="2">
        <v>25094</v>
      </c>
      <c r="L610" t="s">
        <v>51</v>
      </c>
      <c r="M610" t="s">
        <v>80</v>
      </c>
      <c r="N610">
        <v>59669</v>
      </c>
      <c r="O610" t="s">
        <v>73</v>
      </c>
      <c r="P610" t="s">
        <v>124</v>
      </c>
      <c r="Q610" t="s">
        <v>34</v>
      </c>
      <c r="R610" s="2">
        <v>42804</v>
      </c>
      <c r="S610" s="1" t="s">
        <v>35</v>
      </c>
      <c r="T610">
        <v>0</v>
      </c>
      <c r="U610" t="s">
        <v>36</v>
      </c>
      <c r="V610">
        <v>3</v>
      </c>
      <c r="W610" t="s">
        <v>45</v>
      </c>
      <c r="X610">
        <v>1</v>
      </c>
      <c r="Y610" t="s">
        <v>39</v>
      </c>
      <c r="Z610">
        <v>4</v>
      </c>
      <c r="AA610" t="s">
        <v>276</v>
      </c>
      <c r="AB610">
        <v>5</v>
      </c>
      <c r="AC610" t="s">
        <v>937</v>
      </c>
      <c r="AD610">
        <v>1</v>
      </c>
      <c r="AE610" s="2">
        <v>45703</v>
      </c>
      <c r="AF610">
        <v>0</v>
      </c>
      <c r="AG610">
        <v>4</v>
      </c>
    </row>
    <row r="611" spans="1:33">
      <c r="A611">
        <v>10311</v>
      </c>
      <c r="B611" t="s">
        <v>1532</v>
      </c>
      <c r="C611" t="s">
        <v>42</v>
      </c>
      <c r="D611" t="s">
        <v>56</v>
      </c>
      <c r="E611" t="s">
        <v>929</v>
      </c>
      <c r="F611" t="s">
        <v>274</v>
      </c>
      <c r="G611" t="s">
        <v>28</v>
      </c>
      <c r="H611" t="s">
        <v>677</v>
      </c>
      <c r="I611">
        <v>86630</v>
      </c>
      <c r="J611" s="3">
        <v>1039560</v>
      </c>
      <c r="K611" s="2">
        <v>34957</v>
      </c>
      <c r="L611" t="s">
        <v>51</v>
      </c>
      <c r="M611" t="s">
        <v>210</v>
      </c>
      <c r="N611">
        <v>68326</v>
      </c>
      <c r="O611" t="s">
        <v>73</v>
      </c>
      <c r="P611" t="s">
        <v>124</v>
      </c>
      <c r="Q611" t="s">
        <v>92</v>
      </c>
      <c r="R611" s="2">
        <v>42737</v>
      </c>
      <c r="S611" s="1" t="s">
        <v>35</v>
      </c>
      <c r="T611">
        <v>1</v>
      </c>
      <c r="U611" t="s">
        <v>266</v>
      </c>
      <c r="V611">
        <v>2</v>
      </c>
      <c r="W611" t="s">
        <v>45</v>
      </c>
      <c r="X611">
        <v>0</v>
      </c>
      <c r="Y611" t="s">
        <v>268</v>
      </c>
      <c r="Z611">
        <v>3</v>
      </c>
      <c r="AA611" t="s">
        <v>136</v>
      </c>
      <c r="AB611">
        <v>4</v>
      </c>
      <c r="AC611" t="s">
        <v>930</v>
      </c>
      <c r="AD611">
        <v>0</v>
      </c>
      <c r="AE611" s="2">
        <v>45716</v>
      </c>
      <c r="AF611">
        <v>4</v>
      </c>
      <c r="AG611">
        <v>2</v>
      </c>
    </row>
    <row r="612" spans="1:33">
      <c r="A612">
        <v>10311</v>
      </c>
      <c r="B612" t="s">
        <v>994</v>
      </c>
      <c r="C612" t="s">
        <v>42</v>
      </c>
      <c r="D612" t="s">
        <v>42</v>
      </c>
      <c r="E612" t="s">
        <v>929</v>
      </c>
      <c r="F612" t="s">
        <v>37</v>
      </c>
      <c r="G612" t="s">
        <v>28</v>
      </c>
      <c r="H612" t="s">
        <v>69</v>
      </c>
      <c r="I612">
        <v>56991</v>
      </c>
      <c r="J612" s="3">
        <v>683892</v>
      </c>
      <c r="K612" s="2">
        <v>32248</v>
      </c>
      <c r="L612" t="s">
        <v>30</v>
      </c>
      <c r="M612" t="s">
        <v>29</v>
      </c>
      <c r="N612">
        <v>2138</v>
      </c>
      <c r="O612" t="s">
        <v>33</v>
      </c>
      <c r="P612" t="s">
        <v>32</v>
      </c>
      <c r="Q612" t="s">
        <v>34</v>
      </c>
      <c r="R612" s="2">
        <v>43290</v>
      </c>
      <c r="S612" s="1" t="s">
        <v>35</v>
      </c>
      <c r="T612">
        <v>0</v>
      </c>
      <c r="U612" t="s">
        <v>36</v>
      </c>
      <c r="V612">
        <v>1</v>
      </c>
      <c r="W612" t="s">
        <v>36</v>
      </c>
      <c r="X612">
        <v>0</v>
      </c>
      <c r="Y612" t="s">
        <v>48</v>
      </c>
      <c r="Z612">
        <v>1</v>
      </c>
      <c r="AA612" t="s">
        <v>49</v>
      </c>
      <c r="AB612">
        <v>4.3</v>
      </c>
      <c r="AC612" t="s">
        <v>937</v>
      </c>
      <c r="AD612">
        <v>3</v>
      </c>
      <c r="AE612" s="2">
        <v>43496</v>
      </c>
      <c r="AF612">
        <v>2</v>
      </c>
      <c r="AG612">
        <v>2</v>
      </c>
    </row>
    <row r="613" spans="1:33">
      <c r="A613">
        <v>10312</v>
      </c>
      <c r="B613" t="s">
        <v>1533</v>
      </c>
      <c r="C613" t="s">
        <v>31</v>
      </c>
      <c r="D613" t="s">
        <v>42</v>
      </c>
      <c r="E613" t="s">
        <v>929</v>
      </c>
      <c r="F613" t="s">
        <v>274</v>
      </c>
      <c r="G613" t="s">
        <v>62</v>
      </c>
      <c r="H613" t="s">
        <v>679</v>
      </c>
      <c r="I613">
        <v>38715</v>
      </c>
      <c r="J613" s="3">
        <v>464580</v>
      </c>
      <c r="K613" s="2">
        <v>26350</v>
      </c>
      <c r="L613" t="s">
        <v>51</v>
      </c>
      <c r="M613" t="s">
        <v>191</v>
      </c>
      <c r="N613">
        <v>1953</v>
      </c>
      <c r="O613" t="s">
        <v>73</v>
      </c>
      <c r="P613" t="s">
        <v>124</v>
      </c>
      <c r="Q613" t="s">
        <v>270</v>
      </c>
      <c r="R613" s="2">
        <v>43909</v>
      </c>
      <c r="S613" s="1" t="s">
        <v>678</v>
      </c>
      <c r="T613">
        <v>0</v>
      </c>
      <c r="U613" t="s">
        <v>36</v>
      </c>
      <c r="V613">
        <v>1</v>
      </c>
      <c r="W613" t="s">
        <v>45</v>
      </c>
      <c r="X613">
        <v>1</v>
      </c>
      <c r="Y613" t="s">
        <v>39</v>
      </c>
      <c r="Z613">
        <v>4</v>
      </c>
      <c r="AA613" t="s">
        <v>276</v>
      </c>
      <c r="AB613">
        <v>2.6</v>
      </c>
      <c r="AC613" t="s">
        <v>1003</v>
      </c>
      <c r="AD613">
        <v>0</v>
      </c>
      <c r="AE613" s="2">
        <v>45893</v>
      </c>
      <c r="AF613">
        <v>4</v>
      </c>
      <c r="AG613">
        <v>10</v>
      </c>
    </row>
    <row r="614" spans="1:33">
      <c r="A614">
        <v>10313</v>
      </c>
      <c r="B614" t="s">
        <v>1534</v>
      </c>
      <c r="C614" t="s">
        <v>31</v>
      </c>
      <c r="D614" t="s">
        <v>31</v>
      </c>
      <c r="E614" t="s">
        <v>934</v>
      </c>
      <c r="F614" t="s">
        <v>113</v>
      </c>
      <c r="G614" t="s">
        <v>277</v>
      </c>
      <c r="H614" t="s">
        <v>680</v>
      </c>
      <c r="I614">
        <v>56997</v>
      </c>
      <c r="J614" s="3">
        <v>683964</v>
      </c>
      <c r="K614" s="2">
        <v>36848</v>
      </c>
      <c r="L614" t="s">
        <v>51</v>
      </c>
      <c r="M614" t="s">
        <v>29</v>
      </c>
      <c r="N614">
        <v>69732</v>
      </c>
      <c r="O614" t="s">
        <v>73</v>
      </c>
      <c r="P614" t="s">
        <v>124</v>
      </c>
      <c r="Q614" t="s">
        <v>34</v>
      </c>
      <c r="R614" s="2">
        <v>45745</v>
      </c>
      <c r="S614" s="1" t="s">
        <v>35</v>
      </c>
      <c r="T614">
        <v>0</v>
      </c>
      <c r="U614" t="s">
        <v>36</v>
      </c>
      <c r="V614">
        <v>2</v>
      </c>
      <c r="W614" t="s">
        <v>45</v>
      </c>
      <c r="X614">
        <v>0</v>
      </c>
      <c r="Y614" t="s">
        <v>48</v>
      </c>
      <c r="Z614">
        <v>4</v>
      </c>
      <c r="AA614" t="s">
        <v>276</v>
      </c>
      <c r="AB614">
        <v>4.9000000000000004</v>
      </c>
      <c r="AC614" t="s">
        <v>937</v>
      </c>
      <c r="AD614">
        <v>1</v>
      </c>
      <c r="AE614" s="2">
        <v>45647</v>
      </c>
      <c r="AF614">
        <v>2</v>
      </c>
      <c r="AG614">
        <v>5</v>
      </c>
    </row>
    <row r="615" spans="1:33">
      <c r="A615">
        <v>10314</v>
      </c>
      <c r="B615" t="s">
        <v>1535</v>
      </c>
      <c r="C615" t="s">
        <v>31</v>
      </c>
      <c r="D615" t="s">
        <v>31</v>
      </c>
      <c r="E615" t="s">
        <v>934</v>
      </c>
      <c r="F615" t="s">
        <v>274</v>
      </c>
      <c r="G615" t="s">
        <v>269</v>
      </c>
      <c r="H615" t="s">
        <v>681</v>
      </c>
      <c r="I615">
        <v>41578</v>
      </c>
      <c r="J615" s="3">
        <v>498936</v>
      </c>
      <c r="K615" s="2">
        <v>33275</v>
      </c>
      <c r="L615" t="s">
        <v>264</v>
      </c>
      <c r="M615" t="s">
        <v>191</v>
      </c>
      <c r="N615">
        <v>74303</v>
      </c>
      <c r="O615" t="s">
        <v>33</v>
      </c>
      <c r="P615" t="s">
        <v>124</v>
      </c>
      <c r="Q615" t="s">
        <v>204</v>
      </c>
      <c r="R615" s="2">
        <v>45908</v>
      </c>
      <c r="S615" s="1" t="s">
        <v>35</v>
      </c>
      <c r="T615">
        <v>1</v>
      </c>
      <c r="U615" t="s">
        <v>290</v>
      </c>
      <c r="V615">
        <v>1</v>
      </c>
      <c r="W615" t="s">
        <v>36</v>
      </c>
      <c r="X615">
        <v>1</v>
      </c>
      <c r="Y615" t="s">
        <v>280</v>
      </c>
      <c r="Z615">
        <v>2</v>
      </c>
      <c r="AA615" t="s">
        <v>95</v>
      </c>
      <c r="AB615">
        <v>2.6</v>
      </c>
      <c r="AC615" t="s">
        <v>932</v>
      </c>
      <c r="AD615">
        <v>1</v>
      </c>
      <c r="AE615" s="2">
        <v>45866</v>
      </c>
      <c r="AF615">
        <v>2</v>
      </c>
      <c r="AG615">
        <v>2</v>
      </c>
    </row>
    <row r="616" spans="1:33">
      <c r="A616">
        <v>10315</v>
      </c>
      <c r="B616" t="s">
        <v>1536</v>
      </c>
      <c r="C616" t="s">
        <v>31</v>
      </c>
      <c r="D616" t="s">
        <v>31</v>
      </c>
      <c r="E616" t="s">
        <v>934</v>
      </c>
      <c r="F616" t="s">
        <v>283</v>
      </c>
      <c r="G616" t="s">
        <v>294</v>
      </c>
      <c r="H616" t="s">
        <v>683</v>
      </c>
      <c r="I616">
        <v>40282</v>
      </c>
      <c r="J616" s="3">
        <v>483384</v>
      </c>
      <c r="K616" s="2">
        <v>27757</v>
      </c>
      <c r="L616" t="s">
        <v>264</v>
      </c>
      <c r="M616" t="s">
        <v>144</v>
      </c>
      <c r="N616">
        <v>83617</v>
      </c>
      <c r="O616" t="s">
        <v>73</v>
      </c>
      <c r="P616" t="s">
        <v>32</v>
      </c>
      <c r="Q616" t="s">
        <v>92</v>
      </c>
      <c r="R616" s="2">
        <v>45652</v>
      </c>
      <c r="S616" s="1" t="s">
        <v>682</v>
      </c>
      <c r="T616">
        <v>1</v>
      </c>
      <c r="U616" t="s">
        <v>290</v>
      </c>
      <c r="V616">
        <v>2</v>
      </c>
      <c r="W616" t="s">
        <v>36</v>
      </c>
      <c r="X616">
        <v>1</v>
      </c>
      <c r="Y616" t="s">
        <v>39</v>
      </c>
      <c r="Z616">
        <v>1</v>
      </c>
      <c r="AA616" t="s">
        <v>136</v>
      </c>
      <c r="AB616">
        <v>2.5</v>
      </c>
      <c r="AC616" t="s">
        <v>962</v>
      </c>
      <c r="AD616">
        <v>3</v>
      </c>
      <c r="AE616" s="2">
        <v>45793</v>
      </c>
      <c r="AF616">
        <v>1</v>
      </c>
      <c r="AG616">
        <v>6</v>
      </c>
    </row>
    <row r="617" spans="1:33">
      <c r="A617">
        <v>10316</v>
      </c>
      <c r="B617" t="s">
        <v>1537</v>
      </c>
      <c r="C617" t="s">
        <v>31</v>
      </c>
      <c r="D617" t="s">
        <v>56</v>
      </c>
      <c r="E617" t="s">
        <v>934</v>
      </c>
      <c r="F617" t="s">
        <v>113</v>
      </c>
      <c r="G617" t="s">
        <v>277</v>
      </c>
      <c r="H617" t="s">
        <v>684</v>
      </c>
      <c r="I617">
        <v>42317</v>
      </c>
      <c r="J617" s="3">
        <v>507804</v>
      </c>
      <c r="K617" s="2">
        <v>23726</v>
      </c>
      <c r="L617" t="s">
        <v>264</v>
      </c>
      <c r="M617" t="s">
        <v>144</v>
      </c>
      <c r="N617">
        <v>94842</v>
      </c>
      <c r="O617" t="s">
        <v>33</v>
      </c>
      <c r="P617" t="s">
        <v>124</v>
      </c>
      <c r="Q617" t="s">
        <v>160</v>
      </c>
      <c r="R617" s="2">
        <v>43084</v>
      </c>
      <c r="S617" s="1" t="s">
        <v>35</v>
      </c>
      <c r="T617">
        <v>1</v>
      </c>
      <c r="U617" t="s">
        <v>266</v>
      </c>
      <c r="V617">
        <v>3</v>
      </c>
      <c r="W617" t="s">
        <v>36</v>
      </c>
      <c r="X617">
        <v>1</v>
      </c>
      <c r="Y617" t="s">
        <v>280</v>
      </c>
      <c r="Z617">
        <v>3</v>
      </c>
      <c r="AA617" t="s">
        <v>49</v>
      </c>
      <c r="AB617">
        <v>3.2</v>
      </c>
      <c r="AC617" t="s">
        <v>930</v>
      </c>
      <c r="AD617">
        <v>5</v>
      </c>
      <c r="AE617" s="2">
        <v>45652</v>
      </c>
      <c r="AF617">
        <v>3</v>
      </c>
      <c r="AG617">
        <v>8</v>
      </c>
    </row>
    <row r="618" spans="1:33">
      <c r="A618">
        <v>10317</v>
      </c>
      <c r="B618" t="s">
        <v>1538</v>
      </c>
      <c r="C618" t="s">
        <v>42</v>
      </c>
      <c r="D618" t="s">
        <v>31</v>
      </c>
      <c r="E618" t="s">
        <v>929</v>
      </c>
      <c r="F618" t="s">
        <v>288</v>
      </c>
      <c r="G618" t="s">
        <v>62</v>
      </c>
      <c r="H618" t="s">
        <v>685</v>
      </c>
      <c r="I618">
        <v>91499</v>
      </c>
      <c r="J618" s="3">
        <v>1097988</v>
      </c>
      <c r="K618" s="2">
        <v>37596</v>
      </c>
      <c r="L618" t="s">
        <v>51</v>
      </c>
      <c r="M618" t="s">
        <v>29</v>
      </c>
      <c r="N618">
        <v>25352</v>
      </c>
      <c r="O618" t="s">
        <v>33</v>
      </c>
      <c r="P618" t="s">
        <v>124</v>
      </c>
      <c r="Q618" t="s">
        <v>34</v>
      </c>
      <c r="R618" s="2">
        <v>43078</v>
      </c>
      <c r="S618" s="1" t="s">
        <v>35</v>
      </c>
      <c r="T618">
        <v>0</v>
      </c>
      <c r="U618" t="s">
        <v>36</v>
      </c>
      <c r="V618">
        <v>1</v>
      </c>
      <c r="W618" t="s">
        <v>45</v>
      </c>
      <c r="X618">
        <v>1</v>
      </c>
      <c r="Y618" t="s">
        <v>142</v>
      </c>
      <c r="Z618">
        <v>2</v>
      </c>
      <c r="AA618" t="s">
        <v>49</v>
      </c>
      <c r="AB618">
        <v>4</v>
      </c>
      <c r="AC618" t="s">
        <v>930</v>
      </c>
      <c r="AD618">
        <v>1</v>
      </c>
      <c r="AE618" s="2">
        <v>45704</v>
      </c>
      <c r="AF618">
        <v>2</v>
      </c>
      <c r="AG618">
        <v>5</v>
      </c>
    </row>
    <row r="619" spans="1:33">
      <c r="A619">
        <v>10318</v>
      </c>
      <c r="B619" t="s">
        <v>1539</v>
      </c>
      <c r="C619" t="s">
        <v>42</v>
      </c>
      <c r="D619" t="s">
        <v>42</v>
      </c>
      <c r="E619" t="s">
        <v>934</v>
      </c>
      <c r="F619" t="s">
        <v>283</v>
      </c>
      <c r="G619" t="s">
        <v>269</v>
      </c>
      <c r="H619" t="s">
        <v>686</v>
      </c>
      <c r="I619">
        <v>75583</v>
      </c>
      <c r="J619" s="3">
        <v>906996</v>
      </c>
      <c r="K619" s="2">
        <v>35280</v>
      </c>
      <c r="L619" t="s">
        <v>264</v>
      </c>
      <c r="M619" t="s">
        <v>210</v>
      </c>
      <c r="N619">
        <v>87858</v>
      </c>
      <c r="O619" t="s">
        <v>73</v>
      </c>
      <c r="P619" t="s">
        <v>124</v>
      </c>
      <c r="Q619" t="s">
        <v>34</v>
      </c>
      <c r="R619" s="2">
        <v>45419</v>
      </c>
      <c r="S619" s="1" t="s">
        <v>35</v>
      </c>
      <c r="T619">
        <v>1</v>
      </c>
      <c r="U619" t="s">
        <v>273</v>
      </c>
      <c r="V619">
        <v>1</v>
      </c>
      <c r="W619" t="s">
        <v>45</v>
      </c>
      <c r="X619">
        <v>1</v>
      </c>
      <c r="Y619" t="s">
        <v>280</v>
      </c>
      <c r="Z619">
        <v>1</v>
      </c>
      <c r="AA619" t="s">
        <v>95</v>
      </c>
      <c r="AB619">
        <v>4.4000000000000004</v>
      </c>
      <c r="AC619" t="s">
        <v>930</v>
      </c>
      <c r="AD619">
        <v>2</v>
      </c>
      <c r="AE619" s="2">
        <v>45753</v>
      </c>
      <c r="AF619">
        <v>2</v>
      </c>
      <c r="AG619">
        <v>5</v>
      </c>
    </row>
    <row r="620" spans="1:33">
      <c r="A620">
        <v>10319</v>
      </c>
      <c r="B620" t="s">
        <v>1540</v>
      </c>
      <c r="C620" t="s">
        <v>42</v>
      </c>
      <c r="D620" t="s">
        <v>56</v>
      </c>
      <c r="E620" t="s">
        <v>934</v>
      </c>
      <c r="F620" t="s">
        <v>274</v>
      </c>
      <c r="G620" t="s">
        <v>294</v>
      </c>
      <c r="H620" t="s">
        <v>687</v>
      </c>
      <c r="I620">
        <v>51497</v>
      </c>
      <c r="J620" s="3">
        <v>617964</v>
      </c>
      <c r="K620" s="2">
        <v>24421</v>
      </c>
      <c r="L620" t="s">
        <v>264</v>
      </c>
      <c r="M620" t="s">
        <v>29</v>
      </c>
      <c r="N620">
        <v>37792</v>
      </c>
      <c r="O620" t="s">
        <v>33</v>
      </c>
      <c r="P620" t="s">
        <v>124</v>
      </c>
      <c r="Q620" t="s">
        <v>92</v>
      </c>
      <c r="R620" s="2">
        <v>44459</v>
      </c>
      <c r="S620" s="1" t="s">
        <v>35</v>
      </c>
      <c r="T620">
        <v>0</v>
      </c>
      <c r="U620" t="s">
        <v>36</v>
      </c>
      <c r="V620">
        <v>1</v>
      </c>
      <c r="W620" t="s">
        <v>36</v>
      </c>
      <c r="X620">
        <v>1</v>
      </c>
      <c r="Y620" t="s">
        <v>142</v>
      </c>
      <c r="Z620">
        <v>3</v>
      </c>
      <c r="AA620" t="s">
        <v>95</v>
      </c>
      <c r="AB620">
        <v>2.7</v>
      </c>
      <c r="AC620" t="s">
        <v>937</v>
      </c>
      <c r="AD620">
        <v>1</v>
      </c>
      <c r="AE620" s="2">
        <v>45799</v>
      </c>
      <c r="AF620">
        <v>4</v>
      </c>
      <c r="AG620">
        <v>1</v>
      </c>
    </row>
    <row r="621" spans="1:33">
      <c r="A621">
        <v>10320</v>
      </c>
      <c r="B621" t="s">
        <v>1541</v>
      </c>
      <c r="C621" t="s">
        <v>31</v>
      </c>
      <c r="D621" t="s">
        <v>42</v>
      </c>
      <c r="E621" t="s">
        <v>934</v>
      </c>
      <c r="F621" t="s">
        <v>271</v>
      </c>
      <c r="G621" t="s">
        <v>269</v>
      </c>
      <c r="H621" t="s">
        <v>688</v>
      </c>
      <c r="I621">
        <v>42239</v>
      </c>
      <c r="J621" s="3">
        <v>506868</v>
      </c>
      <c r="K621" s="2">
        <v>25304</v>
      </c>
      <c r="L621" t="s">
        <v>264</v>
      </c>
      <c r="M621" t="s">
        <v>80</v>
      </c>
      <c r="N621">
        <v>86633</v>
      </c>
      <c r="O621" t="s">
        <v>73</v>
      </c>
      <c r="P621" t="s">
        <v>32</v>
      </c>
      <c r="Q621" t="s">
        <v>204</v>
      </c>
      <c r="R621" s="2">
        <v>44861</v>
      </c>
      <c r="S621" s="1" t="s">
        <v>35</v>
      </c>
      <c r="T621">
        <v>1</v>
      </c>
      <c r="U621" t="s">
        <v>273</v>
      </c>
      <c r="V621">
        <v>3</v>
      </c>
      <c r="W621" t="s">
        <v>87</v>
      </c>
      <c r="X621">
        <v>1</v>
      </c>
      <c r="Y621" t="s">
        <v>39</v>
      </c>
      <c r="Z621">
        <v>4</v>
      </c>
      <c r="AA621" t="s">
        <v>95</v>
      </c>
      <c r="AB621">
        <v>2.5</v>
      </c>
      <c r="AC621" t="s">
        <v>1003</v>
      </c>
      <c r="AD621">
        <v>5</v>
      </c>
      <c r="AE621" s="2">
        <v>45962</v>
      </c>
      <c r="AF621">
        <v>5</v>
      </c>
      <c r="AG621">
        <v>0</v>
      </c>
    </row>
    <row r="622" spans="1:33">
      <c r="A622">
        <v>10321</v>
      </c>
      <c r="B622" t="s">
        <v>1542</v>
      </c>
      <c r="C622" t="s">
        <v>42</v>
      </c>
      <c r="D622" t="s">
        <v>56</v>
      </c>
      <c r="E622" t="s">
        <v>929</v>
      </c>
      <c r="F622" t="s">
        <v>278</v>
      </c>
      <c r="G622" t="s">
        <v>277</v>
      </c>
      <c r="H622" t="s">
        <v>689</v>
      </c>
      <c r="I622">
        <v>84437</v>
      </c>
      <c r="J622" s="3">
        <v>1013244</v>
      </c>
      <c r="K622" s="2">
        <v>33072</v>
      </c>
      <c r="L622" t="s">
        <v>51</v>
      </c>
      <c r="M622" t="s">
        <v>29</v>
      </c>
      <c r="N622">
        <v>79689</v>
      </c>
      <c r="O622" t="s">
        <v>73</v>
      </c>
      <c r="P622" t="s">
        <v>124</v>
      </c>
      <c r="Q622" t="s">
        <v>204</v>
      </c>
      <c r="R622" s="2">
        <v>43794</v>
      </c>
      <c r="S622" s="1" t="s">
        <v>35</v>
      </c>
      <c r="T622">
        <v>1</v>
      </c>
      <c r="U622" t="s">
        <v>266</v>
      </c>
      <c r="V622">
        <v>1</v>
      </c>
      <c r="W622" t="s">
        <v>87</v>
      </c>
      <c r="X622">
        <v>0</v>
      </c>
      <c r="Y622" t="s">
        <v>39</v>
      </c>
      <c r="Z622">
        <v>1</v>
      </c>
      <c r="AA622" t="s">
        <v>95</v>
      </c>
      <c r="AB622">
        <v>3.4</v>
      </c>
      <c r="AC622" t="s">
        <v>937</v>
      </c>
      <c r="AD622">
        <v>1</v>
      </c>
      <c r="AE622" s="2">
        <v>45927</v>
      </c>
      <c r="AF622">
        <v>2</v>
      </c>
      <c r="AG622">
        <v>5</v>
      </c>
    </row>
    <row r="623" spans="1:33">
      <c r="A623">
        <v>10322</v>
      </c>
      <c r="B623" t="s">
        <v>1543</v>
      </c>
      <c r="C623" t="s">
        <v>31</v>
      </c>
      <c r="D623" t="s">
        <v>31</v>
      </c>
      <c r="E623" t="s">
        <v>934</v>
      </c>
      <c r="F623" t="s">
        <v>288</v>
      </c>
      <c r="G623" t="s">
        <v>277</v>
      </c>
      <c r="H623" t="s">
        <v>691</v>
      </c>
      <c r="I623">
        <v>114269</v>
      </c>
      <c r="J623" s="3">
        <v>1371228</v>
      </c>
      <c r="K623" s="2">
        <v>26647</v>
      </c>
      <c r="L623" t="s">
        <v>264</v>
      </c>
      <c r="M623" t="s">
        <v>80</v>
      </c>
      <c r="N623">
        <v>66561</v>
      </c>
      <c r="O623" t="s">
        <v>73</v>
      </c>
      <c r="P623" t="s">
        <v>32</v>
      </c>
      <c r="Q623" t="s">
        <v>160</v>
      </c>
      <c r="R623" s="2">
        <v>42885</v>
      </c>
      <c r="S623" s="1" t="s">
        <v>690</v>
      </c>
      <c r="T623">
        <v>0</v>
      </c>
      <c r="U623" t="s">
        <v>36</v>
      </c>
      <c r="V623">
        <v>3</v>
      </c>
      <c r="W623" t="s">
        <v>87</v>
      </c>
      <c r="X623">
        <v>0</v>
      </c>
      <c r="Y623" t="s">
        <v>48</v>
      </c>
      <c r="Z623">
        <v>2</v>
      </c>
      <c r="AA623" t="s">
        <v>136</v>
      </c>
      <c r="AB623">
        <v>4.7</v>
      </c>
      <c r="AC623" t="s">
        <v>937</v>
      </c>
      <c r="AD623">
        <v>4</v>
      </c>
      <c r="AE623" s="2">
        <v>45772</v>
      </c>
      <c r="AF623">
        <v>1</v>
      </c>
      <c r="AG623">
        <v>5</v>
      </c>
    </row>
    <row r="624" spans="1:33">
      <c r="A624">
        <v>10323</v>
      </c>
      <c r="B624" t="s">
        <v>1544</v>
      </c>
      <c r="C624" t="s">
        <v>42</v>
      </c>
      <c r="D624" t="s">
        <v>56</v>
      </c>
      <c r="E624" t="s">
        <v>929</v>
      </c>
      <c r="F624" t="s">
        <v>288</v>
      </c>
      <c r="G624" t="s">
        <v>28</v>
      </c>
      <c r="H624" t="s">
        <v>692</v>
      </c>
      <c r="I624">
        <v>102440</v>
      </c>
      <c r="J624" s="3">
        <v>1229280</v>
      </c>
      <c r="K624" s="2">
        <v>37497</v>
      </c>
      <c r="L624" t="s">
        <v>51</v>
      </c>
      <c r="M624" t="s">
        <v>29</v>
      </c>
      <c r="N624">
        <v>23667</v>
      </c>
      <c r="O624" t="s">
        <v>33</v>
      </c>
      <c r="P624" t="s">
        <v>124</v>
      </c>
      <c r="Q624" t="s">
        <v>92</v>
      </c>
      <c r="R624" s="2">
        <v>42401</v>
      </c>
      <c r="S624" s="1" t="s">
        <v>35</v>
      </c>
      <c r="T624">
        <v>1</v>
      </c>
      <c r="U624" t="s">
        <v>290</v>
      </c>
      <c r="V624">
        <v>3</v>
      </c>
      <c r="W624" t="s">
        <v>87</v>
      </c>
      <c r="X624">
        <v>1</v>
      </c>
      <c r="Y624" t="s">
        <v>48</v>
      </c>
      <c r="Z624">
        <v>1</v>
      </c>
      <c r="AA624" t="s">
        <v>49</v>
      </c>
      <c r="AB624">
        <v>4.5999999999999996</v>
      </c>
      <c r="AC624" t="s">
        <v>1003</v>
      </c>
      <c r="AD624">
        <v>5</v>
      </c>
      <c r="AE624" s="2">
        <v>45393</v>
      </c>
      <c r="AF624">
        <v>1</v>
      </c>
      <c r="AG624">
        <v>4</v>
      </c>
    </row>
    <row r="625" spans="1:33">
      <c r="A625">
        <v>10324</v>
      </c>
      <c r="B625" t="s">
        <v>1545</v>
      </c>
      <c r="C625" t="s">
        <v>31</v>
      </c>
      <c r="D625" t="s">
        <v>31</v>
      </c>
      <c r="E625" t="s">
        <v>929</v>
      </c>
      <c r="F625" t="s">
        <v>113</v>
      </c>
      <c r="G625" t="s">
        <v>62</v>
      </c>
      <c r="H625" t="s">
        <v>693</v>
      </c>
      <c r="I625">
        <v>53807</v>
      </c>
      <c r="J625" s="3">
        <v>645684</v>
      </c>
      <c r="K625" s="2">
        <v>34132</v>
      </c>
      <c r="L625" t="s">
        <v>51</v>
      </c>
      <c r="M625" t="s">
        <v>210</v>
      </c>
      <c r="N625">
        <v>9880</v>
      </c>
      <c r="O625" t="s">
        <v>33</v>
      </c>
      <c r="P625" t="s">
        <v>124</v>
      </c>
      <c r="Q625" t="s">
        <v>204</v>
      </c>
      <c r="R625" s="2">
        <v>43115</v>
      </c>
      <c r="S625" s="1" t="s">
        <v>35</v>
      </c>
      <c r="T625">
        <v>1</v>
      </c>
      <c r="U625" t="s">
        <v>298</v>
      </c>
      <c r="V625">
        <v>1</v>
      </c>
      <c r="W625" t="s">
        <v>45</v>
      </c>
      <c r="X625">
        <v>1</v>
      </c>
      <c r="Y625" t="s">
        <v>142</v>
      </c>
      <c r="Z625">
        <v>3</v>
      </c>
      <c r="AA625" t="s">
        <v>95</v>
      </c>
      <c r="AB625">
        <v>3.6</v>
      </c>
      <c r="AC625" t="s">
        <v>962</v>
      </c>
      <c r="AD625">
        <v>5</v>
      </c>
      <c r="AE625" s="2">
        <v>45995</v>
      </c>
      <c r="AF625">
        <v>5</v>
      </c>
      <c r="AG625">
        <v>7</v>
      </c>
    </row>
    <row r="626" spans="1:33">
      <c r="A626">
        <v>10325</v>
      </c>
      <c r="B626" t="s">
        <v>1546</v>
      </c>
      <c r="C626" t="s">
        <v>42</v>
      </c>
      <c r="D626" t="s">
        <v>31</v>
      </c>
      <c r="E626" t="s">
        <v>929</v>
      </c>
      <c r="F626" t="s">
        <v>271</v>
      </c>
      <c r="G626" t="s">
        <v>294</v>
      </c>
      <c r="H626" t="s">
        <v>694</v>
      </c>
      <c r="I626">
        <v>39240</v>
      </c>
      <c r="J626" s="3">
        <v>470880</v>
      </c>
      <c r="K626" s="2">
        <v>26093</v>
      </c>
      <c r="L626" t="s">
        <v>51</v>
      </c>
      <c r="M626" t="s">
        <v>80</v>
      </c>
      <c r="N626">
        <v>69717</v>
      </c>
      <c r="O626" t="s">
        <v>73</v>
      </c>
      <c r="P626" t="s">
        <v>124</v>
      </c>
      <c r="Q626" t="s">
        <v>160</v>
      </c>
      <c r="R626" s="2">
        <v>44709</v>
      </c>
      <c r="S626" s="1" t="s">
        <v>35</v>
      </c>
      <c r="T626">
        <v>0</v>
      </c>
      <c r="U626" t="s">
        <v>36</v>
      </c>
      <c r="V626">
        <v>3</v>
      </c>
      <c r="W626" t="s">
        <v>87</v>
      </c>
      <c r="X626">
        <v>1</v>
      </c>
      <c r="Y626" t="s">
        <v>142</v>
      </c>
      <c r="Z626">
        <v>2</v>
      </c>
      <c r="AA626" t="s">
        <v>49</v>
      </c>
      <c r="AB626">
        <v>3.2</v>
      </c>
      <c r="AC626" t="s">
        <v>932</v>
      </c>
      <c r="AD626">
        <v>3</v>
      </c>
      <c r="AE626" s="2">
        <v>45898</v>
      </c>
      <c r="AF626">
        <v>2</v>
      </c>
      <c r="AG626">
        <v>3</v>
      </c>
    </row>
    <row r="627" spans="1:33">
      <c r="A627">
        <v>10326</v>
      </c>
      <c r="B627" t="s">
        <v>1547</v>
      </c>
      <c r="C627" t="s">
        <v>42</v>
      </c>
      <c r="D627" t="s">
        <v>42</v>
      </c>
      <c r="E627" t="s">
        <v>934</v>
      </c>
      <c r="F627" t="s">
        <v>288</v>
      </c>
      <c r="G627" t="s">
        <v>277</v>
      </c>
      <c r="H627" t="s">
        <v>695</v>
      </c>
      <c r="I627">
        <v>30295</v>
      </c>
      <c r="J627" s="3">
        <v>363540</v>
      </c>
      <c r="K627" s="2">
        <v>25879</v>
      </c>
      <c r="L627" t="s">
        <v>51</v>
      </c>
      <c r="M627" t="s">
        <v>210</v>
      </c>
      <c r="N627">
        <v>93834</v>
      </c>
      <c r="O627" t="s">
        <v>33</v>
      </c>
      <c r="P627" t="s">
        <v>124</v>
      </c>
      <c r="Q627" t="s">
        <v>34</v>
      </c>
      <c r="R627" s="2">
        <v>42167</v>
      </c>
      <c r="S627" s="1" t="s">
        <v>35</v>
      </c>
      <c r="T627">
        <v>0</v>
      </c>
      <c r="U627" t="s">
        <v>36</v>
      </c>
      <c r="V627">
        <v>3</v>
      </c>
      <c r="W627" t="s">
        <v>45</v>
      </c>
      <c r="X627">
        <v>0</v>
      </c>
      <c r="Y627" t="s">
        <v>48</v>
      </c>
      <c r="Z627">
        <v>4</v>
      </c>
      <c r="AA627" t="s">
        <v>276</v>
      </c>
      <c r="AB627">
        <v>2.9</v>
      </c>
      <c r="AC627" t="s">
        <v>930</v>
      </c>
      <c r="AD627">
        <v>0</v>
      </c>
      <c r="AE627" s="2">
        <v>45684</v>
      </c>
      <c r="AF627">
        <v>4</v>
      </c>
      <c r="AG627">
        <v>3</v>
      </c>
    </row>
    <row r="628" spans="1:33">
      <c r="A628">
        <v>10327</v>
      </c>
      <c r="B628" t="s">
        <v>1548</v>
      </c>
      <c r="C628" t="s">
        <v>31</v>
      </c>
      <c r="D628" t="s">
        <v>56</v>
      </c>
      <c r="E628" t="s">
        <v>934</v>
      </c>
      <c r="F628" t="s">
        <v>274</v>
      </c>
      <c r="G628" t="s">
        <v>294</v>
      </c>
      <c r="H628" t="s">
        <v>696</v>
      </c>
      <c r="I628">
        <v>114766</v>
      </c>
      <c r="J628" s="3">
        <v>1377192</v>
      </c>
      <c r="K628" s="2">
        <v>34410</v>
      </c>
      <c r="L628" t="s">
        <v>51</v>
      </c>
      <c r="M628" t="s">
        <v>191</v>
      </c>
      <c r="N628">
        <v>38305</v>
      </c>
      <c r="O628" t="s">
        <v>33</v>
      </c>
      <c r="P628" t="s">
        <v>32</v>
      </c>
      <c r="Q628" t="s">
        <v>270</v>
      </c>
      <c r="R628" s="2">
        <v>42870</v>
      </c>
      <c r="S628" s="1" t="s">
        <v>35</v>
      </c>
      <c r="T628">
        <v>1</v>
      </c>
      <c r="U628" t="s">
        <v>266</v>
      </c>
      <c r="V628">
        <v>3</v>
      </c>
      <c r="W628" t="s">
        <v>36</v>
      </c>
      <c r="X628">
        <v>0</v>
      </c>
      <c r="Y628" t="s">
        <v>280</v>
      </c>
      <c r="Z628">
        <v>1</v>
      </c>
      <c r="AA628" t="s">
        <v>95</v>
      </c>
      <c r="AB628">
        <v>3.4</v>
      </c>
      <c r="AC628" t="s">
        <v>1003</v>
      </c>
      <c r="AD628">
        <v>2</v>
      </c>
      <c r="AE628" s="2">
        <v>45738</v>
      </c>
      <c r="AF628">
        <v>2</v>
      </c>
      <c r="AG628">
        <v>8</v>
      </c>
    </row>
    <row r="629" spans="1:33">
      <c r="A629">
        <v>10328</v>
      </c>
      <c r="B629" t="s">
        <v>1549</v>
      </c>
      <c r="C629" t="s">
        <v>42</v>
      </c>
      <c r="D629" t="s">
        <v>31</v>
      </c>
      <c r="E629" t="s">
        <v>934</v>
      </c>
      <c r="F629" t="s">
        <v>288</v>
      </c>
      <c r="G629" t="s">
        <v>62</v>
      </c>
      <c r="H629" t="s">
        <v>698</v>
      </c>
      <c r="I629">
        <v>74420</v>
      </c>
      <c r="J629" s="3">
        <v>893040</v>
      </c>
      <c r="K629" s="2">
        <v>32817</v>
      </c>
      <c r="L629" t="s">
        <v>264</v>
      </c>
      <c r="M629" t="s">
        <v>29</v>
      </c>
      <c r="N629">
        <v>97249</v>
      </c>
      <c r="O629" t="s">
        <v>73</v>
      </c>
      <c r="P629" t="s">
        <v>32</v>
      </c>
      <c r="Q629" t="s">
        <v>34</v>
      </c>
      <c r="R629" s="2">
        <v>43534</v>
      </c>
      <c r="S629" s="1" t="s">
        <v>697</v>
      </c>
      <c r="T629">
        <v>1</v>
      </c>
      <c r="U629" t="s">
        <v>36</v>
      </c>
      <c r="V629">
        <v>2</v>
      </c>
      <c r="W629" t="s">
        <v>36</v>
      </c>
      <c r="X629">
        <v>1</v>
      </c>
      <c r="Y629" t="s">
        <v>39</v>
      </c>
      <c r="Z629">
        <v>1</v>
      </c>
      <c r="AA629" t="s">
        <v>276</v>
      </c>
      <c r="AB629">
        <v>2.6</v>
      </c>
      <c r="AC629" t="s">
        <v>932</v>
      </c>
      <c r="AD629">
        <v>1</v>
      </c>
      <c r="AE629" s="2">
        <v>45939</v>
      </c>
      <c r="AF629">
        <v>1</v>
      </c>
      <c r="AG629">
        <v>10</v>
      </c>
    </row>
    <row r="630" spans="1:33">
      <c r="A630">
        <v>10329</v>
      </c>
      <c r="B630" t="s">
        <v>1550</v>
      </c>
      <c r="C630" t="s">
        <v>42</v>
      </c>
      <c r="D630" t="s">
        <v>31</v>
      </c>
      <c r="E630" t="s">
        <v>934</v>
      </c>
      <c r="F630" t="s">
        <v>271</v>
      </c>
      <c r="G630" t="s">
        <v>277</v>
      </c>
      <c r="H630" t="s">
        <v>699</v>
      </c>
      <c r="I630">
        <v>101435</v>
      </c>
      <c r="J630" s="3">
        <v>1217220</v>
      </c>
      <c r="K630" s="2">
        <v>28842</v>
      </c>
      <c r="L630" t="s">
        <v>264</v>
      </c>
      <c r="M630" t="s">
        <v>29</v>
      </c>
      <c r="N630">
        <v>96749</v>
      </c>
      <c r="O630" t="s">
        <v>33</v>
      </c>
      <c r="P630" t="s">
        <v>32</v>
      </c>
      <c r="Q630" t="s">
        <v>160</v>
      </c>
      <c r="R630" s="2">
        <v>42547</v>
      </c>
      <c r="S630" s="1" t="s">
        <v>35</v>
      </c>
      <c r="T630">
        <v>1</v>
      </c>
      <c r="U630" t="s">
        <v>290</v>
      </c>
      <c r="V630">
        <v>2</v>
      </c>
      <c r="W630" t="s">
        <v>45</v>
      </c>
      <c r="X630">
        <v>1</v>
      </c>
      <c r="Y630" t="s">
        <v>39</v>
      </c>
      <c r="Z630">
        <v>2</v>
      </c>
      <c r="AA630" t="s">
        <v>49</v>
      </c>
      <c r="AB630">
        <v>4.5999999999999996</v>
      </c>
      <c r="AC630" t="s">
        <v>962</v>
      </c>
      <c r="AD630">
        <v>2</v>
      </c>
      <c r="AE630" s="2">
        <v>45908</v>
      </c>
      <c r="AF630">
        <v>1</v>
      </c>
      <c r="AG630">
        <v>5</v>
      </c>
    </row>
    <row r="631" spans="1:33">
      <c r="A631">
        <v>10330</v>
      </c>
      <c r="B631" t="s">
        <v>1551</v>
      </c>
      <c r="C631" t="s">
        <v>31</v>
      </c>
      <c r="D631" t="s">
        <v>31</v>
      </c>
      <c r="E631" t="s">
        <v>934</v>
      </c>
      <c r="F631" t="s">
        <v>271</v>
      </c>
      <c r="G631" t="s">
        <v>62</v>
      </c>
      <c r="H631" t="s">
        <v>700</v>
      </c>
      <c r="I631">
        <v>107787</v>
      </c>
      <c r="J631" s="3">
        <v>1293444</v>
      </c>
      <c r="K631" s="2">
        <v>31609</v>
      </c>
      <c r="L631" t="s">
        <v>264</v>
      </c>
      <c r="M631" t="s">
        <v>29</v>
      </c>
      <c r="N631">
        <v>21377</v>
      </c>
      <c r="O631" t="s">
        <v>73</v>
      </c>
      <c r="P631" t="s">
        <v>124</v>
      </c>
      <c r="Q631" t="s">
        <v>204</v>
      </c>
      <c r="R631" s="2">
        <v>43041</v>
      </c>
      <c r="S631" s="1" t="s">
        <v>35</v>
      </c>
      <c r="T631">
        <v>0</v>
      </c>
      <c r="U631" t="s">
        <v>36</v>
      </c>
      <c r="V631">
        <v>2</v>
      </c>
      <c r="W631" t="s">
        <v>45</v>
      </c>
      <c r="X631">
        <v>1</v>
      </c>
      <c r="Y631" t="s">
        <v>39</v>
      </c>
      <c r="Z631">
        <v>1</v>
      </c>
      <c r="AA631" t="s">
        <v>136</v>
      </c>
      <c r="AB631">
        <v>2.8</v>
      </c>
      <c r="AC631" t="s">
        <v>937</v>
      </c>
      <c r="AD631">
        <v>2</v>
      </c>
      <c r="AE631" s="2">
        <v>45791</v>
      </c>
      <c r="AF631">
        <v>1</v>
      </c>
      <c r="AG631">
        <v>2</v>
      </c>
    </row>
    <row r="632" spans="1:33">
      <c r="A632">
        <v>10331</v>
      </c>
      <c r="B632" t="s">
        <v>1552</v>
      </c>
      <c r="C632" t="s">
        <v>31</v>
      </c>
      <c r="D632" t="s">
        <v>42</v>
      </c>
      <c r="E632" t="s">
        <v>929</v>
      </c>
      <c r="F632" t="s">
        <v>278</v>
      </c>
      <c r="G632" t="s">
        <v>294</v>
      </c>
      <c r="H632" t="s">
        <v>701</v>
      </c>
      <c r="I632">
        <v>47245</v>
      </c>
      <c r="J632" s="3">
        <v>566940</v>
      </c>
      <c r="K632" s="2">
        <v>32759</v>
      </c>
      <c r="L632" t="s">
        <v>51</v>
      </c>
      <c r="M632" t="s">
        <v>80</v>
      </c>
      <c r="N632">
        <v>11384</v>
      </c>
      <c r="O632" t="s">
        <v>73</v>
      </c>
      <c r="P632" t="s">
        <v>124</v>
      </c>
      <c r="Q632" t="s">
        <v>92</v>
      </c>
      <c r="R632" s="2">
        <v>43192</v>
      </c>
      <c r="S632" s="1" t="s">
        <v>35</v>
      </c>
      <c r="T632">
        <v>1</v>
      </c>
      <c r="U632" t="s">
        <v>266</v>
      </c>
      <c r="V632">
        <v>2</v>
      </c>
      <c r="W632" t="s">
        <v>87</v>
      </c>
      <c r="X632">
        <v>1</v>
      </c>
      <c r="Y632" t="s">
        <v>268</v>
      </c>
      <c r="Z632">
        <v>3</v>
      </c>
      <c r="AA632" t="s">
        <v>49</v>
      </c>
      <c r="AB632">
        <v>3.2</v>
      </c>
      <c r="AC632" t="s">
        <v>930</v>
      </c>
      <c r="AD632">
        <v>0</v>
      </c>
      <c r="AE632" s="2">
        <v>45762</v>
      </c>
      <c r="AF632">
        <v>0</v>
      </c>
      <c r="AG632">
        <v>2</v>
      </c>
    </row>
    <row r="633" spans="1:33">
      <c r="A633">
        <v>10332</v>
      </c>
      <c r="B633" t="s">
        <v>1553</v>
      </c>
      <c r="C633" t="s">
        <v>42</v>
      </c>
      <c r="D633" t="s">
        <v>42</v>
      </c>
      <c r="E633" t="s">
        <v>934</v>
      </c>
      <c r="F633" t="s">
        <v>113</v>
      </c>
      <c r="G633" t="s">
        <v>277</v>
      </c>
      <c r="H633" t="s">
        <v>702</v>
      </c>
      <c r="I633">
        <v>103974</v>
      </c>
      <c r="J633" s="3">
        <v>1247688</v>
      </c>
      <c r="K633" s="2">
        <v>27104</v>
      </c>
      <c r="L633" t="s">
        <v>51</v>
      </c>
      <c r="M633" t="s">
        <v>191</v>
      </c>
      <c r="N633">
        <v>44362</v>
      </c>
      <c r="O633" t="s">
        <v>73</v>
      </c>
      <c r="P633" t="s">
        <v>32</v>
      </c>
      <c r="Q633" t="s">
        <v>34</v>
      </c>
      <c r="R633" s="2">
        <v>43404</v>
      </c>
      <c r="S633" s="1" t="s">
        <v>35</v>
      </c>
      <c r="T633">
        <v>1</v>
      </c>
      <c r="U633" t="s">
        <v>290</v>
      </c>
      <c r="V633">
        <v>3</v>
      </c>
      <c r="W633" t="s">
        <v>45</v>
      </c>
      <c r="X633">
        <v>0</v>
      </c>
      <c r="Y633" t="s">
        <v>280</v>
      </c>
      <c r="Z633">
        <v>3</v>
      </c>
      <c r="AA633" t="s">
        <v>49</v>
      </c>
      <c r="AB633">
        <v>3</v>
      </c>
      <c r="AC633" t="s">
        <v>932</v>
      </c>
      <c r="AD633">
        <v>2</v>
      </c>
      <c r="AE633" s="2">
        <v>45746</v>
      </c>
      <c r="AF633">
        <v>1</v>
      </c>
      <c r="AG633">
        <v>10</v>
      </c>
    </row>
    <row r="634" spans="1:33">
      <c r="A634">
        <v>10333</v>
      </c>
      <c r="B634" t="s">
        <v>1554</v>
      </c>
      <c r="C634" t="s">
        <v>31</v>
      </c>
      <c r="D634" t="s">
        <v>42</v>
      </c>
      <c r="E634" t="s">
        <v>934</v>
      </c>
      <c r="F634" t="s">
        <v>274</v>
      </c>
      <c r="G634" t="s">
        <v>294</v>
      </c>
      <c r="H634" t="s">
        <v>703</v>
      </c>
      <c r="I634">
        <v>90359</v>
      </c>
      <c r="J634" s="3">
        <v>1084308</v>
      </c>
      <c r="K634" s="2">
        <v>24530</v>
      </c>
      <c r="L634" t="s">
        <v>264</v>
      </c>
      <c r="M634" t="s">
        <v>80</v>
      </c>
      <c r="N634">
        <v>66656</v>
      </c>
      <c r="O634" t="s">
        <v>33</v>
      </c>
      <c r="P634" t="s">
        <v>32</v>
      </c>
      <c r="Q634" t="s">
        <v>160</v>
      </c>
      <c r="R634" s="2">
        <v>42352</v>
      </c>
      <c r="S634" s="1" t="s">
        <v>35</v>
      </c>
      <c r="T634">
        <v>0</v>
      </c>
      <c r="U634" t="s">
        <v>36</v>
      </c>
      <c r="V634">
        <v>1</v>
      </c>
      <c r="W634" t="s">
        <v>36</v>
      </c>
      <c r="X634">
        <v>0</v>
      </c>
      <c r="Y634" t="s">
        <v>268</v>
      </c>
      <c r="Z634">
        <v>4</v>
      </c>
      <c r="AA634" t="s">
        <v>276</v>
      </c>
      <c r="AB634">
        <v>2.8</v>
      </c>
      <c r="AC634" t="s">
        <v>932</v>
      </c>
      <c r="AD634">
        <v>0</v>
      </c>
      <c r="AE634" s="2">
        <v>45812</v>
      </c>
      <c r="AF634">
        <v>3</v>
      </c>
      <c r="AG634">
        <v>0</v>
      </c>
    </row>
    <row r="635" spans="1:33">
      <c r="A635">
        <v>10334</v>
      </c>
      <c r="B635" t="s">
        <v>1555</v>
      </c>
      <c r="C635" t="s">
        <v>31</v>
      </c>
      <c r="D635" t="s">
        <v>56</v>
      </c>
      <c r="E635" t="s">
        <v>929</v>
      </c>
      <c r="F635" t="s">
        <v>278</v>
      </c>
      <c r="G635" t="s">
        <v>269</v>
      </c>
      <c r="H635" t="s">
        <v>705</v>
      </c>
      <c r="I635">
        <v>116130</v>
      </c>
      <c r="J635" s="3">
        <v>1393560</v>
      </c>
      <c r="K635" s="2">
        <v>29815</v>
      </c>
      <c r="L635" t="s">
        <v>51</v>
      </c>
      <c r="M635" t="s">
        <v>191</v>
      </c>
      <c r="N635">
        <v>95832</v>
      </c>
      <c r="O635" t="s">
        <v>73</v>
      </c>
      <c r="P635" t="s">
        <v>124</v>
      </c>
      <c r="Q635" t="s">
        <v>34</v>
      </c>
      <c r="R635" s="2">
        <v>43190</v>
      </c>
      <c r="S635" s="1" t="s">
        <v>704</v>
      </c>
      <c r="T635">
        <v>0</v>
      </c>
      <c r="U635" t="s">
        <v>36</v>
      </c>
      <c r="V635">
        <v>3</v>
      </c>
      <c r="W635" t="s">
        <v>36</v>
      </c>
      <c r="X635">
        <v>0</v>
      </c>
      <c r="Y635" t="s">
        <v>39</v>
      </c>
      <c r="Z635">
        <v>1</v>
      </c>
      <c r="AA635" t="s">
        <v>276</v>
      </c>
      <c r="AB635">
        <v>4.8</v>
      </c>
      <c r="AC635" t="s">
        <v>932</v>
      </c>
      <c r="AD635">
        <v>4</v>
      </c>
      <c r="AE635" s="2">
        <v>46001</v>
      </c>
      <c r="AF635">
        <v>1</v>
      </c>
      <c r="AG635">
        <v>0</v>
      </c>
    </row>
    <row r="636" spans="1:33">
      <c r="A636">
        <v>10335</v>
      </c>
      <c r="B636" t="s">
        <v>1556</v>
      </c>
      <c r="C636" t="s">
        <v>42</v>
      </c>
      <c r="D636" t="s">
        <v>56</v>
      </c>
      <c r="E636" t="s">
        <v>929</v>
      </c>
      <c r="F636" t="s">
        <v>283</v>
      </c>
      <c r="G636" t="s">
        <v>277</v>
      </c>
      <c r="H636" t="s">
        <v>706</v>
      </c>
      <c r="I636">
        <v>36661</v>
      </c>
      <c r="J636" s="3">
        <v>439932</v>
      </c>
      <c r="K636" s="2">
        <v>31022</v>
      </c>
      <c r="L636" t="s">
        <v>51</v>
      </c>
      <c r="M636" t="s">
        <v>29</v>
      </c>
      <c r="N636">
        <v>68762</v>
      </c>
      <c r="O636" t="s">
        <v>33</v>
      </c>
      <c r="P636" t="s">
        <v>124</v>
      </c>
      <c r="Q636" t="s">
        <v>204</v>
      </c>
      <c r="R636" s="2">
        <v>44196</v>
      </c>
      <c r="S636" s="1" t="s">
        <v>35</v>
      </c>
      <c r="T636">
        <v>1</v>
      </c>
      <c r="U636" t="s">
        <v>36</v>
      </c>
      <c r="V636">
        <v>2</v>
      </c>
      <c r="W636" t="s">
        <v>45</v>
      </c>
      <c r="X636">
        <v>1</v>
      </c>
      <c r="Y636" t="s">
        <v>48</v>
      </c>
      <c r="Z636">
        <v>1</v>
      </c>
      <c r="AA636" t="s">
        <v>276</v>
      </c>
      <c r="AB636">
        <v>4.0999999999999996</v>
      </c>
      <c r="AC636" t="s">
        <v>962</v>
      </c>
      <c r="AD636">
        <v>4</v>
      </c>
      <c r="AE636" s="2">
        <v>45896</v>
      </c>
      <c r="AF636">
        <v>4</v>
      </c>
      <c r="AG636">
        <v>7</v>
      </c>
    </row>
    <row r="637" spans="1:33">
      <c r="A637">
        <v>10336</v>
      </c>
      <c r="B637" t="s">
        <v>1557</v>
      </c>
      <c r="C637" t="s">
        <v>42</v>
      </c>
      <c r="D637" t="s">
        <v>42</v>
      </c>
      <c r="E637" t="s">
        <v>934</v>
      </c>
      <c r="F637" t="s">
        <v>274</v>
      </c>
      <c r="G637" t="s">
        <v>62</v>
      </c>
      <c r="H637" t="s">
        <v>659</v>
      </c>
      <c r="I637">
        <v>83144</v>
      </c>
      <c r="J637" s="3">
        <v>997728</v>
      </c>
      <c r="K637" s="2">
        <v>25726</v>
      </c>
      <c r="L637" t="s">
        <v>51</v>
      </c>
      <c r="M637" t="s">
        <v>29</v>
      </c>
      <c r="N637">
        <v>45496</v>
      </c>
      <c r="O637" t="s">
        <v>73</v>
      </c>
      <c r="P637" t="s">
        <v>32</v>
      </c>
      <c r="Q637" t="s">
        <v>270</v>
      </c>
      <c r="R637" s="2">
        <v>44282</v>
      </c>
      <c r="S637" s="1" t="s">
        <v>35</v>
      </c>
      <c r="T637">
        <v>0</v>
      </c>
      <c r="U637" t="s">
        <v>36</v>
      </c>
      <c r="V637">
        <v>3</v>
      </c>
      <c r="W637" t="s">
        <v>36</v>
      </c>
      <c r="X637">
        <v>0</v>
      </c>
      <c r="Y637" t="s">
        <v>142</v>
      </c>
      <c r="Z637">
        <v>3</v>
      </c>
      <c r="AA637" t="s">
        <v>136</v>
      </c>
      <c r="AB637">
        <v>2.8</v>
      </c>
      <c r="AC637" t="s">
        <v>932</v>
      </c>
      <c r="AD637">
        <v>2</v>
      </c>
      <c r="AE637" s="2">
        <v>45921</v>
      </c>
      <c r="AF637">
        <v>0</v>
      </c>
      <c r="AG637">
        <v>6</v>
      </c>
    </row>
    <row r="638" spans="1:33">
      <c r="A638">
        <v>10337</v>
      </c>
      <c r="B638" t="s">
        <v>1558</v>
      </c>
      <c r="C638" t="s">
        <v>31</v>
      </c>
      <c r="D638" t="s">
        <v>56</v>
      </c>
      <c r="E638" t="s">
        <v>929</v>
      </c>
      <c r="F638" t="s">
        <v>113</v>
      </c>
      <c r="G638" t="s">
        <v>62</v>
      </c>
      <c r="H638" t="s">
        <v>707</v>
      </c>
      <c r="I638">
        <v>109571</v>
      </c>
      <c r="J638" s="3">
        <v>1314852</v>
      </c>
      <c r="K638" s="2">
        <v>32672</v>
      </c>
      <c r="L638" t="s">
        <v>264</v>
      </c>
      <c r="M638" t="s">
        <v>191</v>
      </c>
      <c r="N638">
        <v>74401</v>
      </c>
      <c r="O638" t="s">
        <v>73</v>
      </c>
      <c r="P638" t="s">
        <v>124</v>
      </c>
      <c r="Q638" t="s">
        <v>204</v>
      </c>
      <c r="R638" s="2">
        <v>45578</v>
      </c>
      <c r="S638" s="1" t="s">
        <v>35</v>
      </c>
      <c r="T638">
        <v>0</v>
      </c>
      <c r="U638" t="s">
        <v>36</v>
      </c>
      <c r="V638">
        <v>3</v>
      </c>
      <c r="W638" t="s">
        <v>36</v>
      </c>
      <c r="X638">
        <v>0</v>
      </c>
      <c r="Y638" t="s">
        <v>39</v>
      </c>
      <c r="Z638">
        <v>2</v>
      </c>
      <c r="AA638" t="s">
        <v>136</v>
      </c>
      <c r="AB638">
        <v>4.3</v>
      </c>
      <c r="AC638" t="s">
        <v>937</v>
      </c>
      <c r="AD638">
        <v>4</v>
      </c>
      <c r="AE638" s="2">
        <v>45946</v>
      </c>
      <c r="AF638">
        <v>2</v>
      </c>
      <c r="AG638">
        <v>6</v>
      </c>
    </row>
    <row r="639" spans="1:33">
      <c r="A639">
        <v>10338</v>
      </c>
      <c r="B639" t="s">
        <v>1559</v>
      </c>
      <c r="C639" t="s">
        <v>31</v>
      </c>
      <c r="D639" t="s">
        <v>56</v>
      </c>
      <c r="E639" t="s">
        <v>934</v>
      </c>
      <c r="F639" t="s">
        <v>278</v>
      </c>
      <c r="G639" t="s">
        <v>269</v>
      </c>
      <c r="H639" t="s">
        <v>709</v>
      </c>
      <c r="I639">
        <v>100643</v>
      </c>
      <c r="J639" s="3">
        <v>1207716</v>
      </c>
      <c r="K639" s="2">
        <v>30728</v>
      </c>
      <c r="L639" t="s">
        <v>51</v>
      </c>
      <c r="M639" t="s">
        <v>144</v>
      </c>
      <c r="N639">
        <v>47725</v>
      </c>
      <c r="O639" t="s">
        <v>73</v>
      </c>
      <c r="P639" t="s">
        <v>124</v>
      </c>
      <c r="Q639" t="s">
        <v>92</v>
      </c>
      <c r="R639" s="2">
        <v>45639</v>
      </c>
      <c r="S639" s="1" t="s">
        <v>708</v>
      </c>
      <c r="T639">
        <v>1</v>
      </c>
      <c r="U639" t="s">
        <v>36</v>
      </c>
      <c r="V639">
        <v>1</v>
      </c>
      <c r="W639" t="s">
        <v>87</v>
      </c>
      <c r="X639">
        <v>0</v>
      </c>
      <c r="Y639" t="s">
        <v>268</v>
      </c>
      <c r="Z639">
        <v>4</v>
      </c>
      <c r="AA639" t="s">
        <v>95</v>
      </c>
      <c r="AB639">
        <v>2.9</v>
      </c>
      <c r="AC639" t="s">
        <v>930</v>
      </c>
      <c r="AD639">
        <v>0</v>
      </c>
      <c r="AE639" s="2">
        <v>45681</v>
      </c>
      <c r="AF639">
        <v>0</v>
      </c>
      <c r="AG639">
        <v>8</v>
      </c>
    </row>
    <row r="640" spans="1:33">
      <c r="A640">
        <v>10339</v>
      </c>
      <c r="B640" t="s">
        <v>1560</v>
      </c>
      <c r="C640" t="s">
        <v>31</v>
      </c>
      <c r="D640" t="s">
        <v>42</v>
      </c>
      <c r="E640" t="s">
        <v>934</v>
      </c>
      <c r="F640" t="s">
        <v>113</v>
      </c>
      <c r="G640" t="s">
        <v>277</v>
      </c>
      <c r="H640" t="s">
        <v>711</v>
      </c>
      <c r="I640">
        <v>70717</v>
      </c>
      <c r="J640" s="3">
        <v>848604</v>
      </c>
      <c r="K640" s="2">
        <v>32336</v>
      </c>
      <c r="L640" t="s">
        <v>264</v>
      </c>
      <c r="M640" t="s">
        <v>210</v>
      </c>
      <c r="N640">
        <v>19656</v>
      </c>
      <c r="O640" t="s">
        <v>73</v>
      </c>
      <c r="P640" t="s">
        <v>32</v>
      </c>
      <c r="Q640" t="s">
        <v>204</v>
      </c>
      <c r="R640" s="2">
        <v>45534</v>
      </c>
      <c r="S640" s="1" t="s">
        <v>710</v>
      </c>
      <c r="T640">
        <v>0</v>
      </c>
      <c r="U640" t="s">
        <v>36</v>
      </c>
      <c r="V640">
        <v>1</v>
      </c>
      <c r="W640" t="s">
        <v>45</v>
      </c>
      <c r="X640">
        <v>0</v>
      </c>
      <c r="Y640" t="s">
        <v>268</v>
      </c>
      <c r="Z640">
        <v>4</v>
      </c>
      <c r="AA640" t="s">
        <v>95</v>
      </c>
      <c r="AB640">
        <v>2.8</v>
      </c>
      <c r="AC640" t="s">
        <v>930</v>
      </c>
      <c r="AD640">
        <v>2</v>
      </c>
      <c r="AE640" s="2">
        <v>45394</v>
      </c>
      <c r="AF640">
        <v>5</v>
      </c>
      <c r="AG640">
        <v>4</v>
      </c>
    </row>
    <row r="641" spans="1:33">
      <c r="A641">
        <v>10340</v>
      </c>
      <c r="B641" t="s">
        <v>1561</v>
      </c>
      <c r="C641" t="s">
        <v>31</v>
      </c>
      <c r="D641" t="s">
        <v>31</v>
      </c>
      <c r="E641" t="s">
        <v>929</v>
      </c>
      <c r="F641" t="s">
        <v>278</v>
      </c>
      <c r="G641" t="s">
        <v>269</v>
      </c>
      <c r="H641" t="s">
        <v>713</v>
      </c>
      <c r="I641">
        <v>101817</v>
      </c>
      <c r="J641" s="3">
        <v>1221804</v>
      </c>
      <c r="K641" s="2">
        <v>26168</v>
      </c>
      <c r="L641" t="s">
        <v>264</v>
      </c>
      <c r="M641" t="s">
        <v>80</v>
      </c>
      <c r="N641">
        <v>48267</v>
      </c>
      <c r="O641" t="s">
        <v>73</v>
      </c>
      <c r="P641" t="s">
        <v>32</v>
      </c>
      <c r="Q641" t="s">
        <v>270</v>
      </c>
      <c r="R641" s="2">
        <v>44918</v>
      </c>
      <c r="S641" s="1" t="s">
        <v>712</v>
      </c>
      <c r="T641">
        <v>1</v>
      </c>
      <c r="U641" t="s">
        <v>266</v>
      </c>
      <c r="V641">
        <v>1</v>
      </c>
      <c r="W641" t="s">
        <v>87</v>
      </c>
      <c r="X641">
        <v>0</v>
      </c>
      <c r="Y641" t="s">
        <v>268</v>
      </c>
      <c r="Z641">
        <v>4</v>
      </c>
      <c r="AA641" t="s">
        <v>95</v>
      </c>
      <c r="AB641">
        <v>4.2</v>
      </c>
      <c r="AC641" t="s">
        <v>962</v>
      </c>
      <c r="AD641">
        <v>1</v>
      </c>
      <c r="AE641" s="2">
        <v>45806</v>
      </c>
      <c r="AF641">
        <v>2</v>
      </c>
      <c r="AG641">
        <v>7</v>
      </c>
    </row>
    <row r="642" spans="1:33">
      <c r="A642">
        <v>10341</v>
      </c>
      <c r="B642" t="s">
        <v>1562</v>
      </c>
      <c r="C642" t="s">
        <v>42</v>
      </c>
      <c r="D642" t="s">
        <v>31</v>
      </c>
      <c r="E642" t="s">
        <v>929</v>
      </c>
      <c r="F642" t="s">
        <v>113</v>
      </c>
      <c r="G642" t="s">
        <v>294</v>
      </c>
      <c r="H642" t="s">
        <v>715</v>
      </c>
      <c r="I642">
        <v>106497</v>
      </c>
      <c r="J642" s="3">
        <v>1277964</v>
      </c>
      <c r="K642" s="2">
        <v>35031</v>
      </c>
      <c r="L642" t="s">
        <v>264</v>
      </c>
      <c r="M642" t="s">
        <v>210</v>
      </c>
      <c r="N642">
        <v>86213</v>
      </c>
      <c r="O642" t="s">
        <v>33</v>
      </c>
      <c r="P642" t="s">
        <v>32</v>
      </c>
      <c r="Q642" t="s">
        <v>270</v>
      </c>
      <c r="R642" s="2">
        <v>43222</v>
      </c>
      <c r="S642" s="1" t="s">
        <v>714</v>
      </c>
      <c r="T642">
        <v>0</v>
      </c>
      <c r="U642" t="s">
        <v>36</v>
      </c>
      <c r="V642">
        <v>2</v>
      </c>
      <c r="W642" t="s">
        <v>45</v>
      </c>
      <c r="X642">
        <v>1</v>
      </c>
      <c r="Y642" t="s">
        <v>142</v>
      </c>
      <c r="Z642">
        <v>2</v>
      </c>
      <c r="AA642" t="s">
        <v>136</v>
      </c>
      <c r="AB642">
        <v>4.8</v>
      </c>
      <c r="AC642" t="s">
        <v>932</v>
      </c>
      <c r="AD642">
        <v>0</v>
      </c>
      <c r="AE642" s="2">
        <v>45882</v>
      </c>
      <c r="AF642">
        <v>3</v>
      </c>
      <c r="AG642">
        <v>1</v>
      </c>
    </row>
    <row r="643" spans="1:33">
      <c r="A643">
        <v>10342</v>
      </c>
      <c r="B643" t="s">
        <v>1563</v>
      </c>
      <c r="C643" t="s">
        <v>31</v>
      </c>
      <c r="D643" t="s">
        <v>56</v>
      </c>
      <c r="E643" t="s">
        <v>934</v>
      </c>
      <c r="F643" t="s">
        <v>278</v>
      </c>
      <c r="G643" t="s">
        <v>277</v>
      </c>
      <c r="H643" t="s">
        <v>716</v>
      </c>
      <c r="I643">
        <v>90263</v>
      </c>
      <c r="J643" s="3">
        <v>1083156</v>
      </c>
      <c r="K643" s="2">
        <v>28267</v>
      </c>
      <c r="L643" t="s">
        <v>264</v>
      </c>
      <c r="M643" t="s">
        <v>29</v>
      </c>
      <c r="N643">
        <v>43798</v>
      </c>
      <c r="O643" t="s">
        <v>33</v>
      </c>
      <c r="P643" t="s">
        <v>124</v>
      </c>
      <c r="Q643" t="s">
        <v>204</v>
      </c>
      <c r="R643" s="2">
        <v>43818</v>
      </c>
      <c r="S643" s="1" t="s">
        <v>35</v>
      </c>
      <c r="T643">
        <v>0</v>
      </c>
      <c r="U643" t="s">
        <v>36</v>
      </c>
      <c r="V643">
        <v>3</v>
      </c>
      <c r="W643" t="s">
        <v>36</v>
      </c>
      <c r="X643">
        <v>1</v>
      </c>
      <c r="Y643" t="s">
        <v>48</v>
      </c>
      <c r="Z643">
        <v>2</v>
      </c>
      <c r="AA643" t="s">
        <v>276</v>
      </c>
      <c r="AB643">
        <v>2.6</v>
      </c>
      <c r="AC643" t="s">
        <v>1003</v>
      </c>
      <c r="AD643">
        <v>4</v>
      </c>
      <c r="AE643" s="2">
        <v>45866</v>
      </c>
      <c r="AF643">
        <v>3</v>
      </c>
      <c r="AG643">
        <v>0</v>
      </c>
    </row>
    <row r="644" spans="1:33">
      <c r="A644">
        <v>10343</v>
      </c>
      <c r="B644" t="s">
        <v>1564</v>
      </c>
      <c r="C644" t="s">
        <v>31</v>
      </c>
      <c r="D644" t="s">
        <v>56</v>
      </c>
      <c r="E644" t="s">
        <v>929</v>
      </c>
      <c r="F644" t="s">
        <v>283</v>
      </c>
      <c r="G644" t="s">
        <v>28</v>
      </c>
      <c r="H644" t="s">
        <v>717</v>
      </c>
      <c r="I644">
        <v>65947</v>
      </c>
      <c r="J644" s="3">
        <v>791364</v>
      </c>
      <c r="K644" s="2">
        <v>31195</v>
      </c>
      <c r="L644" t="s">
        <v>264</v>
      </c>
      <c r="M644" t="s">
        <v>210</v>
      </c>
      <c r="N644">
        <v>77631</v>
      </c>
      <c r="O644" t="s">
        <v>33</v>
      </c>
      <c r="P644" t="s">
        <v>124</v>
      </c>
      <c r="Q644" t="s">
        <v>34</v>
      </c>
      <c r="R644" s="2">
        <v>44744</v>
      </c>
      <c r="S644" s="1" t="s">
        <v>35</v>
      </c>
      <c r="T644">
        <v>0</v>
      </c>
      <c r="U644" t="s">
        <v>36</v>
      </c>
      <c r="V644">
        <v>1</v>
      </c>
      <c r="W644" t="s">
        <v>36</v>
      </c>
      <c r="X644">
        <v>0</v>
      </c>
      <c r="Y644" t="s">
        <v>142</v>
      </c>
      <c r="Z644">
        <v>1</v>
      </c>
      <c r="AA644" t="s">
        <v>136</v>
      </c>
      <c r="AB644">
        <v>3.5</v>
      </c>
      <c r="AC644" t="s">
        <v>930</v>
      </c>
      <c r="AD644">
        <v>2</v>
      </c>
      <c r="AE644" s="2">
        <v>45909</v>
      </c>
      <c r="AF644">
        <v>5</v>
      </c>
      <c r="AG644">
        <v>1</v>
      </c>
    </row>
    <row r="645" spans="1:33">
      <c r="A645">
        <v>10344</v>
      </c>
      <c r="B645" t="s">
        <v>1565</v>
      </c>
      <c r="C645" t="s">
        <v>42</v>
      </c>
      <c r="D645" t="s">
        <v>56</v>
      </c>
      <c r="E645" t="s">
        <v>929</v>
      </c>
      <c r="F645" t="s">
        <v>278</v>
      </c>
      <c r="G645" t="s">
        <v>269</v>
      </c>
      <c r="H645" t="s">
        <v>718</v>
      </c>
      <c r="I645">
        <v>48957</v>
      </c>
      <c r="J645" s="3">
        <v>587484</v>
      </c>
      <c r="K645" s="2">
        <v>33540</v>
      </c>
      <c r="L645" t="s">
        <v>264</v>
      </c>
      <c r="M645" t="s">
        <v>210</v>
      </c>
      <c r="N645">
        <v>8142</v>
      </c>
      <c r="O645" t="s">
        <v>73</v>
      </c>
      <c r="P645" t="s">
        <v>124</v>
      </c>
      <c r="Q645" t="s">
        <v>270</v>
      </c>
      <c r="R645" s="2">
        <v>42585</v>
      </c>
      <c r="S645" s="1" t="s">
        <v>35</v>
      </c>
      <c r="T645">
        <v>1</v>
      </c>
      <c r="U645" t="s">
        <v>266</v>
      </c>
      <c r="V645">
        <v>2</v>
      </c>
      <c r="W645" t="s">
        <v>36</v>
      </c>
      <c r="X645">
        <v>1</v>
      </c>
      <c r="Y645" t="s">
        <v>39</v>
      </c>
      <c r="Z645">
        <v>3</v>
      </c>
      <c r="AA645" t="s">
        <v>136</v>
      </c>
      <c r="AB645">
        <v>3</v>
      </c>
      <c r="AC645" t="s">
        <v>1003</v>
      </c>
      <c r="AD645">
        <v>1</v>
      </c>
      <c r="AE645" s="2">
        <v>45744</v>
      </c>
      <c r="AF645">
        <v>3</v>
      </c>
      <c r="AG645">
        <v>2</v>
      </c>
    </row>
    <row r="646" spans="1:33">
      <c r="A646">
        <v>10345</v>
      </c>
      <c r="B646" t="s">
        <v>1566</v>
      </c>
      <c r="C646" t="s">
        <v>31</v>
      </c>
      <c r="D646" t="s">
        <v>42</v>
      </c>
      <c r="E646" t="s">
        <v>934</v>
      </c>
      <c r="F646" t="s">
        <v>288</v>
      </c>
      <c r="G646" t="s">
        <v>277</v>
      </c>
      <c r="H646" t="s">
        <v>719</v>
      </c>
      <c r="I646">
        <v>62707</v>
      </c>
      <c r="J646" s="3">
        <v>752484</v>
      </c>
      <c r="K646" s="2">
        <v>31730</v>
      </c>
      <c r="L646" t="s">
        <v>264</v>
      </c>
      <c r="M646" t="s">
        <v>191</v>
      </c>
      <c r="N646">
        <v>30490</v>
      </c>
      <c r="O646" t="s">
        <v>73</v>
      </c>
      <c r="P646" t="s">
        <v>32</v>
      </c>
      <c r="Q646" t="s">
        <v>92</v>
      </c>
      <c r="R646" s="2">
        <v>44431</v>
      </c>
      <c r="S646" s="1" t="s">
        <v>35</v>
      </c>
      <c r="T646">
        <v>0</v>
      </c>
      <c r="U646" t="s">
        <v>36</v>
      </c>
      <c r="V646">
        <v>3</v>
      </c>
      <c r="W646" t="s">
        <v>87</v>
      </c>
      <c r="X646">
        <v>1</v>
      </c>
      <c r="Y646" t="s">
        <v>268</v>
      </c>
      <c r="Z646">
        <v>2</v>
      </c>
      <c r="AA646" t="s">
        <v>95</v>
      </c>
      <c r="AB646">
        <v>3.8</v>
      </c>
      <c r="AC646" t="s">
        <v>932</v>
      </c>
      <c r="AD646">
        <v>3</v>
      </c>
      <c r="AE646" s="2">
        <v>45920</v>
      </c>
      <c r="AF646">
        <v>0</v>
      </c>
      <c r="AG646">
        <v>5</v>
      </c>
    </row>
    <row r="647" spans="1:33">
      <c r="A647">
        <v>10346</v>
      </c>
      <c r="B647" t="s">
        <v>1567</v>
      </c>
      <c r="C647" t="s">
        <v>31</v>
      </c>
      <c r="D647" t="s">
        <v>42</v>
      </c>
      <c r="E647" t="s">
        <v>929</v>
      </c>
      <c r="F647" t="s">
        <v>278</v>
      </c>
      <c r="G647" t="s">
        <v>62</v>
      </c>
      <c r="H647" t="s">
        <v>720</v>
      </c>
      <c r="I647">
        <v>69902</v>
      </c>
      <c r="J647" s="3">
        <v>838824</v>
      </c>
      <c r="K647" s="2">
        <v>34725</v>
      </c>
      <c r="L647" t="s">
        <v>51</v>
      </c>
      <c r="M647" t="s">
        <v>29</v>
      </c>
      <c r="N647">
        <v>53497</v>
      </c>
      <c r="O647" t="s">
        <v>33</v>
      </c>
      <c r="P647" t="s">
        <v>124</v>
      </c>
      <c r="Q647" t="s">
        <v>92</v>
      </c>
      <c r="R647" s="2">
        <v>43178</v>
      </c>
      <c r="S647" s="1" t="s">
        <v>35</v>
      </c>
      <c r="T647">
        <v>0</v>
      </c>
      <c r="U647" t="s">
        <v>36</v>
      </c>
      <c r="V647">
        <v>2</v>
      </c>
      <c r="W647" t="s">
        <v>87</v>
      </c>
      <c r="X647">
        <v>0</v>
      </c>
      <c r="Y647" t="s">
        <v>39</v>
      </c>
      <c r="Z647">
        <v>4</v>
      </c>
      <c r="AA647" t="s">
        <v>136</v>
      </c>
      <c r="AB647">
        <v>4.9000000000000004</v>
      </c>
      <c r="AC647" t="s">
        <v>932</v>
      </c>
      <c r="AD647">
        <v>3</v>
      </c>
      <c r="AE647" s="2">
        <v>45624</v>
      </c>
      <c r="AF647">
        <v>1</v>
      </c>
      <c r="AG647">
        <v>4</v>
      </c>
    </row>
    <row r="648" spans="1:33">
      <c r="A648">
        <v>10347</v>
      </c>
      <c r="B648" t="s">
        <v>1568</v>
      </c>
      <c r="C648" t="s">
        <v>42</v>
      </c>
      <c r="D648" t="s">
        <v>31</v>
      </c>
      <c r="E648" t="s">
        <v>929</v>
      </c>
      <c r="F648" t="s">
        <v>278</v>
      </c>
      <c r="G648" t="s">
        <v>62</v>
      </c>
      <c r="H648" t="s">
        <v>722</v>
      </c>
      <c r="I648">
        <v>46738</v>
      </c>
      <c r="J648" s="3">
        <v>560856</v>
      </c>
      <c r="K648" s="2">
        <v>37567</v>
      </c>
      <c r="L648" t="s">
        <v>51</v>
      </c>
      <c r="M648" t="s">
        <v>29</v>
      </c>
      <c r="N648">
        <v>58107</v>
      </c>
      <c r="O648" t="s">
        <v>33</v>
      </c>
      <c r="P648" t="s">
        <v>32</v>
      </c>
      <c r="Q648" t="s">
        <v>92</v>
      </c>
      <c r="R648" s="2">
        <v>44476</v>
      </c>
      <c r="S648" s="1" t="s">
        <v>721</v>
      </c>
      <c r="T648">
        <v>1</v>
      </c>
      <c r="U648" t="s">
        <v>266</v>
      </c>
      <c r="V648">
        <v>1</v>
      </c>
      <c r="W648" t="s">
        <v>45</v>
      </c>
      <c r="X648">
        <v>1</v>
      </c>
      <c r="Y648" t="s">
        <v>280</v>
      </c>
      <c r="Z648">
        <v>1</v>
      </c>
      <c r="AA648" t="s">
        <v>136</v>
      </c>
      <c r="AB648">
        <v>3.5</v>
      </c>
      <c r="AC648" t="s">
        <v>930</v>
      </c>
      <c r="AD648">
        <v>3</v>
      </c>
      <c r="AE648" s="2">
        <v>45998</v>
      </c>
      <c r="AF648">
        <v>1</v>
      </c>
      <c r="AG648">
        <v>2</v>
      </c>
    </row>
    <row r="649" spans="1:33">
      <c r="A649">
        <v>10348</v>
      </c>
      <c r="B649" t="s">
        <v>1569</v>
      </c>
      <c r="C649" t="s">
        <v>31</v>
      </c>
      <c r="D649" t="s">
        <v>42</v>
      </c>
      <c r="E649" t="s">
        <v>934</v>
      </c>
      <c r="F649" t="s">
        <v>274</v>
      </c>
      <c r="G649" t="s">
        <v>28</v>
      </c>
      <c r="H649" t="s">
        <v>723</v>
      </c>
      <c r="I649">
        <v>41586</v>
      </c>
      <c r="J649" s="3">
        <v>499032</v>
      </c>
      <c r="K649" s="2">
        <v>28492</v>
      </c>
      <c r="L649" t="s">
        <v>264</v>
      </c>
      <c r="M649" t="s">
        <v>29</v>
      </c>
      <c r="N649">
        <v>19701</v>
      </c>
      <c r="O649" t="s">
        <v>73</v>
      </c>
      <c r="P649" t="s">
        <v>124</v>
      </c>
      <c r="Q649" t="s">
        <v>270</v>
      </c>
      <c r="R649" s="2">
        <v>44013</v>
      </c>
      <c r="S649" s="1" t="s">
        <v>35</v>
      </c>
      <c r="T649">
        <v>1</v>
      </c>
      <c r="U649" t="s">
        <v>290</v>
      </c>
      <c r="V649">
        <v>1</v>
      </c>
      <c r="W649" t="s">
        <v>87</v>
      </c>
      <c r="X649">
        <v>0</v>
      </c>
      <c r="Y649" t="s">
        <v>142</v>
      </c>
      <c r="Z649">
        <v>1</v>
      </c>
      <c r="AA649" t="s">
        <v>276</v>
      </c>
      <c r="AB649">
        <v>4.5999999999999996</v>
      </c>
      <c r="AC649" t="s">
        <v>937</v>
      </c>
      <c r="AD649">
        <v>3</v>
      </c>
      <c r="AE649" s="2">
        <v>45719</v>
      </c>
      <c r="AF649">
        <v>3</v>
      </c>
      <c r="AG649">
        <v>1</v>
      </c>
    </row>
    <row r="650" spans="1:33">
      <c r="A650">
        <v>10349</v>
      </c>
      <c r="B650" t="s">
        <v>1570</v>
      </c>
      <c r="C650" t="s">
        <v>31</v>
      </c>
      <c r="D650" t="s">
        <v>56</v>
      </c>
      <c r="E650" t="s">
        <v>934</v>
      </c>
      <c r="F650" t="s">
        <v>278</v>
      </c>
      <c r="G650" t="s">
        <v>269</v>
      </c>
      <c r="H650" t="s">
        <v>724</v>
      </c>
      <c r="I650">
        <v>101016</v>
      </c>
      <c r="J650" s="3">
        <v>1212192</v>
      </c>
      <c r="K650" s="2">
        <v>24554</v>
      </c>
      <c r="L650" t="s">
        <v>264</v>
      </c>
      <c r="M650" t="s">
        <v>210</v>
      </c>
      <c r="N650">
        <v>19629</v>
      </c>
      <c r="O650" t="s">
        <v>33</v>
      </c>
      <c r="P650" t="s">
        <v>32</v>
      </c>
      <c r="Q650" t="s">
        <v>92</v>
      </c>
      <c r="R650" s="2">
        <v>45045</v>
      </c>
      <c r="S650" s="1" t="s">
        <v>35</v>
      </c>
      <c r="T650">
        <v>0</v>
      </c>
      <c r="U650" t="s">
        <v>36</v>
      </c>
      <c r="V650">
        <v>1</v>
      </c>
      <c r="W650" t="s">
        <v>87</v>
      </c>
      <c r="X650">
        <v>0</v>
      </c>
      <c r="Y650" t="s">
        <v>48</v>
      </c>
      <c r="Z650">
        <v>2</v>
      </c>
      <c r="AA650" t="s">
        <v>49</v>
      </c>
      <c r="AB650">
        <v>3.6</v>
      </c>
      <c r="AC650" t="s">
        <v>930</v>
      </c>
      <c r="AD650">
        <v>4</v>
      </c>
      <c r="AE650" s="2">
        <v>45916</v>
      </c>
      <c r="AF650">
        <v>2</v>
      </c>
      <c r="AG650">
        <v>9</v>
      </c>
    </row>
    <row r="651" spans="1:33">
      <c r="A651">
        <v>10350</v>
      </c>
      <c r="B651" t="s">
        <v>1571</v>
      </c>
      <c r="C651" t="s">
        <v>42</v>
      </c>
      <c r="D651" t="s">
        <v>56</v>
      </c>
      <c r="E651" t="s">
        <v>929</v>
      </c>
      <c r="F651" t="s">
        <v>271</v>
      </c>
      <c r="G651" t="s">
        <v>28</v>
      </c>
      <c r="H651" t="s">
        <v>725</v>
      </c>
      <c r="I651">
        <v>55511</v>
      </c>
      <c r="J651" s="3">
        <v>666132</v>
      </c>
      <c r="K651" s="2">
        <v>29722</v>
      </c>
      <c r="L651" t="s">
        <v>264</v>
      </c>
      <c r="M651" t="s">
        <v>80</v>
      </c>
      <c r="N651">
        <v>82078</v>
      </c>
      <c r="O651" t="s">
        <v>33</v>
      </c>
      <c r="P651" t="s">
        <v>124</v>
      </c>
      <c r="Q651" t="s">
        <v>270</v>
      </c>
      <c r="R651" s="2">
        <v>42465</v>
      </c>
      <c r="S651" s="1" t="s">
        <v>35</v>
      </c>
      <c r="T651">
        <v>1</v>
      </c>
      <c r="U651" t="s">
        <v>36</v>
      </c>
      <c r="V651">
        <v>2</v>
      </c>
      <c r="W651" t="s">
        <v>45</v>
      </c>
      <c r="X651">
        <v>0</v>
      </c>
      <c r="Y651" t="s">
        <v>280</v>
      </c>
      <c r="Z651">
        <v>1</v>
      </c>
      <c r="AA651" t="s">
        <v>95</v>
      </c>
      <c r="AB651">
        <v>5</v>
      </c>
      <c r="AC651" t="s">
        <v>1003</v>
      </c>
      <c r="AD651">
        <v>2</v>
      </c>
      <c r="AE651" s="2">
        <v>45676</v>
      </c>
      <c r="AF651">
        <v>4</v>
      </c>
      <c r="AG651">
        <v>0</v>
      </c>
    </row>
    <row r="652" spans="1:33">
      <c r="A652">
        <v>10351</v>
      </c>
      <c r="B652" t="s">
        <v>1572</v>
      </c>
      <c r="C652" t="s">
        <v>31</v>
      </c>
      <c r="D652" t="s">
        <v>56</v>
      </c>
      <c r="E652" t="s">
        <v>934</v>
      </c>
      <c r="F652" t="s">
        <v>271</v>
      </c>
      <c r="G652" t="s">
        <v>62</v>
      </c>
      <c r="H652" t="s">
        <v>727</v>
      </c>
      <c r="I652">
        <v>31283</v>
      </c>
      <c r="J652" s="3">
        <v>375396</v>
      </c>
      <c r="K652" s="2">
        <v>34029</v>
      </c>
      <c r="L652" t="s">
        <v>264</v>
      </c>
      <c r="M652" t="s">
        <v>191</v>
      </c>
      <c r="N652">
        <v>55212</v>
      </c>
      <c r="O652" t="s">
        <v>73</v>
      </c>
      <c r="P652" t="s">
        <v>32</v>
      </c>
      <c r="Q652" t="s">
        <v>92</v>
      </c>
      <c r="R652" s="2">
        <v>42442</v>
      </c>
      <c r="S652" s="1" t="s">
        <v>726</v>
      </c>
      <c r="T652">
        <v>0</v>
      </c>
      <c r="U652" t="s">
        <v>36</v>
      </c>
      <c r="V652">
        <v>3</v>
      </c>
      <c r="W652" t="s">
        <v>36</v>
      </c>
      <c r="X652">
        <v>1</v>
      </c>
      <c r="Y652" t="s">
        <v>280</v>
      </c>
      <c r="Z652">
        <v>1</v>
      </c>
      <c r="AA652" t="s">
        <v>95</v>
      </c>
      <c r="AB652">
        <v>3</v>
      </c>
      <c r="AC652" t="s">
        <v>962</v>
      </c>
      <c r="AD652">
        <v>5</v>
      </c>
      <c r="AE652" s="2">
        <v>45653</v>
      </c>
      <c r="AF652">
        <v>4</v>
      </c>
      <c r="AG652">
        <v>3</v>
      </c>
    </row>
    <row r="653" spans="1:33">
      <c r="A653">
        <v>10352</v>
      </c>
      <c r="B653" t="s">
        <v>1573</v>
      </c>
      <c r="C653" t="s">
        <v>31</v>
      </c>
      <c r="D653" t="s">
        <v>56</v>
      </c>
      <c r="E653" t="s">
        <v>934</v>
      </c>
      <c r="F653" t="s">
        <v>288</v>
      </c>
      <c r="G653" t="s">
        <v>269</v>
      </c>
      <c r="H653" t="s">
        <v>729</v>
      </c>
      <c r="I653">
        <v>56295</v>
      </c>
      <c r="J653" s="3">
        <v>675540</v>
      </c>
      <c r="K653" s="2">
        <v>31150</v>
      </c>
      <c r="L653" t="s">
        <v>51</v>
      </c>
      <c r="M653" t="s">
        <v>210</v>
      </c>
      <c r="N653">
        <v>55320</v>
      </c>
      <c r="O653" t="s">
        <v>73</v>
      </c>
      <c r="P653" t="s">
        <v>32</v>
      </c>
      <c r="Q653" t="s">
        <v>160</v>
      </c>
      <c r="R653" s="2">
        <v>44612</v>
      </c>
      <c r="S653" s="1" t="s">
        <v>728</v>
      </c>
      <c r="T653">
        <v>1</v>
      </c>
      <c r="U653" t="s">
        <v>298</v>
      </c>
      <c r="V653">
        <v>2</v>
      </c>
      <c r="W653" t="s">
        <v>87</v>
      </c>
      <c r="X653">
        <v>1</v>
      </c>
      <c r="Y653" t="s">
        <v>142</v>
      </c>
      <c r="Z653">
        <v>3</v>
      </c>
      <c r="AA653" t="s">
        <v>95</v>
      </c>
      <c r="AB653">
        <v>2.6</v>
      </c>
      <c r="AC653" t="s">
        <v>1003</v>
      </c>
      <c r="AD653">
        <v>2</v>
      </c>
      <c r="AE653" s="2">
        <v>45877</v>
      </c>
      <c r="AF653">
        <v>3</v>
      </c>
      <c r="AG653">
        <v>8</v>
      </c>
    </row>
    <row r="654" spans="1:33">
      <c r="A654">
        <v>10353</v>
      </c>
      <c r="B654" t="s">
        <v>1574</v>
      </c>
      <c r="C654" t="s">
        <v>31</v>
      </c>
      <c r="D654" t="s">
        <v>42</v>
      </c>
      <c r="E654" t="s">
        <v>929</v>
      </c>
      <c r="F654" t="s">
        <v>113</v>
      </c>
      <c r="G654" t="s">
        <v>28</v>
      </c>
      <c r="H654" t="s">
        <v>730</v>
      </c>
      <c r="I654">
        <v>114666</v>
      </c>
      <c r="J654" s="3">
        <v>1375992</v>
      </c>
      <c r="K654" s="2">
        <v>35225</v>
      </c>
      <c r="L654" t="s">
        <v>51</v>
      </c>
      <c r="M654" t="s">
        <v>144</v>
      </c>
      <c r="N654">
        <v>98034</v>
      </c>
      <c r="O654" t="s">
        <v>73</v>
      </c>
      <c r="P654" t="s">
        <v>32</v>
      </c>
      <c r="Q654" t="s">
        <v>204</v>
      </c>
      <c r="R654" s="2">
        <v>43647</v>
      </c>
      <c r="S654" s="1" t="s">
        <v>35</v>
      </c>
      <c r="T654">
        <v>0</v>
      </c>
      <c r="U654" t="s">
        <v>36</v>
      </c>
      <c r="V654">
        <v>1</v>
      </c>
      <c r="W654" t="s">
        <v>87</v>
      </c>
      <c r="X654">
        <v>0</v>
      </c>
      <c r="Y654" t="s">
        <v>142</v>
      </c>
      <c r="Z654">
        <v>4</v>
      </c>
      <c r="AA654" t="s">
        <v>95</v>
      </c>
      <c r="AB654">
        <v>3.9</v>
      </c>
      <c r="AC654" t="s">
        <v>1003</v>
      </c>
      <c r="AD654">
        <v>2</v>
      </c>
      <c r="AE654" s="2">
        <v>45948</v>
      </c>
      <c r="AF654">
        <v>5</v>
      </c>
      <c r="AG654">
        <v>10</v>
      </c>
    </row>
    <row r="655" spans="1:33">
      <c r="A655">
        <v>10354</v>
      </c>
      <c r="B655" t="s">
        <v>1575</v>
      </c>
      <c r="C655" t="s">
        <v>42</v>
      </c>
      <c r="D655" t="s">
        <v>56</v>
      </c>
      <c r="E655" t="s">
        <v>934</v>
      </c>
      <c r="F655" t="s">
        <v>113</v>
      </c>
      <c r="G655" t="s">
        <v>294</v>
      </c>
      <c r="H655" t="s">
        <v>732</v>
      </c>
      <c r="I655">
        <v>104079</v>
      </c>
      <c r="J655" s="3">
        <v>1248948</v>
      </c>
      <c r="K655" s="2">
        <v>25735</v>
      </c>
      <c r="L655" t="s">
        <v>264</v>
      </c>
      <c r="M655" t="s">
        <v>191</v>
      </c>
      <c r="N655">
        <v>95399</v>
      </c>
      <c r="O655" t="s">
        <v>33</v>
      </c>
      <c r="P655" t="s">
        <v>124</v>
      </c>
      <c r="Q655" t="s">
        <v>204</v>
      </c>
      <c r="R655" s="2">
        <v>43332</v>
      </c>
      <c r="S655" s="1" t="s">
        <v>731</v>
      </c>
      <c r="T655">
        <v>0</v>
      </c>
      <c r="U655" t="s">
        <v>36</v>
      </c>
      <c r="V655">
        <v>3</v>
      </c>
      <c r="W655" t="s">
        <v>36</v>
      </c>
      <c r="X655">
        <v>0</v>
      </c>
      <c r="Y655" t="s">
        <v>142</v>
      </c>
      <c r="Z655">
        <v>3</v>
      </c>
      <c r="AA655" t="s">
        <v>136</v>
      </c>
      <c r="AB655">
        <v>2.8</v>
      </c>
      <c r="AC655" t="s">
        <v>930</v>
      </c>
      <c r="AD655">
        <v>4</v>
      </c>
      <c r="AE655" s="2">
        <v>45696</v>
      </c>
      <c r="AF655">
        <v>5</v>
      </c>
      <c r="AG655">
        <v>1</v>
      </c>
    </row>
    <row r="656" spans="1:33">
      <c r="A656">
        <v>10355</v>
      </c>
      <c r="B656" t="s">
        <v>1576</v>
      </c>
      <c r="C656" t="s">
        <v>31</v>
      </c>
      <c r="D656" t="s">
        <v>31</v>
      </c>
      <c r="E656" t="s">
        <v>934</v>
      </c>
      <c r="F656" t="s">
        <v>283</v>
      </c>
      <c r="G656" t="s">
        <v>294</v>
      </c>
      <c r="H656" t="s">
        <v>734</v>
      </c>
      <c r="I656">
        <v>31231</v>
      </c>
      <c r="J656" s="3">
        <v>374772</v>
      </c>
      <c r="K656" s="2">
        <v>24508</v>
      </c>
      <c r="L656" t="s">
        <v>264</v>
      </c>
      <c r="M656" t="s">
        <v>191</v>
      </c>
      <c r="N656">
        <v>77840</v>
      </c>
      <c r="O656" t="s">
        <v>33</v>
      </c>
      <c r="P656" t="s">
        <v>124</v>
      </c>
      <c r="Q656" t="s">
        <v>34</v>
      </c>
      <c r="R656" s="2">
        <v>44303</v>
      </c>
      <c r="S656" s="1" t="s">
        <v>733</v>
      </c>
      <c r="T656">
        <v>0</v>
      </c>
      <c r="U656" t="s">
        <v>36</v>
      </c>
      <c r="V656">
        <v>3</v>
      </c>
      <c r="W656" t="s">
        <v>45</v>
      </c>
      <c r="X656">
        <v>1</v>
      </c>
      <c r="Y656" t="s">
        <v>142</v>
      </c>
      <c r="Z656">
        <v>4</v>
      </c>
      <c r="AA656" t="s">
        <v>95</v>
      </c>
      <c r="AB656">
        <v>3.8</v>
      </c>
      <c r="AC656" t="s">
        <v>1003</v>
      </c>
      <c r="AD656">
        <v>0</v>
      </c>
      <c r="AE656" s="2">
        <v>45577</v>
      </c>
      <c r="AF656">
        <v>1</v>
      </c>
      <c r="AG656">
        <v>5</v>
      </c>
    </row>
    <row r="657" spans="1:33">
      <c r="A657">
        <v>10356</v>
      </c>
      <c r="B657" t="s">
        <v>1577</v>
      </c>
      <c r="C657" t="s">
        <v>31</v>
      </c>
      <c r="D657" t="s">
        <v>56</v>
      </c>
      <c r="E657" t="s">
        <v>929</v>
      </c>
      <c r="F657" t="s">
        <v>278</v>
      </c>
      <c r="G657" t="s">
        <v>294</v>
      </c>
      <c r="H657" t="s">
        <v>735</v>
      </c>
      <c r="I657">
        <v>40922</v>
      </c>
      <c r="J657" s="3">
        <v>491064</v>
      </c>
      <c r="K657" s="2">
        <v>34269</v>
      </c>
      <c r="L657" t="s">
        <v>264</v>
      </c>
      <c r="M657" t="s">
        <v>191</v>
      </c>
      <c r="N657">
        <v>74587</v>
      </c>
      <c r="O657" t="s">
        <v>73</v>
      </c>
      <c r="P657" t="s">
        <v>32</v>
      </c>
      <c r="Q657" t="s">
        <v>204</v>
      </c>
      <c r="R657" s="2">
        <v>43779</v>
      </c>
      <c r="S657" s="1" t="s">
        <v>533</v>
      </c>
      <c r="T657">
        <v>0</v>
      </c>
      <c r="U657" t="s">
        <v>36</v>
      </c>
      <c r="V657">
        <v>1</v>
      </c>
      <c r="W657" t="s">
        <v>36</v>
      </c>
      <c r="X657">
        <v>0</v>
      </c>
      <c r="Y657" t="s">
        <v>280</v>
      </c>
      <c r="Z657">
        <v>3</v>
      </c>
      <c r="AA657" t="s">
        <v>136</v>
      </c>
      <c r="AB657">
        <v>4</v>
      </c>
      <c r="AC657" t="s">
        <v>937</v>
      </c>
      <c r="AD657">
        <v>1</v>
      </c>
      <c r="AE657" s="2">
        <v>45957</v>
      </c>
      <c r="AF657">
        <v>0</v>
      </c>
      <c r="AG657">
        <v>10</v>
      </c>
    </row>
    <row r="658" spans="1:33">
      <c r="A658">
        <v>10357</v>
      </c>
      <c r="B658" t="s">
        <v>1578</v>
      </c>
      <c r="C658" t="s">
        <v>31</v>
      </c>
      <c r="D658" t="s">
        <v>42</v>
      </c>
      <c r="E658" t="s">
        <v>929</v>
      </c>
      <c r="F658" t="s">
        <v>283</v>
      </c>
      <c r="G658" t="s">
        <v>62</v>
      </c>
      <c r="H658" t="s">
        <v>736</v>
      </c>
      <c r="I658">
        <v>36367</v>
      </c>
      <c r="J658" s="3">
        <v>436404</v>
      </c>
      <c r="K658" s="2">
        <v>30453</v>
      </c>
      <c r="L658" t="s">
        <v>264</v>
      </c>
      <c r="M658" t="s">
        <v>144</v>
      </c>
      <c r="N658">
        <v>70876</v>
      </c>
      <c r="O658" t="s">
        <v>33</v>
      </c>
      <c r="P658" t="s">
        <v>32</v>
      </c>
      <c r="Q658" t="s">
        <v>34</v>
      </c>
      <c r="R658" s="2">
        <v>45338</v>
      </c>
      <c r="S658" s="1" t="s">
        <v>35</v>
      </c>
      <c r="T658">
        <v>1</v>
      </c>
      <c r="U658" t="s">
        <v>290</v>
      </c>
      <c r="V658">
        <v>2</v>
      </c>
      <c r="W658" t="s">
        <v>45</v>
      </c>
      <c r="X658">
        <v>0</v>
      </c>
      <c r="Y658" t="s">
        <v>39</v>
      </c>
      <c r="Z658">
        <v>2</v>
      </c>
      <c r="AA658" t="s">
        <v>136</v>
      </c>
      <c r="AB658">
        <v>4.8</v>
      </c>
      <c r="AC658" t="s">
        <v>962</v>
      </c>
      <c r="AD658">
        <v>3</v>
      </c>
      <c r="AE658" s="2">
        <v>45968</v>
      </c>
      <c r="AF658">
        <v>4</v>
      </c>
      <c r="AG658">
        <v>9</v>
      </c>
    </row>
    <row r="659" spans="1:33">
      <c r="A659">
        <v>10358</v>
      </c>
      <c r="B659" t="s">
        <v>1579</v>
      </c>
      <c r="C659" t="s">
        <v>31</v>
      </c>
      <c r="D659" t="s">
        <v>31</v>
      </c>
      <c r="E659" t="s">
        <v>929</v>
      </c>
      <c r="F659" t="s">
        <v>113</v>
      </c>
      <c r="G659" t="s">
        <v>294</v>
      </c>
      <c r="H659" t="s">
        <v>737</v>
      </c>
      <c r="I659">
        <v>50709</v>
      </c>
      <c r="J659" s="3">
        <v>608508</v>
      </c>
      <c r="K659" s="2">
        <v>25813</v>
      </c>
      <c r="L659" t="s">
        <v>264</v>
      </c>
      <c r="M659" t="s">
        <v>191</v>
      </c>
      <c r="N659">
        <v>67546</v>
      </c>
      <c r="O659" t="s">
        <v>33</v>
      </c>
      <c r="P659" t="s">
        <v>32</v>
      </c>
      <c r="Q659" t="s">
        <v>92</v>
      </c>
      <c r="R659" s="2">
        <v>44843</v>
      </c>
      <c r="S659" s="1" t="s">
        <v>35</v>
      </c>
      <c r="T659">
        <v>0</v>
      </c>
      <c r="U659" t="s">
        <v>36</v>
      </c>
      <c r="V659">
        <v>3</v>
      </c>
      <c r="W659" t="s">
        <v>45</v>
      </c>
      <c r="X659">
        <v>0</v>
      </c>
      <c r="Y659" t="s">
        <v>142</v>
      </c>
      <c r="Z659">
        <v>1</v>
      </c>
      <c r="AA659" t="s">
        <v>49</v>
      </c>
      <c r="AB659">
        <v>4.9000000000000004</v>
      </c>
      <c r="AC659" t="s">
        <v>962</v>
      </c>
      <c r="AD659">
        <v>0</v>
      </c>
      <c r="AE659" s="2">
        <v>45736</v>
      </c>
      <c r="AF659">
        <v>4</v>
      </c>
      <c r="AG659">
        <v>5</v>
      </c>
    </row>
    <row r="660" spans="1:33">
      <c r="A660">
        <v>10359</v>
      </c>
      <c r="B660" t="s">
        <v>1580</v>
      </c>
      <c r="C660" t="s">
        <v>42</v>
      </c>
      <c r="D660" t="s">
        <v>56</v>
      </c>
      <c r="E660" t="s">
        <v>929</v>
      </c>
      <c r="F660" t="s">
        <v>288</v>
      </c>
      <c r="G660" t="s">
        <v>294</v>
      </c>
      <c r="H660" t="s">
        <v>739</v>
      </c>
      <c r="I660">
        <v>83456</v>
      </c>
      <c r="J660" s="3">
        <v>1001472</v>
      </c>
      <c r="K660" s="2">
        <v>31024</v>
      </c>
      <c r="L660" t="s">
        <v>51</v>
      </c>
      <c r="M660" t="s">
        <v>144</v>
      </c>
      <c r="N660">
        <v>13448</v>
      </c>
      <c r="O660" t="s">
        <v>73</v>
      </c>
      <c r="P660" t="s">
        <v>124</v>
      </c>
      <c r="Q660" t="s">
        <v>204</v>
      </c>
      <c r="R660" s="2">
        <v>45830</v>
      </c>
      <c r="S660" s="1" t="s">
        <v>738</v>
      </c>
      <c r="T660">
        <v>0</v>
      </c>
      <c r="U660" t="s">
        <v>36</v>
      </c>
      <c r="V660">
        <v>1</v>
      </c>
      <c r="W660" t="s">
        <v>87</v>
      </c>
      <c r="X660">
        <v>0</v>
      </c>
      <c r="Y660" t="s">
        <v>268</v>
      </c>
      <c r="Z660">
        <v>2</v>
      </c>
      <c r="AA660" t="s">
        <v>49</v>
      </c>
      <c r="AB660">
        <v>4.7</v>
      </c>
      <c r="AC660" t="s">
        <v>1003</v>
      </c>
      <c r="AD660">
        <v>5</v>
      </c>
      <c r="AE660" s="2">
        <v>45546</v>
      </c>
      <c r="AF660">
        <v>1</v>
      </c>
      <c r="AG660">
        <v>8</v>
      </c>
    </row>
    <row r="661" spans="1:33">
      <c r="A661">
        <v>10360</v>
      </c>
      <c r="B661" t="s">
        <v>1581</v>
      </c>
      <c r="C661" t="s">
        <v>31</v>
      </c>
      <c r="D661" t="s">
        <v>31</v>
      </c>
      <c r="E661" t="s">
        <v>929</v>
      </c>
      <c r="F661" t="s">
        <v>113</v>
      </c>
      <c r="G661" t="s">
        <v>28</v>
      </c>
      <c r="H661" t="s">
        <v>741</v>
      </c>
      <c r="I661">
        <v>89937</v>
      </c>
      <c r="J661" s="3">
        <v>1079244</v>
      </c>
      <c r="K661" s="2">
        <v>36155</v>
      </c>
      <c r="L661" t="s">
        <v>51</v>
      </c>
      <c r="M661" t="s">
        <v>191</v>
      </c>
      <c r="N661">
        <v>88392</v>
      </c>
      <c r="O661" t="s">
        <v>33</v>
      </c>
      <c r="P661" t="s">
        <v>124</v>
      </c>
      <c r="Q661" t="s">
        <v>204</v>
      </c>
      <c r="R661" s="2">
        <v>45218</v>
      </c>
      <c r="S661" s="1" t="s">
        <v>740</v>
      </c>
      <c r="T661">
        <v>0</v>
      </c>
      <c r="U661" t="s">
        <v>36</v>
      </c>
      <c r="V661">
        <v>3</v>
      </c>
      <c r="W661" t="s">
        <v>87</v>
      </c>
      <c r="X661">
        <v>1</v>
      </c>
      <c r="Y661" t="s">
        <v>142</v>
      </c>
      <c r="Z661">
        <v>1</v>
      </c>
      <c r="AA661" t="s">
        <v>49</v>
      </c>
      <c r="AB661">
        <v>3.8</v>
      </c>
      <c r="AC661" t="s">
        <v>930</v>
      </c>
      <c r="AD661">
        <v>5</v>
      </c>
      <c r="AE661" s="2">
        <v>45884</v>
      </c>
      <c r="AF661">
        <v>5</v>
      </c>
      <c r="AG661">
        <v>3</v>
      </c>
    </row>
    <row r="662" spans="1:33">
      <c r="A662">
        <v>10361</v>
      </c>
      <c r="B662" t="s">
        <v>1582</v>
      </c>
      <c r="C662" t="s">
        <v>31</v>
      </c>
      <c r="D662" t="s">
        <v>56</v>
      </c>
      <c r="E662" t="s">
        <v>929</v>
      </c>
      <c r="F662" t="s">
        <v>271</v>
      </c>
      <c r="G662" t="s">
        <v>294</v>
      </c>
      <c r="H662" t="s">
        <v>743</v>
      </c>
      <c r="I662">
        <v>75664</v>
      </c>
      <c r="J662" s="3">
        <v>907968</v>
      </c>
      <c r="K662" s="2">
        <v>25995</v>
      </c>
      <c r="L662" t="s">
        <v>51</v>
      </c>
      <c r="M662" t="s">
        <v>80</v>
      </c>
      <c r="N662">
        <v>21467</v>
      </c>
      <c r="O662" t="s">
        <v>73</v>
      </c>
      <c r="P662" t="s">
        <v>124</v>
      </c>
      <c r="Q662" t="s">
        <v>34</v>
      </c>
      <c r="R662" s="2">
        <v>42978</v>
      </c>
      <c r="S662" s="1" t="s">
        <v>742</v>
      </c>
      <c r="T662">
        <v>0</v>
      </c>
      <c r="U662" t="s">
        <v>36</v>
      </c>
      <c r="V662">
        <v>3</v>
      </c>
      <c r="W662" t="s">
        <v>36</v>
      </c>
      <c r="X662">
        <v>0</v>
      </c>
      <c r="Y662" t="s">
        <v>280</v>
      </c>
      <c r="Z662">
        <v>1</v>
      </c>
      <c r="AA662" t="s">
        <v>276</v>
      </c>
      <c r="AB662">
        <v>3.3</v>
      </c>
      <c r="AC662" t="s">
        <v>937</v>
      </c>
      <c r="AD662">
        <v>4</v>
      </c>
      <c r="AE662" s="2">
        <v>45792</v>
      </c>
      <c r="AF662">
        <v>1</v>
      </c>
      <c r="AG662">
        <v>1</v>
      </c>
    </row>
    <row r="663" spans="1:33">
      <c r="A663">
        <v>10362</v>
      </c>
      <c r="B663" t="s">
        <v>1583</v>
      </c>
      <c r="C663" t="s">
        <v>42</v>
      </c>
      <c r="D663" t="s">
        <v>56</v>
      </c>
      <c r="E663" t="s">
        <v>929</v>
      </c>
      <c r="F663" t="s">
        <v>278</v>
      </c>
      <c r="G663" t="s">
        <v>62</v>
      </c>
      <c r="H663" t="s">
        <v>744</v>
      </c>
      <c r="I663">
        <v>118170</v>
      </c>
      <c r="J663" s="3">
        <v>1418040</v>
      </c>
      <c r="K663" s="2">
        <v>35020</v>
      </c>
      <c r="L663" t="s">
        <v>264</v>
      </c>
      <c r="M663" t="s">
        <v>144</v>
      </c>
      <c r="N663">
        <v>33348</v>
      </c>
      <c r="O663" t="s">
        <v>73</v>
      </c>
      <c r="P663" t="s">
        <v>32</v>
      </c>
      <c r="Q663" t="s">
        <v>92</v>
      </c>
      <c r="R663" s="2">
        <v>42506</v>
      </c>
      <c r="S663" s="1" t="s">
        <v>35</v>
      </c>
      <c r="T663">
        <v>1</v>
      </c>
      <c r="U663" t="s">
        <v>290</v>
      </c>
      <c r="V663">
        <v>1</v>
      </c>
      <c r="W663" t="s">
        <v>36</v>
      </c>
      <c r="X663">
        <v>1</v>
      </c>
      <c r="Y663" t="s">
        <v>48</v>
      </c>
      <c r="Z663">
        <v>2</v>
      </c>
      <c r="AA663" t="s">
        <v>276</v>
      </c>
      <c r="AB663">
        <v>3.3</v>
      </c>
      <c r="AC663" t="s">
        <v>937</v>
      </c>
      <c r="AD663">
        <v>3</v>
      </c>
      <c r="AE663" s="2">
        <v>45696</v>
      </c>
      <c r="AF663">
        <v>0</v>
      </c>
      <c r="AG663">
        <v>0</v>
      </c>
    </row>
    <row r="664" spans="1:33">
      <c r="A664">
        <v>10363</v>
      </c>
      <c r="B664" t="s">
        <v>1584</v>
      </c>
      <c r="C664" t="s">
        <v>31</v>
      </c>
      <c r="D664" t="s">
        <v>42</v>
      </c>
      <c r="E664" t="s">
        <v>929</v>
      </c>
      <c r="F664" t="s">
        <v>283</v>
      </c>
      <c r="G664" t="s">
        <v>277</v>
      </c>
      <c r="H664" t="s">
        <v>745</v>
      </c>
      <c r="I664">
        <v>71243</v>
      </c>
      <c r="J664" s="3">
        <v>854916</v>
      </c>
      <c r="K664" s="2">
        <v>35159</v>
      </c>
      <c r="L664" t="s">
        <v>51</v>
      </c>
      <c r="M664" t="s">
        <v>29</v>
      </c>
      <c r="N664">
        <v>55969</v>
      </c>
      <c r="O664" t="s">
        <v>33</v>
      </c>
      <c r="P664" t="s">
        <v>32</v>
      </c>
      <c r="Q664" t="s">
        <v>160</v>
      </c>
      <c r="R664" s="2">
        <v>44662</v>
      </c>
      <c r="S664" s="1" t="s">
        <v>35</v>
      </c>
      <c r="T664">
        <v>1</v>
      </c>
      <c r="U664" t="s">
        <v>290</v>
      </c>
      <c r="V664">
        <v>1</v>
      </c>
      <c r="W664" t="s">
        <v>87</v>
      </c>
      <c r="X664">
        <v>1</v>
      </c>
      <c r="Y664" t="s">
        <v>39</v>
      </c>
      <c r="Z664">
        <v>3</v>
      </c>
      <c r="AA664" t="s">
        <v>49</v>
      </c>
      <c r="AB664">
        <v>3.7</v>
      </c>
      <c r="AC664" t="s">
        <v>937</v>
      </c>
      <c r="AD664">
        <v>0</v>
      </c>
      <c r="AE664" s="2">
        <v>45734</v>
      </c>
      <c r="AF664">
        <v>0</v>
      </c>
      <c r="AG664">
        <v>0</v>
      </c>
    </row>
    <row r="665" spans="1:33">
      <c r="A665">
        <v>10364</v>
      </c>
      <c r="B665" t="s">
        <v>1585</v>
      </c>
      <c r="C665" t="s">
        <v>42</v>
      </c>
      <c r="D665" t="s">
        <v>56</v>
      </c>
      <c r="E665" t="s">
        <v>934</v>
      </c>
      <c r="F665" t="s">
        <v>271</v>
      </c>
      <c r="G665" t="s">
        <v>62</v>
      </c>
      <c r="H665" t="s">
        <v>746</v>
      </c>
      <c r="I665">
        <v>69799</v>
      </c>
      <c r="J665" s="3">
        <v>837588</v>
      </c>
      <c r="K665" s="2">
        <v>34011</v>
      </c>
      <c r="L665" t="s">
        <v>264</v>
      </c>
      <c r="M665" t="s">
        <v>29</v>
      </c>
      <c r="N665">
        <v>33318</v>
      </c>
      <c r="O665" t="s">
        <v>73</v>
      </c>
      <c r="P665" t="s">
        <v>124</v>
      </c>
      <c r="Q665" t="s">
        <v>92</v>
      </c>
      <c r="R665" s="2">
        <v>43190</v>
      </c>
      <c r="S665" s="1" t="s">
        <v>35</v>
      </c>
      <c r="T665">
        <v>1</v>
      </c>
      <c r="U665" t="s">
        <v>36</v>
      </c>
      <c r="V665">
        <v>3</v>
      </c>
      <c r="W665" t="s">
        <v>36</v>
      </c>
      <c r="X665">
        <v>1</v>
      </c>
      <c r="Y665" t="s">
        <v>268</v>
      </c>
      <c r="Z665">
        <v>1</v>
      </c>
      <c r="AA665" t="s">
        <v>276</v>
      </c>
      <c r="AB665">
        <v>4.0999999999999996</v>
      </c>
      <c r="AC665" t="s">
        <v>932</v>
      </c>
      <c r="AD665">
        <v>3</v>
      </c>
      <c r="AE665" s="2">
        <v>45871</v>
      </c>
      <c r="AF665">
        <v>5</v>
      </c>
      <c r="AG665">
        <v>9</v>
      </c>
    </row>
    <row r="666" spans="1:33">
      <c r="A666">
        <v>10365</v>
      </c>
      <c r="B666" t="s">
        <v>1586</v>
      </c>
      <c r="C666" t="s">
        <v>42</v>
      </c>
      <c r="D666" t="s">
        <v>42</v>
      </c>
      <c r="E666" t="s">
        <v>929</v>
      </c>
      <c r="F666" t="s">
        <v>271</v>
      </c>
      <c r="G666" t="s">
        <v>294</v>
      </c>
      <c r="H666" t="s">
        <v>748</v>
      </c>
      <c r="I666">
        <v>48050</v>
      </c>
      <c r="J666" s="3">
        <v>576600</v>
      </c>
      <c r="K666" s="2">
        <v>27123</v>
      </c>
      <c r="L666" t="s">
        <v>264</v>
      </c>
      <c r="M666" t="s">
        <v>29</v>
      </c>
      <c r="N666">
        <v>38162</v>
      </c>
      <c r="O666" t="s">
        <v>73</v>
      </c>
      <c r="P666" t="s">
        <v>32</v>
      </c>
      <c r="Q666" t="s">
        <v>160</v>
      </c>
      <c r="R666" s="2">
        <v>44701</v>
      </c>
      <c r="S666" s="1" t="s">
        <v>747</v>
      </c>
      <c r="T666">
        <v>0</v>
      </c>
      <c r="U666" t="s">
        <v>36</v>
      </c>
      <c r="V666">
        <v>3</v>
      </c>
      <c r="W666" t="s">
        <v>45</v>
      </c>
      <c r="X666">
        <v>0</v>
      </c>
      <c r="Y666" t="s">
        <v>39</v>
      </c>
      <c r="Z666">
        <v>1</v>
      </c>
      <c r="AA666" t="s">
        <v>49</v>
      </c>
      <c r="AB666">
        <v>4.3</v>
      </c>
      <c r="AC666" t="s">
        <v>932</v>
      </c>
      <c r="AD666">
        <v>2</v>
      </c>
      <c r="AE666" s="2">
        <v>45779</v>
      </c>
      <c r="AF666">
        <v>2</v>
      </c>
      <c r="AG666">
        <v>8</v>
      </c>
    </row>
    <row r="667" spans="1:33">
      <c r="A667">
        <v>10366</v>
      </c>
      <c r="B667" t="s">
        <v>1587</v>
      </c>
      <c r="C667" t="s">
        <v>31</v>
      </c>
      <c r="D667" t="s">
        <v>31</v>
      </c>
      <c r="E667" t="s">
        <v>929</v>
      </c>
      <c r="F667" t="s">
        <v>274</v>
      </c>
      <c r="G667" t="s">
        <v>28</v>
      </c>
      <c r="H667" t="s">
        <v>749</v>
      </c>
      <c r="I667">
        <v>59999</v>
      </c>
      <c r="J667" s="3">
        <v>719988</v>
      </c>
      <c r="K667" s="2">
        <v>37145</v>
      </c>
      <c r="L667" t="s">
        <v>264</v>
      </c>
      <c r="M667" t="s">
        <v>191</v>
      </c>
      <c r="N667">
        <v>54900</v>
      </c>
      <c r="O667" t="s">
        <v>73</v>
      </c>
      <c r="P667" t="s">
        <v>124</v>
      </c>
      <c r="Q667" t="s">
        <v>160</v>
      </c>
      <c r="R667" s="2">
        <v>45214</v>
      </c>
      <c r="S667" s="1" t="s">
        <v>35</v>
      </c>
      <c r="T667">
        <v>0</v>
      </c>
      <c r="U667" t="s">
        <v>36</v>
      </c>
      <c r="V667">
        <v>3</v>
      </c>
      <c r="W667" t="s">
        <v>36</v>
      </c>
      <c r="X667">
        <v>0</v>
      </c>
      <c r="Y667" t="s">
        <v>268</v>
      </c>
      <c r="Z667">
        <v>3</v>
      </c>
      <c r="AA667" t="s">
        <v>276</v>
      </c>
      <c r="AB667">
        <v>3.6</v>
      </c>
      <c r="AC667" t="s">
        <v>1003</v>
      </c>
      <c r="AD667">
        <v>5</v>
      </c>
      <c r="AE667" s="2">
        <v>45624</v>
      </c>
      <c r="AF667">
        <v>2</v>
      </c>
      <c r="AG667">
        <v>2</v>
      </c>
    </row>
    <row r="668" spans="1:33">
      <c r="A668">
        <v>10367</v>
      </c>
      <c r="B668" t="s">
        <v>1588</v>
      </c>
      <c r="C668" t="s">
        <v>31</v>
      </c>
      <c r="D668" t="s">
        <v>31</v>
      </c>
      <c r="E668" t="s">
        <v>929</v>
      </c>
      <c r="F668" t="s">
        <v>278</v>
      </c>
      <c r="G668" t="s">
        <v>28</v>
      </c>
      <c r="H668" t="s">
        <v>751</v>
      </c>
      <c r="I668">
        <v>102327</v>
      </c>
      <c r="J668" s="3">
        <v>1227924</v>
      </c>
      <c r="K668" s="2">
        <v>33567</v>
      </c>
      <c r="L668" t="s">
        <v>51</v>
      </c>
      <c r="M668" t="s">
        <v>210</v>
      </c>
      <c r="N668">
        <v>28334</v>
      </c>
      <c r="O668" t="s">
        <v>73</v>
      </c>
      <c r="P668" t="s">
        <v>32</v>
      </c>
      <c r="Q668" t="s">
        <v>160</v>
      </c>
      <c r="R668" s="2">
        <v>43111</v>
      </c>
      <c r="S668" s="1" t="s">
        <v>750</v>
      </c>
      <c r="T668">
        <v>0</v>
      </c>
      <c r="U668" t="s">
        <v>36</v>
      </c>
      <c r="V668">
        <v>1</v>
      </c>
      <c r="W668" t="s">
        <v>45</v>
      </c>
      <c r="X668">
        <v>0</v>
      </c>
      <c r="Y668" t="s">
        <v>280</v>
      </c>
      <c r="Z668">
        <v>1</v>
      </c>
      <c r="AA668" t="s">
        <v>136</v>
      </c>
      <c r="AB668">
        <v>3.1</v>
      </c>
      <c r="AC668" t="s">
        <v>962</v>
      </c>
      <c r="AD668">
        <v>1</v>
      </c>
      <c r="AE668" s="2">
        <v>45963</v>
      </c>
      <c r="AF668">
        <v>0</v>
      </c>
      <c r="AG668">
        <v>8</v>
      </c>
    </row>
    <row r="669" spans="1:33">
      <c r="A669">
        <v>10368</v>
      </c>
      <c r="B669" t="s">
        <v>1589</v>
      </c>
      <c r="C669" t="s">
        <v>42</v>
      </c>
      <c r="D669" t="s">
        <v>31</v>
      </c>
      <c r="E669" t="s">
        <v>934</v>
      </c>
      <c r="F669" t="s">
        <v>271</v>
      </c>
      <c r="G669" t="s">
        <v>294</v>
      </c>
      <c r="H669" t="s">
        <v>752</v>
      </c>
      <c r="I669">
        <v>60865</v>
      </c>
      <c r="J669" s="3">
        <v>730380</v>
      </c>
      <c r="K669" s="2">
        <v>30980</v>
      </c>
      <c r="L669" t="s">
        <v>264</v>
      </c>
      <c r="M669" t="s">
        <v>80</v>
      </c>
      <c r="N669">
        <v>18040</v>
      </c>
      <c r="O669" t="s">
        <v>73</v>
      </c>
      <c r="P669" t="s">
        <v>32</v>
      </c>
      <c r="Q669" t="s">
        <v>204</v>
      </c>
      <c r="R669" s="2">
        <v>44043</v>
      </c>
      <c r="S669" s="1" t="s">
        <v>35</v>
      </c>
      <c r="T669">
        <v>0</v>
      </c>
      <c r="U669" t="s">
        <v>36</v>
      </c>
      <c r="V669">
        <v>2</v>
      </c>
      <c r="W669" t="s">
        <v>45</v>
      </c>
      <c r="X669">
        <v>1</v>
      </c>
      <c r="Y669" t="s">
        <v>142</v>
      </c>
      <c r="Z669">
        <v>2</v>
      </c>
      <c r="AA669" t="s">
        <v>276</v>
      </c>
      <c r="AB669">
        <v>2.6</v>
      </c>
      <c r="AC669" t="s">
        <v>937</v>
      </c>
      <c r="AD669">
        <v>1</v>
      </c>
      <c r="AE669" s="2">
        <v>45684</v>
      </c>
      <c r="AF669">
        <v>5</v>
      </c>
      <c r="AG669">
        <v>5</v>
      </c>
    </row>
    <row r="670" spans="1:33">
      <c r="A670">
        <v>10369</v>
      </c>
      <c r="B670" t="s">
        <v>1590</v>
      </c>
      <c r="C670" t="s">
        <v>42</v>
      </c>
      <c r="D670" t="s">
        <v>56</v>
      </c>
      <c r="E670" t="s">
        <v>929</v>
      </c>
      <c r="F670" t="s">
        <v>278</v>
      </c>
      <c r="G670" t="s">
        <v>269</v>
      </c>
      <c r="H670" t="s">
        <v>753</v>
      </c>
      <c r="I670">
        <v>67564</v>
      </c>
      <c r="J670" s="3">
        <v>810768</v>
      </c>
      <c r="K670" s="2">
        <v>33129</v>
      </c>
      <c r="L670" t="s">
        <v>51</v>
      </c>
      <c r="M670" t="s">
        <v>191</v>
      </c>
      <c r="N670">
        <v>83324</v>
      </c>
      <c r="O670" t="s">
        <v>33</v>
      </c>
      <c r="P670" t="s">
        <v>32</v>
      </c>
      <c r="Q670" t="s">
        <v>160</v>
      </c>
      <c r="R670" s="2">
        <v>43208</v>
      </c>
      <c r="S670" s="1" t="s">
        <v>35</v>
      </c>
      <c r="T670">
        <v>0</v>
      </c>
      <c r="U670" t="s">
        <v>36</v>
      </c>
      <c r="V670">
        <v>3</v>
      </c>
      <c r="W670" t="s">
        <v>36</v>
      </c>
      <c r="X670">
        <v>1</v>
      </c>
      <c r="Y670" t="s">
        <v>268</v>
      </c>
      <c r="Z670">
        <v>1</v>
      </c>
      <c r="AA670" t="s">
        <v>276</v>
      </c>
      <c r="AB670">
        <v>4.0999999999999996</v>
      </c>
      <c r="AC670" t="s">
        <v>930</v>
      </c>
      <c r="AD670">
        <v>3</v>
      </c>
      <c r="AE670" s="2">
        <v>45958</v>
      </c>
      <c r="AF670">
        <v>5</v>
      </c>
      <c r="AG670">
        <v>10</v>
      </c>
    </row>
    <row r="671" spans="1:33">
      <c r="A671">
        <v>10370</v>
      </c>
      <c r="B671" t="s">
        <v>1591</v>
      </c>
      <c r="C671" t="s">
        <v>42</v>
      </c>
      <c r="D671" t="s">
        <v>42</v>
      </c>
      <c r="E671" t="s">
        <v>929</v>
      </c>
      <c r="F671" t="s">
        <v>288</v>
      </c>
      <c r="G671" t="s">
        <v>28</v>
      </c>
      <c r="H671" t="s">
        <v>754</v>
      </c>
      <c r="I671">
        <v>79049</v>
      </c>
      <c r="J671" s="3">
        <v>948588</v>
      </c>
      <c r="K671" s="2">
        <v>33324</v>
      </c>
      <c r="L671" t="s">
        <v>51</v>
      </c>
      <c r="M671" t="s">
        <v>80</v>
      </c>
      <c r="N671">
        <v>62384</v>
      </c>
      <c r="O671" t="s">
        <v>33</v>
      </c>
      <c r="P671" t="s">
        <v>32</v>
      </c>
      <c r="Q671" t="s">
        <v>34</v>
      </c>
      <c r="R671" s="2">
        <v>45148</v>
      </c>
      <c r="S671" s="1" t="s">
        <v>35</v>
      </c>
      <c r="T671">
        <v>0</v>
      </c>
      <c r="U671" t="s">
        <v>36</v>
      </c>
      <c r="V671">
        <v>3</v>
      </c>
      <c r="W671" t="s">
        <v>36</v>
      </c>
      <c r="X671">
        <v>1</v>
      </c>
      <c r="Y671" t="s">
        <v>48</v>
      </c>
      <c r="Z671">
        <v>2</v>
      </c>
      <c r="AA671" t="s">
        <v>49</v>
      </c>
      <c r="AB671">
        <v>3.6</v>
      </c>
      <c r="AC671" t="s">
        <v>932</v>
      </c>
      <c r="AD671">
        <v>0</v>
      </c>
      <c r="AE671" s="2">
        <v>45963</v>
      </c>
      <c r="AF671">
        <v>1</v>
      </c>
      <c r="AG671">
        <v>3</v>
      </c>
    </row>
    <row r="672" spans="1:33">
      <c r="A672">
        <v>10371</v>
      </c>
      <c r="B672" t="s">
        <v>1592</v>
      </c>
      <c r="C672" t="s">
        <v>31</v>
      </c>
      <c r="D672" t="s">
        <v>42</v>
      </c>
      <c r="E672" t="s">
        <v>934</v>
      </c>
      <c r="F672" t="s">
        <v>271</v>
      </c>
      <c r="G672" t="s">
        <v>28</v>
      </c>
      <c r="H672" t="s">
        <v>756</v>
      </c>
      <c r="I672">
        <v>54442</v>
      </c>
      <c r="J672" s="3">
        <v>653304</v>
      </c>
      <c r="K672" s="2">
        <v>27271</v>
      </c>
      <c r="L672" t="s">
        <v>264</v>
      </c>
      <c r="M672" t="s">
        <v>80</v>
      </c>
      <c r="N672">
        <v>64153</v>
      </c>
      <c r="O672" t="s">
        <v>73</v>
      </c>
      <c r="P672" t="s">
        <v>124</v>
      </c>
      <c r="Q672" t="s">
        <v>204</v>
      </c>
      <c r="R672" s="2">
        <v>42337</v>
      </c>
      <c r="S672" s="1" t="s">
        <v>755</v>
      </c>
      <c r="T672">
        <v>0</v>
      </c>
      <c r="U672" t="s">
        <v>36</v>
      </c>
      <c r="V672">
        <v>3</v>
      </c>
      <c r="W672" t="s">
        <v>45</v>
      </c>
      <c r="X672">
        <v>1</v>
      </c>
      <c r="Y672" t="s">
        <v>142</v>
      </c>
      <c r="Z672">
        <v>4</v>
      </c>
      <c r="AA672" t="s">
        <v>276</v>
      </c>
      <c r="AB672">
        <v>2.8</v>
      </c>
      <c r="AC672" t="s">
        <v>932</v>
      </c>
      <c r="AD672">
        <v>3</v>
      </c>
      <c r="AE672" s="2">
        <v>45655</v>
      </c>
      <c r="AF672">
        <v>4</v>
      </c>
      <c r="AG672">
        <v>0</v>
      </c>
    </row>
    <row r="673" spans="1:33">
      <c r="A673">
        <v>10372</v>
      </c>
      <c r="B673" t="s">
        <v>1593</v>
      </c>
      <c r="C673" t="s">
        <v>31</v>
      </c>
      <c r="D673" t="s">
        <v>31</v>
      </c>
      <c r="E673" t="s">
        <v>929</v>
      </c>
      <c r="F673" t="s">
        <v>288</v>
      </c>
      <c r="G673" t="s">
        <v>277</v>
      </c>
      <c r="H673" t="s">
        <v>757</v>
      </c>
      <c r="I673">
        <v>57879</v>
      </c>
      <c r="J673" s="3">
        <v>694548</v>
      </c>
      <c r="K673" s="2">
        <v>25445</v>
      </c>
      <c r="L673" t="s">
        <v>51</v>
      </c>
      <c r="M673" t="s">
        <v>80</v>
      </c>
      <c r="N673">
        <v>51687</v>
      </c>
      <c r="O673" t="s">
        <v>73</v>
      </c>
      <c r="P673" t="s">
        <v>32</v>
      </c>
      <c r="Q673" t="s">
        <v>204</v>
      </c>
      <c r="R673" s="2">
        <v>44180</v>
      </c>
      <c r="S673" s="1" t="s">
        <v>35</v>
      </c>
      <c r="T673">
        <v>1</v>
      </c>
      <c r="U673" t="s">
        <v>36</v>
      </c>
      <c r="V673">
        <v>1</v>
      </c>
      <c r="W673" t="s">
        <v>36</v>
      </c>
      <c r="X673">
        <v>1</v>
      </c>
      <c r="Y673" t="s">
        <v>280</v>
      </c>
      <c r="Z673">
        <v>1</v>
      </c>
      <c r="AA673" t="s">
        <v>136</v>
      </c>
      <c r="AB673">
        <v>4.9000000000000004</v>
      </c>
      <c r="AC673" t="s">
        <v>937</v>
      </c>
      <c r="AD673">
        <v>1</v>
      </c>
      <c r="AE673" s="2">
        <v>45824</v>
      </c>
      <c r="AF673">
        <v>1</v>
      </c>
      <c r="AG673">
        <v>7</v>
      </c>
    </row>
    <row r="674" spans="1:33">
      <c r="A674">
        <v>10373</v>
      </c>
      <c r="B674" t="s">
        <v>1594</v>
      </c>
      <c r="C674" t="s">
        <v>31</v>
      </c>
      <c r="D674" t="s">
        <v>56</v>
      </c>
      <c r="E674" t="s">
        <v>929</v>
      </c>
      <c r="F674" t="s">
        <v>283</v>
      </c>
      <c r="G674" t="s">
        <v>62</v>
      </c>
      <c r="H674" t="s">
        <v>758</v>
      </c>
      <c r="I674">
        <v>116619</v>
      </c>
      <c r="J674" s="3">
        <v>1399428</v>
      </c>
      <c r="K674" s="2">
        <v>29682</v>
      </c>
      <c r="L674" t="s">
        <v>264</v>
      </c>
      <c r="M674" t="s">
        <v>210</v>
      </c>
      <c r="N674">
        <v>44283</v>
      </c>
      <c r="O674" t="s">
        <v>33</v>
      </c>
      <c r="P674" t="s">
        <v>124</v>
      </c>
      <c r="Q674" t="s">
        <v>92</v>
      </c>
      <c r="R674" s="2">
        <v>43903</v>
      </c>
      <c r="S674" s="1" t="s">
        <v>35</v>
      </c>
      <c r="T674">
        <v>0</v>
      </c>
      <c r="U674" t="s">
        <v>36</v>
      </c>
      <c r="V674">
        <v>2</v>
      </c>
      <c r="W674" t="s">
        <v>36</v>
      </c>
      <c r="X674">
        <v>0</v>
      </c>
      <c r="Y674" t="s">
        <v>280</v>
      </c>
      <c r="Z674">
        <v>1</v>
      </c>
      <c r="AA674" t="s">
        <v>49</v>
      </c>
      <c r="AB674">
        <v>4.4000000000000004</v>
      </c>
      <c r="AC674" t="s">
        <v>962</v>
      </c>
      <c r="AD674">
        <v>5</v>
      </c>
      <c r="AE674" s="2">
        <v>45733</v>
      </c>
      <c r="AF674">
        <v>5</v>
      </c>
      <c r="AG674">
        <v>0</v>
      </c>
    </row>
    <row r="675" spans="1:33">
      <c r="A675">
        <v>10374</v>
      </c>
      <c r="B675" t="s">
        <v>1595</v>
      </c>
      <c r="C675" t="s">
        <v>42</v>
      </c>
      <c r="D675" t="s">
        <v>42</v>
      </c>
      <c r="E675" t="s">
        <v>934</v>
      </c>
      <c r="F675" t="s">
        <v>274</v>
      </c>
      <c r="G675" t="s">
        <v>269</v>
      </c>
      <c r="H675" t="s">
        <v>759</v>
      </c>
      <c r="I675">
        <v>41541</v>
      </c>
      <c r="J675" s="3">
        <v>498492</v>
      </c>
      <c r="K675" s="2">
        <v>24188</v>
      </c>
      <c r="L675" t="s">
        <v>51</v>
      </c>
      <c r="M675" t="s">
        <v>29</v>
      </c>
      <c r="N675">
        <v>33479</v>
      </c>
      <c r="O675" t="s">
        <v>73</v>
      </c>
      <c r="P675" t="s">
        <v>32</v>
      </c>
      <c r="Q675" t="s">
        <v>270</v>
      </c>
      <c r="R675" s="2">
        <v>45677</v>
      </c>
      <c r="S675" s="1" t="s">
        <v>35</v>
      </c>
      <c r="T675">
        <v>1</v>
      </c>
      <c r="U675" t="s">
        <v>273</v>
      </c>
      <c r="V675">
        <v>3</v>
      </c>
      <c r="W675" t="s">
        <v>45</v>
      </c>
      <c r="X675">
        <v>0</v>
      </c>
      <c r="Y675" t="s">
        <v>142</v>
      </c>
      <c r="Z675">
        <v>1</v>
      </c>
      <c r="AA675" t="s">
        <v>49</v>
      </c>
      <c r="AB675">
        <v>3.4</v>
      </c>
      <c r="AC675" t="s">
        <v>932</v>
      </c>
      <c r="AD675">
        <v>1</v>
      </c>
      <c r="AE675" s="2">
        <v>45639</v>
      </c>
      <c r="AF675">
        <v>5</v>
      </c>
      <c r="AG675">
        <v>0</v>
      </c>
    </row>
    <row r="676" spans="1:33">
      <c r="A676">
        <v>10375</v>
      </c>
      <c r="B676" t="s">
        <v>1596</v>
      </c>
      <c r="C676" t="s">
        <v>42</v>
      </c>
      <c r="D676" t="s">
        <v>31</v>
      </c>
      <c r="E676" t="s">
        <v>929</v>
      </c>
      <c r="F676" t="s">
        <v>278</v>
      </c>
      <c r="G676" t="s">
        <v>277</v>
      </c>
      <c r="H676" t="s">
        <v>760</v>
      </c>
      <c r="I676">
        <v>65120</v>
      </c>
      <c r="J676" s="3">
        <v>781440</v>
      </c>
      <c r="K676" s="2">
        <v>31466</v>
      </c>
      <c r="L676" t="s">
        <v>51</v>
      </c>
      <c r="M676" t="s">
        <v>191</v>
      </c>
      <c r="N676">
        <v>41787</v>
      </c>
      <c r="O676" t="s">
        <v>73</v>
      </c>
      <c r="P676" t="s">
        <v>32</v>
      </c>
      <c r="Q676" t="s">
        <v>204</v>
      </c>
      <c r="R676" s="2">
        <v>42474</v>
      </c>
      <c r="S676" s="1" t="s">
        <v>35</v>
      </c>
      <c r="T676">
        <v>1</v>
      </c>
      <c r="U676" t="s">
        <v>36</v>
      </c>
      <c r="V676">
        <v>3</v>
      </c>
      <c r="W676" t="s">
        <v>87</v>
      </c>
      <c r="X676">
        <v>0</v>
      </c>
      <c r="Y676" t="s">
        <v>268</v>
      </c>
      <c r="Z676">
        <v>4</v>
      </c>
      <c r="AA676" t="s">
        <v>95</v>
      </c>
      <c r="AB676">
        <v>4</v>
      </c>
      <c r="AC676" t="s">
        <v>937</v>
      </c>
      <c r="AD676">
        <v>0</v>
      </c>
      <c r="AE676" s="2">
        <v>45362</v>
      </c>
      <c r="AF676">
        <v>4</v>
      </c>
      <c r="AG676">
        <v>8</v>
      </c>
    </row>
    <row r="677" spans="1:33">
      <c r="A677">
        <v>10376</v>
      </c>
      <c r="B677" t="s">
        <v>1597</v>
      </c>
      <c r="C677" t="s">
        <v>42</v>
      </c>
      <c r="D677" t="s">
        <v>42</v>
      </c>
      <c r="E677" t="s">
        <v>929</v>
      </c>
      <c r="F677" t="s">
        <v>278</v>
      </c>
      <c r="G677" t="s">
        <v>277</v>
      </c>
      <c r="H677" t="s">
        <v>762</v>
      </c>
      <c r="I677">
        <v>78516</v>
      </c>
      <c r="J677" s="3">
        <v>942192</v>
      </c>
      <c r="K677" s="2">
        <v>25092</v>
      </c>
      <c r="L677" t="s">
        <v>51</v>
      </c>
      <c r="M677" t="s">
        <v>210</v>
      </c>
      <c r="N677">
        <v>47439</v>
      </c>
      <c r="O677" t="s">
        <v>73</v>
      </c>
      <c r="P677" t="s">
        <v>32</v>
      </c>
      <c r="Q677" t="s">
        <v>92</v>
      </c>
      <c r="R677" s="2">
        <v>42701</v>
      </c>
      <c r="S677" s="1" t="s">
        <v>761</v>
      </c>
      <c r="T677">
        <v>0</v>
      </c>
      <c r="U677" t="s">
        <v>36</v>
      </c>
      <c r="V677">
        <v>1</v>
      </c>
      <c r="W677" t="s">
        <v>87</v>
      </c>
      <c r="X677">
        <v>0</v>
      </c>
      <c r="Y677" t="s">
        <v>280</v>
      </c>
      <c r="Z677">
        <v>1</v>
      </c>
      <c r="AA677" t="s">
        <v>136</v>
      </c>
      <c r="AB677">
        <v>4.0999999999999996</v>
      </c>
      <c r="AC677" t="s">
        <v>962</v>
      </c>
      <c r="AD677">
        <v>3</v>
      </c>
      <c r="AE677" s="2">
        <v>45612</v>
      </c>
      <c r="AF677">
        <v>1</v>
      </c>
      <c r="AG677">
        <v>9</v>
      </c>
    </row>
    <row r="678" spans="1:33">
      <c r="A678">
        <v>10377</v>
      </c>
      <c r="B678" t="s">
        <v>1598</v>
      </c>
      <c r="C678" t="s">
        <v>42</v>
      </c>
      <c r="D678" t="s">
        <v>56</v>
      </c>
      <c r="E678" t="s">
        <v>934</v>
      </c>
      <c r="F678" t="s">
        <v>278</v>
      </c>
      <c r="G678" t="s">
        <v>269</v>
      </c>
      <c r="H678" t="s">
        <v>763</v>
      </c>
      <c r="I678">
        <v>104399</v>
      </c>
      <c r="J678" s="3">
        <v>1252788</v>
      </c>
      <c r="K678" s="2">
        <v>25264</v>
      </c>
      <c r="L678" t="s">
        <v>264</v>
      </c>
      <c r="M678" t="s">
        <v>29</v>
      </c>
      <c r="N678">
        <v>8424</v>
      </c>
      <c r="O678" t="s">
        <v>33</v>
      </c>
      <c r="P678" t="s">
        <v>32</v>
      </c>
      <c r="Q678" t="s">
        <v>160</v>
      </c>
      <c r="R678" s="2">
        <v>44161</v>
      </c>
      <c r="S678" s="1" t="s">
        <v>35</v>
      </c>
      <c r="T678">
        <v>0</v>
      </c>
      <c r="U678" t="s">
        <v>36</v>
      </c>
      <c r="V678">
        <v>2</v>
      </c>
      <c r="W678" t="s">
        <v>36</v>
      </c>
      <c r="X678">
        <v>1</v>
      </c>
      <c r="Y678" t="s">
        <v>142</v>
      </c>
      <c r="Z678">
        <v>4</v>
      </c>
      <c r="AA678" t="s">
        <v>49</v>
      </c>
      <c r="AB678">
        <v>2.8</v>
      </c>
      <c r="AC678" t="s">
        <v>1003</v>
      </c>
      <c r="AD678">
        <v>1</v>
      </c>
      <c r="AE678" s="2">
        <v>45644</v>
      </c>
      <c r="AF678">
        <v>1</v>
      </c>
      <c r="AG678">
        <v>1</v>
      </c>
    </row>
    <row r="679" spans="1:33">
      <c r="A679">
        <v>10378</v>
      </c>
      <c r="B679" t="s">
        <v>1599</v>
      </c>
      <c r="C679" t="s">
        <v>42</v>
      </c>
      <c r="D679" t="s">
        <v>56</v>
      </c>
      <c r="E679" t="s">
        <v>929</v>
      </c>
      <c r="F679" t="s">
        <v>278</v>
      </c>
      <c r="G679" t="s">
        <v>294</v>
      </c>
      <c r="H679" t="s">
        <v>764</v>
      </c>
      <c r="I679">
        <v>65240</v>
      </c>
      <c r="J679" s="3">
        <v>782880</v>
      </c>
      <c r="K679" s="2">
        <v>33440</v>
      </c>
      <c r="L679" t="s">
        <v>264</v>
      </c>
      <c r="M679" t="s">
        <v>80</v>
      </c>
      <c r="N679">
        <v>32449</v>
      </c>
      <c r="O679" t="s">
        <v>73</v>
      </c>
      <c r="P679" t="s">
        <v>124</v>
      </c>
      <c r="Q679" t="s">
        <v>204</v>
      </c>
      <c r="R679" s="2">
        <v>45261</v>
      </c>
      <c r="S679" s="1" t="s">
        <v>35</v>
      </c>
      <c r="T679">
        <v>0</v>
      </c>
      <c r="U679" t="s">
        <v>36</v>
      </c>
      <c r="V679">
        <v>2</v>
      </c>
      <c r="W679" t="s">
        <v>87</v>
      </c>
      <c r="X679">
        <v>1</v>
      </c>
      <c r="Y679" t="s">
        <v>142</v>
      </c>
      <c r="Z679">
        <v>4</v>
      </c>
      <c r="AA679" t="s">
        <v>49</v>
      </c>
      <c r="AB679">
        <v>4.3</v>
      </c>
      <c r="AC679" t="s">
        <v>962</v>
      </c>
      <c r="AD679">
        <v>1</v>
      </c>
      <c r="AE679" s="2">
        <v>45998</v>
      </c>
      <c r="AF679">
        <v>1</v>
      </c>
      <c r="AG679">
        <v>2</v>
      </c>
    </row>
    <row r="680" spans="1:33">
      <c r="A680">
        <v>10379</v>
      </c>
      <c r="B680" t="s">
        <v>1600</v>
      </c>
      <c r="C680" t="s">
        <v>31</v>
      </c>
      <c r="D680" t="s">
        <v>31</v>
      </c>
      <c r="E680" t="s">
        <v>929</v>
      </c>
      <c r="F680" t="s">
        <v>283</v>
      </c>
      <c r="G680" t="s">
        <v>294</v>
      </c>
      <c r="H680" t="s">
        <v>765</v>
      </c>
      <c r="I680">
        <v>49520</v>
      </c>
      <c r="J680" s="3">
        <v>594240</v>
      </c>
      <c r="K680" s="2">
        <v>32620</v>
      </c>
      <c r="L680" t="s">
        <v>51</v>
      </c>
      <c r="M680" t="s">
        <v>144</v>
      </c>
      <c r="N680">
        <v>48210</v>
      </c>
      <c r="O680" t="s">
        <v>73</v>
      </c>
      <c r="P680" t="s">
        <v>32</v>
      </c>
      <c r="Q680" t="s">
        <v>204</v>
      </c>
      <c r="R680" s="2">
        <v>43354</v>
      </c>
      <c r="S680" s="1" t="s">
        <v>35</v>
      </c>
      <c r="T680">
        <v>0</v>
      </c>
      <c r="U680" t="s">
        <v>36</v>
      </c>
      <c r="V680">
        <v>2</v>
      </c>
      <c r="W680" t="s">
        <v>36</v>
      </c>
      <c r="X680">
        <v>0</v>
      </c>
      <c r="Y680" t="s">
        <v>39</v>
      </c>
      <c r="Z680">
        <v>2</v>
      </c>
      <c r="AA680" t="s">
        <v>95</v>
      </c>
      <c r="AB680">
        <v>2.7</v>
      </c>
      <c r="AC680" t="s">
        <v>937</v>
      </c>
      <c r="AD680">
        <v>4</v>
      </c>
      <c r="AE680" s="2">
        <v>45762</v>
      </c>
      <c r="AF680">
        <v>4</v>
      </c>
      <c r="AG680">
        <v>2</v>
      </c>
    </row>
    <row r="681" spans="1:33">
      <c r="A681">
        <v>10380</v>
      </c>
      <c r="B681" t="s">
        <v>1601</v>
      </c>
      <c r="C681" t="s">
        <v>31</v>
      </c>
      <c r="D681" t="s">
        <v>42</v>
      </c>
      <c r="E681" t="s">
        <v>929</v>
      </c>
      <c r="F681" t="s">
        <v>288</v>
      </c>
      <c r="G681" t="s">
        <v>28</v>
      </c>
      <c r="H681" t="s">
        <v>767</v>
      </c>
      <c r="I681">
        <v>55926</v>
      </c>
      <c r="J681" s="3">
        <v>671112</v>
      </c>
      <c r="K681" s="2">
        <v>35129</v>
      </c>
      <c r="L681" t="s">
        <v>264</v>
      </c>
      <c r="M681" t="s">
        <v>144</v>
      </c>
      <c r="N681">
        <v>42626</v>
      </c>
      <c r="O681" t="s">
        <v>73</v>
      </c>
      <c r="P681" t="s">
        <v>32</v>
      </c>
      <c r="Q681" t="s">
        <v>34</v>
      </c>
      <c r="R681" s="2">
        <v>44804</v>
      </c>
      <c r="S681" s="1" t="s">
        <v>766</v>
      </c>
      <c r="T681">
        <v>1</v>
      </c>
      <c r="U681" t="s">
        <v>266</v>
      </c>
      <c r="V681">
        <v>1</v>
      </c>
      <c r="W681" t="s">
        <v>36</v>
      </c>
      <c r="X681">
        <v>1</v>
      </c>
      <c r="Y681" t="s">
        <v>142</v>
      </c>
      <c r="Z681">
        <v>3</v>
      </c>
      <c r="AA681" t="s">
        <v>95</v>
      </c>
      <c r="AB681">
        <v>4.5</v>
      </c>
      <c r="AC681" t="s">
        <v>930</v>
      </c>
      <c r="AD681">
        <v>4</v>
      </c>
      <c r="AE681" s="2">
        <v>45686</v>
      </c>
      <c r="AF681">
        <v>0</v>
      </c>
      <c r="AG681">
        <v>10</v>
      </c>
    </row>
    <row r="682" spans="1:33">
      <c r="A682">
        <v>10381</v>
      </c>
      <c r="B682" t="s">
        <v>1602</v>
      </c>
      <c r="C682" t="s">
        <v>31</v>
      </c>
      <c r="D682" t="s">
        <v>56</v>
      </c>
      <c r="E682" t="s">
        <v>929</v>
      </c>
      <c r="F682" t="s">
        <v>271</v>
      </c>
      <c r="G682" t="s">
        <v>62</v>
      </c>
      <c r="H682" t="s">
        <v>769</v>
      </c>
      <c r="I682">
        <v>102679</v>
      </c>
      <c r="J682" s="3">
        <v>1232148</v>
      </c>
      <c r="K682" s="2">
        <v>29780</v>
      </c>
      <c r="L682" t="s">
        <v>51</v>
      </c>
      <c r="M682" t="s">
        <v>191</v>
      </c>
      <c r="N682">
        <v>78818</v>
      </c>
      <c r="O682" t="s">
        <v>33</v>
      </c>
      <c r="P682" t="s">
        <v>124</v>
      </c>
      <c r="Q682" t="s">
        <v>270</v>
      </c>
      <c r="R682" s="2">
        <v>42539</v>
      </c>
      <c r="S682" s="1" t="s">
        <v>768</v>
      </c>
      <c r="T682">
        <v>1</v>
      </c>
      <c r="U682" t="s">
        <v>36</v>
      </c>
      <c r="V682">
        <v>2</v>
      </c>
      <c r="W682" t="s">
        <v>87</v>
      </c>
      <c r="X682">
        <v>0</v>
      </c>
      <c r="Y682" t="s">
        <v>39</v>
      </c>
      <c r="Z682">
        <v>3</v>
      </c>
      <c r="AA682" t="s">
        <v>95</v>
      </c>
      <c r="AB682">
        <v>2.8</v>
      </c>
      <c r="AC682" t="s">
        <v>1003</v>
      </c>
      <c r="AD682">
        <v>4</v>
      </c>
      <c r="AE682" s="2">
        <v>45764</v>
      </c>
      <c r="AF682">
        <v>2</v>
      </c>
      <c r="AG682">
        <v>8</v>
      </c>
    </row>
    <row r="683" spans="1:33">
      <c r="A683">
        <v>10382</v>
      </c>
      <c r="B683" t="s">
        <v>1603</v>
      </c>
      <c r="C683" t="s">
        <v>42</v>
      </c>
      <c r="D683" t="s">
        <v>56</v>
      </c>
      <c r="E683" t="s">
        <v>929</v>
      </c>
      <c r="F683" t="s">
        <v>278</v>
      </c>
      <c r="G683" t="s">
        <v>277</v>
      </c>
      <c r="H683" t="s">
        <v>770</v>
      </c>
      <c r="I683">
        <v>32245</v>
      </c>
      <c r="J683" s="3">
        <v>386940</v>
      </c>
      <c r="K683" s="2">
        <v>36304</v>
      </c>
      <c r="L683" t="s">
        <v>264</v>
      </c>
      <c r="M683" t="s">
        <v>80</v>
      </c>
      <c r="N683">
        <v>90456</v>
      </c>
      <c r="O683" t="s">
        <v>73</v>
      </c>
      <c r="P683" t="s">
        <v>32</v>
      </c>
      <c r="Q683" t="s">
        <v>204</v>
      </c>
      <c r="R683" s="2">
        <v>44091</v>
      </c>
      <c r="S683" s="1" t="s">
        <v>35</v>
      </c>
      <c r="T683">
        <v>1</v>
      </c>
      <c r="U683" t="s">
        <v>290</v>
      </c>
      <c r="V683">
        <v>1</v>
      </c>
      <c r="W683" t="s">
        <v>36</v>
      </c>
      <c r="X683">
        <v>0</v>
      </c>
      <c r="Y683" t="s">
        <v>268</v>
      </c>
      <c r="Z683">
        <v>2</v>
      </c>
      <c r="AA683" t="s">
        <v>136</v>
      </c>
      <c r="AB683">
        <v>2.8</v>
      </c>
      <c r="AC683" t="s">
        <v>962</v>
      </c>
      <c r="AD683">
        <v>0</v>
      </c>
      <c r="AE683" s="2">
        <v>45940</v>
      </c>
      <c r="AF683">
        <v>5</v>
      </c>
      <c r="AG683">
        <v>6</v>
      </c>
    </row>
    <row r="684" spans="1:33">
      <c r="A684">
        <v>10383</v>
      </c>
      <c r="B684" t="s">
        <v>1604</v>
      </c>
      <c r="C684" t="s">
        <v>42</v>
      </c>
      <c r="D684" t="s">
        <v>31</v>
      </c>
      <c r="E684" t="s">
        <v>929</v>
      </c>
      <c r="F684" t="s">
        <v>271</v>
      </c>
      <c r="G684" t="s">
        <v>62</v>
      </c>
      <c r="H684" t="s">
        <v>771</v>
      </c>
      <c r="I684">
        <v>84838</v>
      </c>
      <c r="J684" s="3">
        <v>1018056</v>
      </c>
      <c r="K684" s="2">
        <v>25674</v>
      </c>
      <c r="L684" t="s">
        <v>51</v>
      </c>
      <c r="M684" t="s">
        <v>191</v>
      </c>
      <c r="N684">
        <v>13543</v>
      </c>
      <c r="O684" t="s">
        <v>33</v>
      </c>
      <c r="P684" t="s">
        <v>124</v>
      </c>
      <c r="Q684" t="s">
        <v>34</v>
      </c>
      <c r="R684" s="2">
        <v>44840</v>
      </c>
      <c r="S684" s="1" t="s">
        <v>35</v>
      </c>
      <c r="T684">
        <v>0</v>
      </c>
      <c r="U684" t="s">
        <v>36</v>
      </c>
      <c r="V684">
        <v>2</v>
      </c>
      <c r="W684" t="s">
        <v>36</v>
      </c>
      <c r="X684">
        <v>1</v>
      </c>
      <c r="Y684" t="s">
        <v>48</v>
      </c>
      <c r="Z684">
        <v>2</v>
      </c>
      <c r="AA684" t="s">
        <v>49</v>
      </c>
      <c r="AB684">
        <v>4.4000000000000004</v>
      </c>
      <c r="AC684" t="s">
        <v>930</v>
      </c>
      <c r="AD684">
        <v>5</v>
      </c>
      <c r="AE684" s="2">
        <v>45303</v>
      </c>
      <c r="AF684">
        <v>5</v>
      </c>
      <c r="AG684">
        <v>7</v>
      </c>
    </row>
    <row r="685" spans="1:33">
      <c r="A685">
        <v>10384</v>
      </c>
      <c r="B685" t="s">
        <v>1605</v>
      </c>
      <c r="C685" t="s">
        <v>42</v>
      </c>
      <c r="D685" t="s">
        <v>31</v>
      </c>
      <c r="E685" t="s">
        <v>934</v>
      </c>
      <c r="F685" t="s">
        <v>283</v>
      </c>
      <c r="G685" t="s">
        <v>277</v>
      </c>
      <c r="H685" t="s">
        <v>773</v>
      </c>
      <c r="I685">
        <v>84703</v>
      </c>
      <c r="J685" s="3">
        <v>1016436</v>
      </c>
      <c r="K685" s="2">
        <v>34798</v>
      </c>
      <c r="L685" t="s">
        <v>51</v>
      </c>
      <c r="M685" t="s">
        <v>210</v>
      </c>
      <c r="N685">
        <v>49307</v>
      </c>
      <c r="O685" t="s">
        <v>73</v>
      </c>
      <c r="P685" t="s">
        <v>32</v>
      </c>
      <c r="Q685" t="s">
        <v>160</v>
      </c>
      <c r="R685" s="2">
        <v>43538</v>
      </c>
      <c r="S685" s="1" t="s">
        <v>772</v>
      </c>
      <c r="T685">
        <v>0</v>
      </c>
      <c r="U685" t="s">
        <v>36</v>
      </c>
      <c r="V685">
        <v>3</v>
      </c>
      <c r="W685" t="s">
        <v>45</v>
      </c>
      <c r="X685">
        <v>1</v>
      </c>
      <c r="Y685" t="s">
        <v>280</v>
      </c>
      <c r="Z685">
        <v>4</v>
      </c>
      <c r="AA685" t="s">
        <v>276</v>
      </c>
      <c r="AB685">
        <v>3</v>
      </c>
      <c r="AC685" t="s">
        <v>937</v>
      </c>
      <c r="AD685">
        <v>3</v>
      </c>
      <c r="AE685" s="2">
        <v>45871</v>
      </c>
      <c r="AF685">
        <v>3</v>
      </c>
      <c r="AG685">
        <v>3</v>
      </c>
    </row>
    <row r="686" spans="1:33">
      <c r="A686">
        <v>10385</v>
      </c>
      <c r="B686" t="s">
        <v>1606</v>
      </c>
      <c r="C686" t="s">
        <v>31</v>
      </c>
      <c r="D686" t="s">
        <v>31</v>
      </c>
      <c r="E686" t="s">
        <v>929</v>
      </c>
      <c r="F686" t="s">
        <v>113</v>
      </c>
      <c r="G686" t="s">
        <v>269</v>
      </c>
      <c r="H686" t="s">
        <v>775</v>
      </c>
      <c r="I686">
        <v>69420</v>
      </c>
      <c r="J686" s="3">
        <v>833040</v>
      </c>
      <c r="K686" s="2">
        <v>31096</v>
      </c>
      <c r="L686" t="s">
        <v>264</v>
      </c>
      <c r="M686" t="s">
        <v>144</v>
      </c>
      <c r="N686">
        <v>99949</v>
      </c>
      <c r="O686" t="s">
        <v>73</v>
      </c>
      <c r="P686" t="s">
        <v>124</v>
      </c>
      <c r="Q686" t="s">
        <v>204</v>
      </c>
      <c r="R686" s="2">
        <v>44402</v>
      </c>
      <c r="S686" s="1" t="s">
        <v>774</v>
      </c>
      <c r="T686">
        <v>1</v>
      </c>
      <c r="U686" t="s">
        <v>298</v>
      </c>
      <c r="V686">
        <v>2</v>
      </c>
      <c r="W686" t="s">
        <v>36</v>
      </c>
      <c r="X686">
        <v>1</v>
      </c>
      <c r="Y686" t="s">
        <v>268</v>
      </c>
      <c r="Z686">
        <v>2</v>
      </c>
      <c r="AA686" t="s">
        <v>49</v>
      </c>
      <c r="AB686">
        <v>3.9</v>
      </c>
      <c r="AC686" t="s">
        <v>962</v>
      </c>
      <c r="AD686">
        <v>0</v>
      </c>
      <c r="AE686" s="2">
        <v>45832</v>
      </c>
      <c r="AF686">
        <v>2</v>
      </c>
      <c r="AG686">
        <v>5</v>
      </c>
    </row>
    <row r="687" spans="1:33">
      <c r="A687">
        <v>10386</v>
      </c>
      <c r="B687" t="s">
        <v>1607</v>
      </c>
      <c r="C687" t="s">
        <v>42</v>
      </c>
      <c r="D687" t="s">
        <v>42</v>
      </c>
      <c r="E687" t="s">
        <v>934</v>
      </c>
      <c r="F687" t="s">
        <v>274</v>
      </c>
      <c r="G687" t="s">
        <v>62</v>
      </c>
      <c r="H687" t="s">
        <v>776</v>
      </c>
      <c r="I687">
        <v>112817</v>
      </c>
      <c r="J687" s="3">
        <v>1353804</v>
      </c>
      <c r="K687" s="2">
        <v>31423</v>
      </c>
      <c r="L687" t="s">
        <v>51</v>
      </c>
      <c r="M687" t="s">
        <v>210</v>
      </c>
      <c r="N687">
        <v>8243</v>
      </c>
      <c r="O687" t="s">
        <v>73</v>
      </c>
      <c r="P687" t="s">
        <v>124</v>
      </c>
      <c r="Q687" t="s">
        <v>270</v>
      </c>
      <c r="R687" s="2">
        <v>43620</v>
      </c>
      <c r="S687" s="1" t="s">
        <v>35</v>
      </c>
      <c r="T687">
        <v>0</v>
      </c>
      <c r="U687" t="s">
        <v>36</v>
      </c>
      <c r="V687">
        <v>1</v>
      </c>
      <c r="W687" t="s">
        <v>36</v>
      </c>
      <c r="X687">
        <v>0</v>
      </c>
      <c r="Y687" t="s">
        <v>280</v>
      </c>
      <c r="Z687">
        <v>2</v>
      </c>
      <c r="AA687" t="s">
        <v>95</v>
      </c>
      <c r="AB687">
        <v>2.8</v>
      </c>
      <c r="AC687" t="s">
        <v>930</v>
      </c>
      <c r="AD687">
        <v>3</v>
      </c>
      <c r="AE687" s="2">
        <v>45697</v>
      </c>
      <c r="AF687">
        <v>5</v>
      </c>
      <c r="AG687">
        <v>9</v>
      </c>
    </row>
    <row r="688" spans="1:33">
      <c r="A688">
        <v>10387</v>
      </c>
      <c r="B688" t="s">
        <v>1608</v>
      </c>
      <c r="C688" t="s">
        <v>31</v>
      </c>
      <c r="D688" t="s">
        <v>56</v>
      </c>
      <c r="E688" t="s">
        <v>934</v>
      </c>
      <c r="F688" t="s">
        <v>113</v>
      </c>
      <c r="G688" t="s">
        <v>28</v>
      </c>
      <c r="H688" t="s">
        <v>777</v>
      </c>
      <c r="I688">
        <v>45487</v>
      </c>
      <c r="J688" s="3">
        <v>545844</v>
      </c>
      <c r="K688" s="2">
        <v>35735</v>
      </c>
      <c r="L688" t="s">
        <v>264</v>
      </c>
      <c r="M688" t="s">
        <v>29</v>
      </c>
      <c r="N688">
        <v>94346</v>
      </c>
      <c r="O688" t="s">
        <v>33</v>
      </c>
      <c r="P688" t="s">
        <v>32</v>
      </c>
      <c r="Q688" t="s">
        <v>160</v>
      </c>
      <c r="R688" s="2">
        <v>45691</v>
      </c>
      <c r="S688" s="1" t="s">
        <v>35</v>
      </c>
      <c r="T688">
        <v>0</v>
      </c>
      <c r="U688" t="s">
        <v>36</v>
      </c>
      <c r="V688">
        <v>3</v>
      </c>
      <c r="W688" t="s">
        <v>36</v>
      </c>
      <c r="X688">
        <v>1</v>
      </c>
      <c r="Y688" t="s">
        <v>268</v>
      </c>
      <c r="Z688">
        <v>1</v>
      </c>
      <c r="AA688" t="s">
        <v>136</v>
      </c>
      <c r="AB688">
        <v>4.2</v>
      </c>
      <c r="AC688" t="s">
        <v>962</v>
      </c>
      <c r="AD688">
        <v>0</v>
      </c>
      <c r="AE688" s="2">
        <v>45846</v>
      </c>
      <c r="AF688">
        <v>2</v>
      </c>
      <c r="AG688">
        <v>6</v>
      </c>
    </row>
    <row r="689" spans="1:33">
      <c r="A689">
        <v>10388</v>
      </c>
      <c r="B689" t="s">
        <v>1609</v>
      </c>
      <c r="C689" t="s">
        <v>42</v>
      </c>
      <c r="D689" t="s">
        <v>56</v>
      </c>
      <c r="E689" t="s">
        <v>929</v>
      </c>
      <c r="F689" t="s">
        <v>288</v>
      </c>
      <c r="G689" t="s">
        <v>28</v>
      </c>
      <c r="H689" t="s">
        <v>778</v>
      </c>
      <c r="I689">
        <v>47570</v>
      </c>
      <c r="J689" s="3">
        <v>570840</v>
      </c>
      <c r="K689" s="2">
        <v>28300</v>
      </c>
      <c r="L689" t="s">
        <v>51</v>
      </c>
      <c r="M689" t="s">
        <v>191</v>
      </c>
      <c r="N689">
        <v>98978</v>
      </c>
      <c r="O689" t="s">
        <v>33</v>
      </c>
      <c r="P689" t="s">
        <v>124</v>
      </c>
      <c r="Q689" t="s">
        <v>160</v>
      </c>
      <c r="R689" s="2">
        <v>42628</v>
      </c>
      <c r="S689" s="1" t="s">
        <v>35</v>
      </c>
      <c r="T689">
        <v>0</v>
      </c>
      <c r="U689" t="s">
        <v>36</v>
      </c>
      <c r="V689">
        <v>3</v>
      </c>
      <c r="W689" t="s">
        <v>36</v>
      </c>
      <c r="X689">
        <v>0</v>
      </c>
      <c r="Y689" t="s">
        <v>48</v>
      </c>
      <c r="Z689">
        <v>1</v>
      </c>
      <c r="AA689" t="s">
        <v>95</v>
      </c>
      <c r="AB689">
        <v>3.4</v>
      </c>
      <c r="AC689" t="s">
        <v>962</v>
      </c>
      <c r="AD689">
        <v>5</v>
      </c>
      <c r="AE689" s="2">
        <v>45676</v>
      </c>
      <c r="AF689">
        <v>5</v>
      </c>
      <c r="AG689">
        <v>1</v>
      </c>
    </row>
    <row r="690" spans="1:33">
      <c r="A690">
        <v>10389</v>
      </c>
      <c r="B690" t="s">
        <v>1610</v>
      </c>
      <c r="C690" t="s">
        <v>31</v>
      </c>
      <c r="D690" t="s">
        <v>56</v>
      </c>
      <c r="E690" t="s">
        <v>934</v>
      </c>
      <c r="F690" t="s">
        <v>274</v>
      </c>
      <c r="G690" t="s">
        <v>269</v>
      </c>
      <c r="H690" t="s">
        <v>780</v>
      </c>
      <c r="I690">
        <v>86204</v>
      </c>
      <c r="J690" s="3">
        <v>1034448</v>
      </c>
      <c r="K690" s="2">
        <v>30524</v>
      </c>
      <c r="L690" t="s">
        <v>264</v>
      </c>
      <c r="M690" t="s">
        <v>80</v>
      </c>
      <c r="N690">
        <v>13172</v>
      </c>
      <c r="O690" t="s">
        <v>33</v>
      </c>
      <c r="P690" t="s">
        <v>32</v>
      </c>
      <c r="Q690" t="s">
        <v>204</v>
      </c>
      <c r="R690" s="2">
        <v>42715</v>
      </c>
      <c r="S690" s="1" t="s">
        <v>779</v>
      </c>
      <c r="T690">
        <v>1</v>
      </c>
      <c r="U690" t="s">
        <v>273</v>
      </c>
      <c r="V690">
        <v>1</v>
      </c>
      <c r="W690" t="s">
        <v>45</v>
      </c>
      <c r="X690">
        <v>0</v>
      </c>
      <c r="Y690" t="s">
        <v>142</v>
      </c>
      <c r="Z690">
        <v>3</v>
      </c>
      <c r="AA690" t="s">
        <v>49</v>
      </c>
      <c r="AB690">
        <v>3.5</v>
      </c>
      <c r="AC690" t="s">
        <v>932</v>
      </c>
      <c r="AD690">
        <v>5</v>
      </c>
      <c r="AE690" s="2">
        <v>45944</v>
      </c>
      <c r="AF690">
        <v>4</v>
      </c>
      <c r="AG690">
        <v>9</v>
      </c>
    </row>
    <row r="691" spans="1:33">
      <c r="A691">
        <v>10390</v>
      </c>
      <c r="B691" t="s">
        <v>1611</v>
      </c>
      <c r="C691" t="s">
        <v>31</v>
      </c>
      <c r="D691" t="s">
        <v>56</v>
      </c>
      <c r="E691" t="s">
        <v>929</v>
      </c>
      <c r="F691" t="s">
        <v>288</v>
      </c>
      <c r="G691" t="s">
        <v>294</v>
      </c>
      <c r="H691" t="s">
        <v>781</v>
      </c>
      <c r="I691">
        <v>33779</v>
      </c>
      <c r="J691" s="3">
        <v>405348</v>
      </c>
      <c r="K691" s="2">
        <v>24250</v>
      </c>
      <c r="L691" t="s">
        <v>264</v>
      </c>
      <c r="M691" t="s">
        <v>29</v>
      </c>
      <c r="N691">
        <v>97412</v>
      </c>
      <c r="O691" t="s">
        <v>33</v>
      </c>
      <c r="P691" t="s">
        <v>124</v>
      </c>
      <c r="Q691" t="s">
        <v>34</v>
      </c>
      <c r="R691" s="2">
        <v>45948</v>
      </c>
      <c r="S691" s="1" t="s">
        <v>345</v>
      </c>
      <c r="T691">
        <v>0</v>
      </c>
      <c r="U691" t="s">
        <v>36</v>
      </c>
      <c r="V691">
        <v>3</v>
      </c>
      <c r="W691" t="s">
        <v>45</v>
      </c>
      <c r="X691">
        <v>0</v>
      </c>
      <c r="Y691" t="s">
        <v>280</v>
      </c>
      <c r="Z691">
        <v>1</v>
      </c>
      <c r="AA691" t="s">
        <v>136</v>
      </c>
      <c r="AB691">
        <v>3.4</v>
      </c>
      <c r="AC691" t="s">
        <v>937</v>
      </c>
      <c r="AD691">
        <v>3</v>
      </c>
      <c r="AE691" s="2">
        <v>45767</v>
      </c>
      <c r="AF691">
        <v>3</v>
      </c>
      <c r="AG691">
        <v>1</v>
      </c>
    </row>
    <row r="692" spans="1:33">
      <c r="A692">
        <v>10391</v>
      </c>
      <c r="B692" t="s">
        <v>1612</v>
      </c>
      <c r="C692" t="s">
        <v>42</v>
      </c>
      <c r="D692" t="s">
        <v>42</v>
      </c>
      <c r="E692" t="s">
        <v>929</v>
      </c>
      <c r="F692" t="s">
        <v>283</v>
      </c>
      <c r="G692" t="s">
        <v>269</v>
      </c>
      <c r="H692" t="s">
        <v>782</v>
      </c>
      <c r="I692">
        <v>61480</v>
      </c>
      <c r="J692" s="3">
        <v>737760</v>
      </c>
      <c r="K692" s="2">
        <v>37385</v>
      </c>
      <c r="L692" t="s">
        <v>51</v>
      </c>
      <c r="M692" t="s">
        <v>191</v>
      </c>
      <c r="N692">
        <v>86622</v>
      </c>
      <c r="O692" t="s">
        <v>33</v>
      </c>
      <c r="P692" t="s">
        <v>32</v>
      </c>
      <c r="Q692" t="s">
        <v>204</v>
      </c>
      <c r="R692" s="2">
        <v>45242</v>
      </c>
      <c r="S692" s="1" t="s">
        <v>35</v>
      </c>
      <c r="T692">
        <v>1</v>
      </c>
      <c r="U692" t="s">
        <v>36</v>
      </c>
      <c r="V692">
        <v>2</v>
      </c>
      <c r="W692" t="s">
        <v>87</v>
      </c>
      <c r="X692">
        <v>0</v>
      </c>
      <c r="Y692" t="s">
        <v>268</v>
      </c>
      <c r="Z692">
        <v>3</v>
      </c>
      <c r="AA692" t="s">
        <v>49</v>
      </c>
      <c r="AB692">
        <v>3.4</v>
      </c>
      <c r="AC692" t="s">
        <v>932</v>
      </c>
      <c r="AD692">
        <v>3</v>
      </c>
      <c r="AE692" s="2">
        <v>45868</v>
      </c>
      <c r="AF692">
        <v>4</v>
      </c>
      <c r="AG692">
        <v>1</v>
      </c>
    </row>
    <row r="693" spans="1:33">
      <c r="A693">
        <v>10392</v>
      </c>
      <c r="B693" t="s">
        <v>1613</v>
      </c>
      <c r="C693" t="s">
        <v>42</v>
      </c>
      <c r="D693" t="s">
        <v>56</v>
      </c>
      <c r="E693" t="s">
        <v>929</v>
      </c>
      <c r="F693" t="s">
        <v>271</v>
      </c>
      <c r="G693" t="s">
        <v>28</v>
      </c>
      <c r="H693" t="s">
        <v>784</v>
      </c>
      <c r="I693">
        <v>99984</v>
      </c>
      <c r="J693" s="3">
        <v>1199808</v>
      </c>
      <c r="K693" s="2">
        <v>30947</v>
      </c>
      <c r="L693" t="s">
        <v>51</v>
      </c>
      <c r="M693" t="s">
        <v>144</v>
      </c>
      <c r="N693">
        <v>12688</v>
      </c>
      <c r="O693" t="s">
        <v>33</v>
      </c>
      <c r="P693" t="s">
        <v>32</v>
      </c>
      <c r="Q693" t="s">
        <v>160</v>
      </c>
      <c r="R693" s="2">
        <v>43112</v>
      </c>
      <c r="S693" s="1" t="s">
        <v>783</v>
      </c>
      <c r="T693">
        <v>0</v>
      </c>
      <c r="U693" t="s">
        <v>36</v>
      </c>
      <c r="V693">
        <v>3</v>
      </c>
      <c r="W693" t="s">
        <v>87</v>
      </c>
      <c r="X693">
        <v>0</v>
      </c>
      <c r="Y693" t="s">
        <v>48</v>
      </c>
      <c r="Z693">
        <v>4</v>
      </c>
      <c r="AA693" t="s">
        <v>276</v>
      </c>
      <c r="AB693">
        <v>4.8</v>
      </c>
      <c r="AC693" t="s">
        <v>937</v>
      </c>
      <c r="AD693">
        <v>0</v>
      </c>
      <c r="AE693" s="2">
        <v>45856</v>
      </c>
      <c r="AF693">
        <v>2</v>
      </c>
      <c r="AG693">
        <v>10</v>
      </c>
    </row>
    <row r="694" spans="1:33">
      <c r="A694">
        <v>10393</v>
      </c>
      <c r="B694" t="s">
        <v>1614</v>
      </c>
      <c r="C694" t="s">
        <v>31</v>
      </c>
      <c r="D694" t="s">
        <v>31</v>
      </c>
      <c r="E694" t="s">
        <v>929</v>
      </c>
      <c r="F694" t="s">
        <v>288</v>
      </c>
      <c r="G694" t="s">
        <v>277</v>
      </c>
      <c r="H694" t="s">
        <v>785</v>
      </c>
      <c r="I694">
        <v>36590</v>
      </c>
      <c r="J694" s="3">
        <v>439080</v>
      </c>
      <c r="K694" s="2">
        <v>36235</v>
      </c>
      <c r="L694" t="s">
        <v>264</v>
      </c>
      <c r="M694" t="s">
        <v>210</v>
      </c>
      <c r="N694">
        <v>69715</v>
      </c>
      <c r="O694" t="s">
        <v>73</v>
      </c>
      <c r="P694" t="s">
        <v>124</v>
      </c>
      <c r="Q694" t="s">
        <v>160</v>
      </c>
      <c r="R694" s="2">
        <v>45104</v>
      </c>
      <c r="S694" s="1" t="s">
        <v>35</v>
      </c>
      <c r="T694">
        <v>1</v>
      </c>
      <c r="U694" t="s">
        <v>266</v>
      </c>
      <c r="V694">
        <v>1</v>
      </c>
      <c r="W694" t="s">
        <v>36</v>
      </c>
      <c r="X694">
        <v>0</v>
      </c>
      <c r="Y694" t="s">
        <v>268</v>
      </c>
      <c r="Z694">
        <v>3</v>
      </c>
      <c r="AA694" t="s">
        <v>95</v>
      </c>
      <c r="AB694">
        <v>3.3</v>
      </c>
      <c r="AC694" t="s">
        <v>962</v>
      </c>
      <c r="AD694">
        <v>3</v>
      </c>
      <c r="AE694" s="2">
        <v>45617</v>
      </c>
      <c r="AF694">
        <v>2</v>
      </c>
      <c r="AG694">
        <v>0</v>
      </c>
    </row>
    <row r="695" spans="1:33">
      <c r="A695">
        <v>10394</v>
      </c>
      <c r="B695" t="s">
        <v>1615</v>
      </c>
      <c r="C695" t="s">
        <v>42</v>
      </c>
      <c r="D695" t="s">
        <v>42</v>
      </c>
      <c r="E695" t="s">
        <v>934</v>
      </c>
      <c r="F695" t="s">
        <v>271</v>
      </c>
      <c r="G695" t="s">
        <v>294</v>
      </c>
      <c r="H695" t="s">
        <v>786</v>
      </c>
      <c r="I695">
        <v>30824</v>
      </c>
      <c r="J695" s="3">
        <v>369888</v>
      </c>
      <c r="K695" s="2">
        <v>32749</v>
      </c>
      <c r="L695" t="s">
        <v>264</v>
      </c>
      <c r="M695" t="s">
        <v>191</v>
      </c>
      <c r="N695">
        <v>82037</v>
      </c>
      <c r="O695" t="s">
        <v>33</v>
      </c>
      <c r="P695" t="s">
        <v>32</v>
      </c>
      <c r="Q695" t="s">
        <v>34</v>
      </c>
      <c r="R695" s="2">
        <v>42650</v>
      </c>
      <c r="S695" s="1" t="s">
        <v>35</v>
      </c>
      <c r="T695">
        <v>0</v>
      </c>
      <c r="U695" t="s">
        <v>36</v>
      </c>
      <c r="V695">
        <v>2</v>
      </c>
      <c r="W695" t="s">
        <v>36</v>
      </c>
      <c r="X695">
        <v>0</v>
      </c>
      <c r="Y695" t="s">
        <v>268</v>
      </c>
      <c r="Z695">
        <v>2</v>
      </c>
      <c r="AA695" t="s">
        <v>136</v>
      </c>
      <c r="AB695">
        <v>4.9000000000000004</v>
      </c>
      <c r="AC695" t="s">
        <v>937</v>
      </c>
      <c r="AD695">
        <v>0</v>
      </c>
      <c r="AE695" s="2">
        <v>45898</v>
      </c>
      <c r="AF695">
        <v>2</v>
      </c>
      <c r="AG695">
        <v>7</v>
      </c>
    </row>
    <row r="696" spans="1:33">
      <c r="A696">
        <v>10395</v>
      </c>
      <c r="B696" t="s">
        <v>1616</v>
      </c>
      <c r="C696" t="s">
        <v>31</v>
      </c>
      <c r="D696" t="s">
        <v>42</v>
      </c>
      <c r="E696" t="s">
        <v>929</v>
      </c>
      <c r="F696" t="s">
        <v>271</v>
      </c>
      <c r="G696" t="s">
        <v>62</v>
      </c>
      <c r="H696" t="s">
        <v>788</v>
      </c>
      <c r="I696">
        <v>54374</v>
      </c>
      <c r="J696" s="3">
        <v>652488</v>
      </c>
      <c r="K696" s="2">
        <v>27739</v>
      </c>
      <c r="L696" t="s">
        <v>51</v>
      </c>
      <c r="M696" t="s">
        <v>29</v>
      </c>
      <c r="N696">
        <v>10517</v>
      </c>
      <c r="O696" t="s">
        <v>33</v>
      </c>
      <c r="P696" t="s">
        <v>32</v>
      </c>
      <c r="Q696" t="s">
        <v>160</v>
      </c>
      <c r="R696" s="2">
        <v>45391</v>
      </c>
      <c r="S696" s="1" t="s">
        <v>787</v>
      </c>
      <c r="T696">
        <v>0</v>
      </c>
      <c r="U696" t="s">
        <v>36</v>
      </c>
      <c r="V696">
        <v>3</v>
      </c>
      <c r="W696" t="s">
        <v>36</v>
      </c>
      <c r="X696">
        <v>0</v>
      </c>
      <c r="Y696" t="s">
        <v>268</v>
      </c>
      <c r="Z696">
        <v>3</v>
      </c>
      <c r="AA696" t="s">
        <v>95</v>
      </c>
      <c r="AB696">
        <v>4.4000000000000004</v>
      </c>
      <c r="AC696" t="s">
        <v>932</v>
      </c>
      <c r="AD696">
        <v>3</v>
      </c>
      <c r="AE696" s="2">
        <v>45684</v>
      </c>
      <c r="AF696">
        <v>2</v>
      </c>
      <c r="AG696">
        <v>2</v>
      </c>
    </row>
    <row r="697" spans="1:33">
      <c r="A697">
        <v>10396</v>
      </c>
      <c r="B697" t="s">
        <v>1617</v>
      </c>
      <c r="C697" t="s">
        <v>31</v>
      </c>
      <c r="D697" t="s">
        <v>56</v>
      </c>
      <c r="E697" t="s">
        <v>929</v>
      </c>
      <c r="F697" t="s">
        <v>283</v>
      </c>
      <c r="G697" t="s">
        <v>269</v>
      </c>
      <c r="H697" t="s">
        <v>789</v>
      </c>
      <c r="I697">
        <v>72243</v>
      </c>
      <c r="J697" s="3">
        <v>866916</v>
      </c>
      <c r="K697" s="2">
        <v>34746</v>
      </c>
      <c r="L697" t="s">
        <v>264</v>
      </c>
      <c r="M697" t="s">
        <v>191</v>
      </c>
      <c r="N697">
        <v>65183</v>
      </c>
      <c r="O697" t="s">
        <v>33</v>
      </c>
      <c r="P697" t="s">
        <v>32</v>
      </c>
      <c r="Q697" t="s">
        <v>160</v>
      </c>
      <c r="R697" s="2">
        <v>43861</v>
      </c>
      <c r="S697" s="1" t="s">
        <v>35</v>
      </c>
      <c r="T697">
        <v>1</v>
      </c>
      <c r="U697" t="s">
        <v>266</v>
      </c>
      <c r="V697">
        <v>2</v>
      </c>
      <c r="W697" t="s">
        <v>36</v>
      </c>
      <c r="X697">
        <v>0</v>
      </c>
      <c r="Y697" t="s">
        <v>48</v>
      </c>
      <c r="Z697">
        <v>3</v>
      </c>
      <c r="AA697" t="s">
        <v>49</v>
      </c>
      <c r="AB697">
        <v>4.8</v>
      </c>
      <c r="AC697" t="s">
        <v>932</v>
      </c>
      <c r="AD697">
        <v>0</v>
      </c>
      <c r="AE697" s="2">
        <v>45843</v>
      </c>
      <c r="AF697">
        <v>2</v>
      </c>
      <c r="AG697">
        <v>9</v>
      </c>
    </row>
    <row r="698" spans="1:33">
      <c r="A698">
        <v>10397</v>
      </c>
      <c r="B698" t="s">
        <v>1618</v>
      </c>
      <c r="C698" t="s">
        <v>42</v>
      </c>
      <c r="D698" t="s">
        <v>56</v>
      </c>
      <c r="E698" t="s">
        <v>934</v>
      </c>
      <c r="F698" t="s">
        <v>271</v>
      </c>
      <c r="G698" t="s">
        <v>277</v>
      </c>
      <c r="H698" t="s">
        <v>791</v>
      </c>
      <c r="I698">
        <v>90199</v>
      </c>
      <c r="J698" s="3">
        <v>1082388</v>
      </c>
      <c r="K698" s="2">
        <v>26595</v>
      </c>
      <c r="L698" t="s">
        <v>264</v>
      </c>
      <c r="M698" t="s">
        <v>80</v>
      </c>
      <c r="N698">
        <v>7344</v>
      </c>
      <c r="O698" t="s">
        <v>33</v>
      </c>
      <c r="P698" t="s">
        <v>32</v>
      </c>
      <c r="Q698" t="s">
        <v>160</v>
      </c>
      <c r="R698" s="2">
        <v>44298</v>
      </c>
      <c r="S698" s="1" t="s">
        <v>790</v>
      </c>
      <c r="T698">
        <v>0</v>
      </c>
      <c r="U698" t="s">
        <v>36</v>
      </c>
      <c r="V698">
        <v>3</v>
      </c>
      <c r="W698" t="s">
        <v>87</v>
      </c>
      <c r="X698">
        <v>0</v>
      </c>
      <c r="Y698" t="s">
        <v>280</v>
      </c>
      <c r="Z698">
        <v>4</v>
      </c>
      <c r="AA698" t="s">
        <v>95</v>
      </c>
      <c r="AB698">
        <v>5</v>
      </c>
      <c r="AC698" t="s">
        <v>1003</v>
      </c>
      <c r="AD698">
        <v>0</v>
      </c>
      <c r="AE698" s="2">
        <v>45394</v>
      </c>
      <c r="AF698">
        <v>3</v>
      </c>
      <c r="AG698">
        <v>5</v>
      </c>
    </row>
    <row r="699" spans="1:33">
      <c r="A699">
        <v>10398</v>
      </c>
      <c r="B699" t="s">
        <v>1619</v>
      </c>
      <c r="C699" t="s">
        <v>31</v>
      </c>
      <c r="D699" t="s">
        <v>56</v>
      </c>
      <c r="E699" t="s">
        <v>929</v>
      </c>
      <c r="F699" t="s">
        <v>288</v>
      </c>
      <c r="G699" t="s">
        <v>269</v>
      </c>
      <c r="H699" t="s">
        <v>793</v>
      </c>
      <c r="I699">
        <v>70826</v>
      </c>
      <c r="J699" s="3">
        <v>849912</v>
      </c>
      <c r="K699" s="2">
        <v>26332</v>
      </c>
      <c r="L699" t="s">
        <v>51</v>
      </c>
      <c r="M699" t="s">
        <v>29</v>
      </c>
      <c r="N699">
        <v>75007</v>
      </c>
      <c r="O699" t="s">
        <v>33</v>
      </c>
      <c r="P699" t="s">
        <v>32</v>
      </c>
      <c r="Q699" t="s">
        <v>92</v>
      </c>
      <c r="R699" s="2">
        <v>44943</v>
      </c>
      <c r="S699" s="1" t="s">
        <v>792</v>
      </c>
      <c r="T699">
        <v>0</v>
      </c>
      <c r="U699" t="s">
        <v>36</v>
      </c>
      <c r="V699">
        <v>2</v>
      </c>
      <c r="W699" t="s">
        <v>45</v>
      </c>
      <c r="X699">
        <v>0</v>
      </c>
      <c r="Y699" t="s">
        <v>268</v>
      </c>
      <c r="Z699">
        <v>2</v>
      </c>
      <c r="AA699" t="s">
        <v>276</v>
      </c>
      <c r="AB699">
        <v>4.7</v>
      </c>
      <c r="AC699" t="s">
        <v>930</v>
      </c>
      <c r="AD699">
        <v>3</v>
      </c>
      <c r="AE699" s="2">
        <v>45891</v>
      </c>
      <c r="AF699">
        <v>5</v>
      </c>
      <c r="AG699">
        <v>6</v>
      </c>
    </row>
    <row r="700" spans="1:33">
      <c r="A700">
        <v>10399</v>
      </c>
      <c r="B700" t="s">
        <v>1620</v>
      </c>
      <c r="C700" t="s">
        <v>42</v>
      </c>
      <c r="D700" t="s">
        <v>31</v>
      </c>
      <c r="E700" t="s">
        <v>934</v>
      </c>
      <c r="F700" t="s">
        <v>283</v>
      </c>
      <c r="G700" t="s">
        <v>294</v>
      </c>
      <c r="H700" t="s">
        <v>795</v>
      </c>
      <c r="I700">
        <v>66097</v>
      </c>
      <c r="J700" s="3">
        <v>793164</v>
      </c>
      <c r="K700" s="2">
        <v>25524</v>
      </c>
      <c r="L700" t="s">
        <v>51</v>
      </c>
      <c r="M700" t="s">
        <v>144</v>
      </c>
      <c r="N700">
        <v>39535</v>
      </c>
      <c r="O700" t="s">
        <v>33</v>
      </c>
      <c r="P700" t="s">
        <v>32</v>
      </c>
      <c r="Q700" t="s">
        <v>204</v>
      </c>
      <c r="R700" s="2">
        <v>45738</v>
      </c>
      <c r="S700" s="1" t="s">
        <v>794</v>
      </c>
      <c r="T700">
        <v>0</v>
      </c>
      <c r="U700" t="s">
        <v>36</v>
      </c>
      <c r="V700">
        <v>3</v>
      </c>
      <c r="W700" t="s">
        <v>45</v>
      </c>
      <c r="X700">
        <v>1</v>
      </c>
      <c r="Y700" t="s">
        <v>48</v>
      </c>
      <c r="Z700">
        <v>2</v>
      </c>
      <c r="AA700" t="s">
        <v>136</v>
      </c>
      <c r="AB700">
        <v>3</v>
      </c>
      <c r="AC700" t="s">
        <v>932</v>
      </c>
      <c r="AD700">
        <v>0</v>
      </c>
      <c r="AE700" s="2">
        <v>45618</v>
      </c>
      <c r="AF700">
        <v>0</v>
      </c>
      <c r="AG700">
        <v>8</v>
      </c>
    </row>
    <row r="701" spans="1:33">
      <c r="A701">
        <v>10400</v>
      </c>
      <c r="B701" t="s">
        <v>1621</v>
      </c>
      <c r="C701" t="s">
        <v>42</v>
      </c>
      <c r="D701" t="s">
        <v>31</v>
      </c>
      <c r="E701" t="s">
        <v>934</v>
      </c>
      <c r="F701" t="s">
        <v>278</v>
      </c>
      <c r="G701" t="s">
        <v>277</v>
      </c>
      <c r="H701" t="s">
        <v>797</v>
      </c>
      <c r="I701">
        <v>117335</v>
      </c>
      <c r="J701" s="3">
        <v>1408020</v>
      </c>
      <c r="K701" s="2">
        <v>29378</v>
      </c>
      <c r="L701" t="s">
        <v>51</v>
      </c>
      <c r="M701" t="s">
        <v>29</v>
      </c>
      <c r="N701">
        <v>8364</v>
      </c>
      <c r="O701" t="s">
        <v>73</v>
      </c>
      <c r="P701" t="s">
        <v>124</v>
      </c>
      <c r="Q701" t="s">
        <v>204</v>
      </c>
      <c r="R701" s="2">
        <v>43356</v>
      </c>
      <c r="S701" s="1" t="s">
        <v>796</v>
      </c>
      <c r="T701">
        <v>1</v>
      </c>
      <c r="U701" t="s">
        <v>290</v>
      </c>
      <c r="V701">
        <v>3</v>
      </c>
      <c r="W701" t="s">
        <v>45</v>
      </c>
      <c r="X701">
        <v>1</v>
      </c>
      <c r="Y701" t="s">
        <v>280</v>
      </c>
      <c r="Z701">
        <v>2</v>
      </c>
      <c r="AA701" t="s">
        <v>49</v>
      </c>
      <c r="AB701">
        <v>4.8</v>
      </c>
      <c r="AC701" t="s">
        <v>932</v>
      </c>
      <c r="AD701">
        <v>3</v>
      </c>
      <c r="AE701" s="2">
        <v>46001</v>
      </c>
      <c r="AF701">
        <v>1</v>
      </c>
      <c r="AG701">
        <v>9</v>
      </c>
    </row>
    <row r="702" spans="1:33">
      <c r="A702">
        <v>10401</v>
      </c>
      <c r="B702" t="s">
        <v>1622</v>
      </c>
      <c r="C702" t="s">
        <v>42</v>
      </c>
      <c r="D702" t="s">
        <v>42</v>
      </c>
      <c r="E702" t="s">
        <v>929</v>
      </c>
      <c r="F702" t="s">
        <v>288</v>
      </c>
      <c r="G702" t="s">
        <v>28</v>
      </c>
      <c r="H702" t="s">
        <v>798</v>
      </c>
      <c r="I702">
        <v>78913</v>
      </c>
      <c r="J702" s="3">
        <v>946956</v>
      </c>
      <c r="K702" s="2">
        <v>35127</v>
      </c>
      <c r="L702" t="s">
        <v>264</v>
      </c>
      <c r="M702" t="s">
        <v>191</v>
      </c>
      <c r="N702">
        <v>15319</v>
      </c>
      <c r="O702" t="s">
        <v>73</v>
      </c>
      <c r="P702" t="s">
        <v>124</v>
      </c>
      <c r="Q702" t="s">
        <v>270</v>
      </c>
      <c r="R702" s="2">
        <v>45472</v>
      </c>
      <c r="S702" s="1" t="s">
        <v>35</v>
      </c>
      <c r="T702">
        <v>1</v>
      </c>
      <c r="U702" t="s">
        <v>273</v>
      </c>
      <c r="V702">
        <v>1</v>
      </c>
      <c r="W702" t="s">
        <v>45</v>
      </c>
      <c r="X702">
        <v>0</v>
      </c>
      <c r="Y702" t="s">
        <v>280</v>
      </c>
      <c r="Z702">
        <v>4</v>
      </c>
      <c r="AA702" t="s">
        <v>49</v>
      </c>
      <c r="AB702">
        <v>4.5</v>
      </c>
      <c r="AC702" t="s">
        <v>962</v>
      </c>
      <c r="AD702">
        <v>5</v>
      </c>
      <c r="AE702" s="2">
        <v>45737</v>
      </c>
      <c r="AF702">
        <v>3</v>
      </c>
      <c r="AG702">
        <v>7</v>
      </c>
    </row>
    <row r="703" spans="1:33">
      <c r="A703">
        <v>10402</v>
      </c>
      <c r="B703" t="s">
        <v>1623</v>
      </c>
      <c r="C703" t="s">
        <v>31</v>
      </c>
      <c r="D703" t="s">
        <v>42</v>
      </c>
      <c r="E703" t="s">
        <v>934</v>
      </c>
      <c r="F703" t="s">
        <v>283</v>
      </c>
      <c r="G703" t="s">
        <v>269</v>
      </c>
      <c r="H703" t="s">
        <v>800</v>
      </c>
      <c r="I703">
        <v>42267</v>
      </c>
      <c r="J703" s="3">
        <v>507204</v>
      </c>
      <c r="K703" s="2">
        <v>24941</v>
      </c>
      <c r="L703" t="s">
        <v>264</v>
      </c>
      <c r="M703" t="s">
        <v>191</v>
      </c>
      <c r="N703">
        <v>91761</v>
      </c>
      <c r="O703" t="s">
        <v>33</v>
      </c>
      <c r="P703" t="s">
        <v>124</v>
      </c>
      <c r="Q703" t="s">
        <v>34</v>
      </c>
      <c r="R703" s="2">
        <v>42461</v>
      </c>
      <c r="S703" s="1" t="s">
        <v>799</v>
      </c>
      <c r="T703">
        <v>0</v>
      </c>
      <c r="U703" t="s">
        <v>36</v>
      </c>
      <c r="V703">
        <v>3</v>
      </c>
      <c r="W703" t="s">
        <v>36</v>
      </c>
      <c r="X703">
        <v>1</v>
      </c>
      <c r="Y703" t="s">
        <v>39</v>
      </c>
      <c r="Z703">
        <v>4</v>
      </c>
      <c r="AA703" t="s">
        <v>276</v>
      </c>
      <c r="AB703">
        <v>3.5</v>
      </c>
      <c r="AC703" t="s">
        <v>937</v>
      </c>
      <c r="AD703">
        <v>5</v>
      </c>
      <c r="AE703" s="2">
        <v>45754</v>
      </c>
      <c r="AF703">
        <v>0</v>
      </c>
      <c r="AG703">
        <v>2</v>
      </c>
    </row>
    <row r="704" spans="1:33">
      <c r="A704">
        <v>10403</v>
      </c>
      <c r="B704" t="s">
        <v>1624</v>
      </c>
      <c r="C704" t="s">
        <v>42</v>
      </c>
      <c r="D704" t="s">
        <v>56</v>
      </c>
      <c r="E704" t="s">
        <v>934</v>
      </c>
      <c r="F704" t="s">
        <v>278</v>
      </c>
      <c r="G704" t="s">
        <v>277</v>
      </c>
      <c r="H704" t="s">
        <v>801</v>
      </c>
      <c r="I704">
        <v>73727</v>
      </c>
      <c r="J704" s="3">
        <v>884724</v>
      </c>
      <c r="K704" s="2">
        <v>24834</v>
      </c>
      <c r="L704" t="s">
        <v>264</v>
      </c>
      <c r="M704" t="s">
        <v>191</v>
      </c>
      <c r="N704">
        <v>63765</v>
      </c>
      <c r="O704" t="s">
        <v>33</v>
      </c>
      <c r="P704" t="s">
        <v>124</v>
      </c>
      <c r="Q704" t="s">
        <v>160</v>
      </c>
      <c r="R704" s="2">
        <v>45187</v>
      </c>
      <c r="S704" s="1" t="s">
        <v>35</v>
      </c>
      <c r="T704">
        <v>1</v>
      </c>
      <c r="U704" t="s">
        <v>36</v>
      </c>
      <c r="V704">
        <v>2</v>
      </c>
      <c r="W704" t="s">
        <v>45</v>
      </c>
      <c r="X704">
        <v>1</v>
      </c>
      <c r="Y704" t="s">
        <v>48</v>
      </c>
      <c r="Z704">
        <v>1</v>
      </c>
      <c r="AA704" t="s">
        <v>276</v>
      </c>
      <c r="AB704">
        <v>3.7</v>
      </c>
      <c r="AC704" t="s">
        <v>937</v>
      </c>
      <c r="AD704">
        <v>5</v>
      </c>
      <c r="AE704" s="2">
        <v>45652</v>
      </c>
      <c r="AF704">
        <v>4</v>
      </c>
      <c r="AG704">
        <v>1</v>
      </c>
    </row>
    <row r="705" spans="1:33">
      <c r="A705">
        <v>10404</v>
      </c>
      <c r="B705" t="s">
        <v>1625</v>
      </c>
      <c r="C705" t="s">
        <v>42</v>
      </c>
      <c r="D705" t="s">
        <v>56</v>
      </c>
      <c r="E705" t="s">
        <v>934</v>
      </c>
      <c r="F705" t="s">
        <v>283</v>
      </c>
      <c r="G705" t="s">
        <v>62</v>
      </c>
      <c r="H705" t="s">
        <v>803</v>
      </c>
      <c r="I705">
        <v>115167</v>
      </c>
      <c r="J705" s="3">
        <v>1382004</v>
      </c>
      <c r="K705" s="2">
        <v>33637</v>
      </c>
      <c r="L705" t="s">
        <v>51</v>
      </c>
      <c r="M705" t="s">
        <v>80</v>
      </c>
      <c r="N705">
        <v>22857</v>
      </c>
      <c r="O705" t="s">
        <v>33</v>
      </c>
      <c r="P705" t="s">
        <v>32</v>
      </c>
      <c r="Q705" t="s">
        <v>160</v>
      </c>
      <c r="R705" s="2">
        <v>45847</v>
      </c>
      <c r="S705" s="1" t="s">
        <v>802</v>
      </c>
      <c r="T705">
        <v>1</v>
      </c>
      <c r="U705" t="s">
        <v>298</v>
      </c>
      <c r="V705">
        <v>1</v>
      </c>
      <c r="W705" t="s">
        <v>36</v>
      </c>
      <c r="X705">
        <v>1</v>
      </c>
      <c r="Y705" t="s">
        <v>39</v>
      </c>
      <c r="Z705">
        <v>2</v>
      </c>
      <c r="AA705" t="s">
        <v>95</v>
      </c>
      <c r="AB705">
        <v>2.5</v>
      </c>
      <c r="AC705" t="s">
        <v>930</v>
      </c>
      <c r="AD705">
        <v>5</v>
      </c>
      <c r="AE705" s="2">
        <v>45701</v>
      </c>
      <c r="AF705">
        <v>5</v>
      </c>
      <c r="AG705">
        <v>6</v>
      </c>
    </row>
    <row r="706" spans="1:33">
      <c r="A706">
        <v>10405</v>
      </c>
      <c r="B706" t="s">
        <v>1626</v>
      </c>
      <c r="C706" t="s">
        <v>42</v>
      </c>
      <c r="D706" t="s">
        <v>56</v>
      </c>
      <c r="E706" t="s">
        <v>934</v>
      </c>
      <c r="F706" t="s">
        <v>288</v>
      </c>
      <c r="G706" t="s">
        <v>28</v>
      </c>
      <c r="H706" t="s">
        <v>804</v>
      </c>
      <c r="I706">
        <v>93845</v>
      </c>
      <c r="J706" s="3">
        <v>1126140</v>
      </c>
      <c r="K706" s="2">
        <v>34883</v>
      </c>
      <c r="L706" t="s">
        <v>264</v>
      </c>
      <c r="M706" t="s">
        <v>210</v>
      </c>
      <c r="N706">
        <v>86929</v>
      </c>
      <c r="O706" t="s">
        <v>33</v>
      </c>
      <c r="P706" t="s">
        <v>124</v>
      </c>
      <c r="Q706" t="s">
        <v>92</v>
      </c>
      <c r="R706" s="2">
        <v>45402</v>
      </c>
      <c r="S706" s="1" t="s">
        <v>35</v>
      </c>
      <c r="T706">
        <v>1</v>
      </c>
      <c r="U706" t="s">
        <v>36</v>
      </c>
      <c r="V706">
        <v>1</v>
      </c>
      <c r="W706" t="s">
        <v>87</v>
      </c>
      <c r="X706">
        <v>1</v>
      </c>
      <c r="Y706" t="s">
        <v>280</v>
      </c>
      <c r="Z706">
        <v>2</v>
      </c>
      <c r="AA706" t="s">
        <v>49</v>
      </c>
      <c r="AB706">
        <v>3.3</v>
      </c>
      <c r="AC706" t="s">
        <v>932</v>
      </c>
      <c r="AD706">
        <v>5</v>
      </c>
      <c r="AE706" s="2">
        <v>45712</v>
      </c>
      <c r="AF706">
        <v>5</v>
      </c>
      <c r="AG706">
        <v>2</v>
      </c>
    </row>
    <row r="707" spans="1:33">
      <c r="A707">
        <v>10406</v>
      </c>
      <c r="B707" t="s">
        <v>1627</v>
      </c>
      <c r="C707" t="s">
        <v>42</v>
      </c>
      <c r="D707" t="s">
        <v>31</v>
      </c>
      <c r="E707" t="s">
        <v>934</v>
      </c>
      <c r="F707" t="s">
        <v>288</v>
      </c>
      <c r="G707" t="s">
        <v>62</v>
      </c>
      <c r="H707" t="s">
        <v>805</v>
      </c>
      <c r="I707">
        <v>91410</v>
      </c>
      <c r="J707" s="3">
        <v>1096920</v>
      </c>
      <c r="K707" s="2">
        <v>26440</v>
      </c>
      <c r="L707" t="s">
        <v>51</v>
      </c>
      <c r="M707" t="s">
        <v>144</v>
      </c>
      <c r="N707">
        <v>14252</v>
      </c>
      <c r="O707" t="s">
        <v>33</v>
      </c>
      <c r="P707" t="s">
        <v>32</v>
      </c>
      <c r="Q707" t="s">
        <v>270</v>
      </c>
      <c r="R707" s="2">
        <v>43279</v>
      </c>
      <c r="S707" s="1" t="s">
        <v>488</v>
      </c>
      <c r="T707">
        <v>0</v>
      </c>
      <c r="U707" t="s">
        <v>36</v>
      </c>
      <c r="V707">
        <v>2</v>
      </c>
      <c r="W707" t="s">
        <v>36</v>
      </c>
      <c r="X707">
        <v>1</v>
      </c>
      <c r="Y707" t="s">
        <v>39</v>
      </c>
      <c r="Z707">
        <v>2</v>
      </c>
      <c r="AA707" t="s">
        <v>276</v>
      </c>
      <c r="AB707">
        <v>4.7</v>
      </c>
      <c r="AC707" t="s">
        <v>932</v>
      </c>
      <c r="AD707">
        <v>3</v>
      </c>
      <c r="AE707" s="2">
        <v>45891</v>
      </c>
      <c r="AF707">
        <v>5</v>
      </c>
      <c r="AG707">
        <v>4</v>
      </c>
    </row>
    <row r="708" spans="1:33">
      <c r="A708">
        <v>10407</v>
      </c>
      <c r="B708" t="s">
        <v>1628</v>
      </c>
      <c r="C708" t="s">
        <v>42</v>
      </c>
      <c r="D708" t="s">
        <v>31</v>
      </c>
      <c r="E708" t="s">
        <v>929</v>
      </c>
      <c r="F708" t="s">
        <v>278</v>
      </c>
      <c r="G708" t="s">
        <v>277</v>
      </c>
      <c r="H708" t="s">
        <v>806</v>
      </c>
      <c r="I708">
        <v>74567</v>
      </c>
      <c r="J708" s="3">
        <v>894804</v>
      </c>
      <c r="K708" s="2">
        <v>34947</v>
      </c>
      <c r="L708" t="s">
        <v>51</v>
      </c>
      <c r="M708" t="s">
        <v>210</v>
      </c>
      <c r="N708">
        <v>61091</v>
      </c>
      <c r="O708" t="s">
        <v>33</v>
      </c>
      <c r="P708" t="s">
        <v>124</v>
      </c>
      <c r="Q708" t="s">
        <v>34</v>
      </c>
      <c r="R708" s="2">
        <v>45613</v>
      </c>
      <c r="S708" s="1" t="s">
        <v>35</v>
      </c>
      <c r="T708">
        <v>0</v>
      </c>
      <c r="U708" t="s">
        <v>36</v>
      </c>
      <c r="V708">
        <v>1</v>
      </c>
      <c r="W708" t="s">
        <v>36</v>
      </c>
      <c r="X708">
        <v>1</v>
      </c>
      <c r="Y708" t="s">
        <v>268</v>
      </c>
      <c r="Z708">
        <v>2</v>
      </c>
      <c r="AA708" t="s">
        <v>95</v>
      </c>
      <c r="AB708">
        <v>4.7</v>
      </c>
      <c r="AC708" t="s">
        <v>932</v>
      </c>
      <c r="AD708">
        <v>1</v>
      </c>
      <c r="AE708" s="2">
        <v>45967</v>
      </c>
      <c r="AF708">
        <v>2</v>
      </c>
      <c r="AG708">
        <v>1</v>
      </c>
    </row>
    <row r="709" spans="1:33">
      <c r="A709">
        <v>10408</v>
      </c>
      <c r="B709" t="s">
        <v>1629</v>
      </c>
      <c r="C709" t="s">
        <v>31</v>
      </c>
      <c r="D709" t="s">
        <v>31</v>
      </c>
      <c r="E709" t="s">
        <v>934</v>
      </c>
      <c r="F709" t="s">
        <v>274</v>
      </c>
      <c r="G709" t="s">
        <v>269</v>
      </c>
      <c r="H709" t="s">
        <v>807</v>
      </c>
      <c r="I709">
        <v>67427</v>
      </c>
      <c r="J709" s="3">
        <v>809124</v>
      </c>
      <c r="K709" s="2">
        <v>29260</v>
      </c>
      <c r="L709" t="s">
        <v>51</v>
      </c>
      <c r="M709" t="s">
        <v>80</v>
      </c>
      <c r="N709">
        <v>90499</v>
      </c>
      <c r="O709" t="s">
        <v>33</v>
      </c>
      <c r="P709" t="s">
        <v>124</v>
      </c>
      <c r="Q709" t="s">
        <v>204</v>
      </c>
      <c r="R709" s="2">
        <v>44841</v>
      </c>
      <c r="S709" s="1" t="s">
        <v>35</v>
      </c>
      <c r="T709">
        <v>0</v>
      </c>
      <c r="U709" t="s">
        <v>36</v>
      </c>
      <c r="V709">
        <v>2</v>
      </c>
      <c r="W709" t="s">
        <v>87</v>
      </c>
      <c r="X709">
        <v>1</v>
      </c>
      <c r="Y709" t="s">
        <v>48</v>
      </c>
      <c r="Z709">
        <v>1</v>
      </c>
      <c r="AA709" t="s">
        <v>95</v>
      </c>
      <c r="AB709">
        <v>4</v>
      </c>
      <c r="AC709" t="s">
        <v>1003</v>
      </c>
      <c r="AD709">
        <v>3</v>
      </c>
      <c r="AE709" s="2">
        <v>45708</v>
      </c>
      <c r="AF709">
        <v>5</v>
      </c>
      <c r="AG709">
        <v>1</v>
      </c>
    </row>
    <row r="710" spans="1:33">
      <c r="A710">
        <v>10409</v>
      </c>
      <c r="B710" t="s">
        <v>1630</v>
      </c>
      <c r="C710" t="s">
        <v>31</v>
      </c>
      <c r="D710" t="s">
        <v>31</v>
      </c>
      <c r="E710" t="s">
        <v>929</v>
      </c>
      <c r="F710" t="s">
        <v>274</v>
      </c>
      <c r="G710" t="s">
        <v>269</v>
      </c>
      <c r="H710" t="s">
        <v>808</v>
      </c>
      <c r="I710">
        <v>50017</v>
      </c>
      <c r="J710" s="3">
        <v>600204</v>
      </c>
      <c r="K710" s="2">
        <v>28514</v>
      </c>
      <c r="L710" t="s">
        <v>264</v>
      </c>
      <c r="M710" t="s">
        <v>210</v>
      </c>
      <c r="N710">
        <v>41673</v>
      </c>
      <c r="O710" t="s">
        <v>33</v>
      </c>
      <c r="P710" t="s">
        <v>124</v>
      </c>
      <c r="Q710" t="s">
        <v>204</v>
      </c>
      <c r="R710" s="2">
        <v>44763</v>
      </c>
      <c r="S710" s="1" t="s">
        <v>35</v>
      </c>
      <c r="T710">
        <v>1</v>
      </c>
      <c r="U710" t="s">
        <v>273</v>
      </c>
      <c r="V710">
        <v>1</v>
      </c>
      <c r="W710" t="s">
        <v>36</v>
      </c>
      <c r="X710">
        <v>0</v>
      </c>
      <c r="Y710" t="s">
        <v>280</v>
      </c>
      <c r="Z710">
        <v>2</v>
      </c>
      <c r="AA710" t="s">
        <v>136</v>
      </c>
      <c r="AB710">
        <v>4.8</v>
      </c>
      <c r="AC710" t="s">
        <v>962</v>
      </c>
      <c r="AD710">
        <v>4</v>
      </c>
      <c r="AE710" s="2">
        <v>45623</v>
      </c>
      <c r="AF710">
        <v>3</v>
      </c>
      <c r="AG710">
        <v>3</v>
      </c>
    </row>
    <row r="711" spans="1:33">
      <c r="A711">
        <v>10410</v>
      </c>
      <c r="B711" t="s">
        <v>1631</v>
      </c>
      <c r="C711" t="s">
        <v>42</v>
      </c>
      <c r="D711" t="s">
        <v>31</v>
      </c>
      <c r="E711" t="s">
        <v>934</v>
      </c>
      <c r="F711" t="s">
        <v>274</v>
      </c>
      <c r="G711" t="s">
        <v>62</v>
      </c>
      <c r="H711" t="s">
        <v>810</v>
      </c>
      <c r="I711">
        <v>61069</v>
      </c>
      <c r="J711" s="3">
        <v>732828</v>
      </c>
      <c r="K711" s="2">
        <v>35674</v>
      </c>
      <c r="L711" t="s">
        <v>51</v>
      </c>
      <c r="M711" t="s">
        <v>191</v>
      </c>
      <c r="N711">
        <v>8849</v>
      </c>
      <c r="O711" t="s">
        <v>73</v>
      </c>
      <c r="P711" t="s">
        <v>32</v>
      </c>
      <c r="Q711" t="s">
        <v>34</v>
      </c>
      <c r="R711" s="2">
        <v>45755</v>
      </c>
      <c r="S711" s="1" t="s">
        <v>809</v>
      </c>
      <c r="T711">
        <v>0</v>
      </c>
      <c r="U711" t="s">
        <v>36</v>
      </c>
      <c r="V711">
        <v>2</v>
      </c>
      <c r="W711" t="s">
        <v>87</v>
      </c>
      <c r="X711">
        <v>1</v>
      </c>
      <c r="Y711" t="s">
        <v>39</v>
      </c>
      <c r="Z711">
        <v>2</v>
      </c>
      <c r="AA711" t="s">
        <v>49</v>
      </c>
      <c r="AB711">
        <v>4.0999999999999996</v>
      </c>
      <c r="AC711" t="s">
        <v>962</v>
      </c>
      <c r="AD711">
        <v>3</v>
      </c>
      <c r="AE711" s="2">
        <v>45878</v>
      </c>
      <c r="AF711">
        <v>1</v>
      </c>
      <c r="AG711">
        <v>8</v>
      </c>
    </row>
    <row r="712" spans="1:33">
      <c r="A712">
        <v>10411</v>
      </c>
      <c r="B712" t="s">
        <v>1632</v>
      </c>
      <c r="C712" t="s">
        <v>31</v>
      </c>
      <c r="D712" t="s">
        <v>42</v>
      </c>
      <c r="E712" t="s">
        <v>929</v>
      </c>
      <c r="F712" t="s">
        <v>278</v>
      </c>
      <c r="G712" t="s">
        <v>277</v>
      </c>
      <c r="H712" t="s">
        <v>811</v>
      </c>
      <c r="I712">
        <v>75034</v>
      </c>
      <c r="J712" s="3">
        <v>900408</v>
      </c>
      <c r="K712" s="2">
        <v>34039</v>
      </c>
      <c r="L712" t="s">
        <v>264</v>
      </c>
      <c r="M712" t="s">
        <v>144</v>
      </c>
      <c r="N712">
        <v>89668</v>
      </c>
      <c r="O712" t="s">
        <v>33</v>
      </c>
      <c r="P712" t="s">
        <v>32</v>
      </c>
      <c r="Q712" t="s">
        <v>204</v>
      </c>
      <c r="R712" s="2">
        <v>44470</v>
      </c>
      <c r="S712" s="1" t="s">
        <v>35</v>
      </c>
      <c r="T712">
        <v>1</v>
      </c>
      <c r="U712" t="s">
        <v>36</v>
      </c>
      <c r="V712">
        <v>3</v>
      </c>
      <c r="W712" t="s">
        <v>87</v>
      </c>
      <c r="X712">
        <v>0</v>
      </c>
      <c r="Y712" t="s">
        <v>39</v>
      </c>
      <c r="Z712">
        <v>1</v>
      </c>
      <c r="AA712" t="s">
        <v>276</v>
      </c>
      <c r="AB712">
        <v>3.6</v>
      </c>
      <c r="AC712" t="s">
        <v>930</v>
      </c>
      <c r="AD712">
        <v>0</v>
      </c>
      <c r="AE712" s="2">
        <v>45658</v>
      </c>
      <c r="AF712">
        <v>0</v>
      </c>
      <c r="AG712">
        <v>1</v>
      </c>
    </row>
    <row r="713" spans="1:33">
      <c r="A713">
        <v>10412</v>
      </c>
      <c r="B713" t="s">
        <v>1633</v>
      </c>
      <c r="C713" t="s">
        <v>31</v>
      </c>
      <c r="D713" t="s">
        <v>31</v>
      </c>
      <c r="E713" t="s">
        <v>929</v>
      </c>
      <c r="F713" t="s">
        <v>271</v>
      </c>
      <c r="G713" t="s">
        <v>294</v>
      </c>
      <c r="H713" t="s">
        <v>812</v>
      </c>
      <c r="I713">
        <v>96399</v>
      </c>
      <c r="J713" s="3">
        <v>1156788</v>
      </c>
      <c r="K713" s="2">
        <v>31762</v>
      </c>
      <c r="L713" t="s">
        <v>51</v>
      </c>
      <c r="M713" t="s">
        <v>210</v>
      </c>
      <c r="N713">
        <v>82042</v>
      </c>
      <c r="O713" t="s">
        <v>73</v>
      </c>
      <c r="P713" t="s">
        <v>124</v>
      </c>
      <c r="Q713" t="s">
        <v>160</v>
      </c>
      <c r="R713" s="2">
        <v>45961</v>
      </c>
      <c r="S713" s="1" t="s">
        <v>35</v>
      </c>
      <c r="T713">
        <v>1</v>
      </c>
      <c r="U713" t="s">
        <v>36</v>
      </c>
      <c r="V713">
        <v>2</v>
      </c>
      <c r="W713" t="s">
        <v>45</v>
      </c>
      <c r="X713">
        <v>1</v>
      </c>
      <c r="Y713" t="s">
        <v>39</v>
      </c>
      <c r="Z713">
        <v>1</v>
      </c>
      <c r="AA713" t="s">
        <v>276</v>
      </c>
      <c r="AB713">
        <v>4.4000000000000004</v>
      </c>
      <c r="AC713" t="s">
        <v>1003</v>
      </c>
      <c r="AD713">
        <v>3</v>
      </c>
      <c r="AE713" s="2">
        <v>45786</v>
      </c>
      <c r="AF713">
        <v>3</v>
      </c>
      <c r="AG713">
        <v>6</v>
      </c>
    </row>
    <row r="714" spans="1:33">
      <c r="A714">
        <v>10413</v>
      </c>
      <c r="B714" t="s">
        <v>1634</v>
      </c>
      <c r="C714" t="s">
        <v>31</v>
      </c>
      <c r="D714" t="s">
        <v>42</v>
      </c>
      <c r="E714" t="s">
        <v>934</v>
      </c>
      <c r="F714" t="s">
        <v>274</v>
      </c>
      <c r="G714" t="s">
        <v>269</v>
      </c>
      <c r="H714" t="s">
        <v>813</v>
      </c>
      <c r="I714">
        <v>72980</v>
      </c>
      <c r="J714" s="3">
        <v>875760</v>
      </c>
      <c r="K714" s="2">
        <v>33943</v>
      </c>
      <c r="L714" t="s">
        <v>264</v>
      </c>
      <c r="M714" t="s">
        <v>210</v>
      </c>
      <c r="N714">
        <v>71516</v>
      </c>
      <c r="O714" t="s">
        <v>33</v>
      </c>
      <c r="P714" t="s">
        <v>32</v>
      </c>
      <c r="Q714" t="s">
        <v>204</v>
      </c>
      <c r="R714" s="2">
        <v>43649</v>
      </c>
      <c r="S714" s="1" t="s">
        <v>35</v>
      </c>
      <c r="T714">
        <v>0</v>
      </c>
      <c r="U714" t="s">
        <v>36</v>
      </c>
      <c r="V714">
        <v>1</v>
      </c>
      <c r="W714" t="s">
        <v>87</v>
      </c>
      <c r="X714">
        <v>0</v>
      </c>
      <c r="Y714" t="s">
        <v>280</v>
      </c>
      <c r="Z714">
        <v>4</v>
      </c>
      <c r="AA714" t="s">
        <v>95</v>
      </c>
      <c r="AB714">
        <v>2.6</v>
      </c>
      <c r="AC714" t="s">
        <v>930</v>
      </c>
      <c r="AD714">
        <v>4</v>
      </c>
      <c r="AE714" s="2">
        <v>45667</v>
      </c>
      <c r="AF714">
        <v>0</v>
      </c>
      <c r="AG714">
        <v>9</v>
      </c>
    </row>
    <row r="715" spans="1:33">
      <c r="A715">
        <v>10414</v>
      </c>
      <c r="B715" t="s">
        <v>1635</v>
      </c>
      <c r="C715" t="s">
        <v>31</v>
      </c>
      <c r="D715" t="s">
        <v>56</v>
      </c>
      <c r="E715" t="s">
        <v>934</v>
      </c>
      <c r="F715" t="s">
        <v>288</v>
      </c>
      <c r="G715" t="s">
        <v>28</v>
      </c>
      <c r="H715" t="s">
        <v>814</v>
      </c>
      <c r="I715">
        <v>34808</v>
      </c>
      <c r="J715" s="3">
        <v>417696</v>
      </c>
      <c r="K715" s="2">
        <v>35792</v>
      </c>
      <c r="L715" t="s">
        <v>264</v>
      </c>
      <c r="M715" t="s">
        <v>210</v>
      </c>
      <c r="N715">
        <v>59672</v>
      </c>
      <c r="O715" t="s">
        <v>73</v>
      </c>
      <c r="P715" t="s">
        <v>32</v>
      </c>
      <c r="Q715" t="s">
        <v>204</v>
      </c>
      <c r="R715" s="2">
        <v>45248</v>
      </c>
      <c r="S715" s="1" t="s">
        <v>35</v>
      </c>
      <c r="T715">
        <v>1</v>
      </c>
      <c r="U715" t="s">
        <v>273</v>
      </c>
      <c r="V715">
        <v>2</v>
      </c>
      <c r="W715" t="s">
        <v>45</v>
      </c>
      <c r="X715">
        <v>0</v>
      </c>
      <c r="Y715" t="s">
        <v>280</v>
      </c>
      <c r="Z715">
        <v>1</v>
      </c>
      <c r="AA715" t="s">
        <v>95</v>
      </c>
      <c r="AB715">
        <v>4</v>
      </c>
      <c r="AC715" t="s">
        <v>1003</v>
      </c>
      <c r="AD715">
        <v>2</v>
      </c>
      <c r="AE715" s="2">
        <v>45847</v>
      </c>
      <c r="AF715">
        <v>2</v>
      </c>
      <c r="AG715">
        <v>5</v>
      </c>
    </row>
    <row r="716" spans="1:33">
      <c r="A716">
        <v>10415</v>
      </c>
      <c r="B716" t="s">
        <v>1636</v>
      </c>
      <c r="C716" t="s">
        <v>42</v>
      </c>
      <c r="D716" t="s">
        <v>56</v>
      </c>
      <c r="E716" t="s">
        <v>934</v>
      </c>
      <c r="F716" t="s">
        <v>288</v>
      </c>
      <c r="G716" t="s">
        <v>62</v>
      </c>
      <c r="H716" t="s">
        <v>815</v>
      </c>
      <c r="I716">
        <v>109151</v>
      </c>
      <c r="J716" s="3">
        <v>1309812</v>
      </c>
      <c r="K716" s="2">
        <v>37415</v>
      </c>
      <c r="L716" t="s">
        <v>51</v>
      </c>
      <c r="M716" t="s">
        <v>29</v>
      </c>
      <c r="N716">
        <v>75046</v>
      </c>
      <c r="O716" t="s">
        <v>73</v>
      </c>
      <c r="P716" t="s">
        <v>32</v>
      </c>
      <c r="Q716" t="s">
        <v>270</v>
      </c>
      <c r="R716" s="2">
        <v>42602</v>
      </c>
      <c r="S716" s="1" t="s">
        <v>35</v>
      </c>
      <c r="T716">
        <v>0</v>
      </c>
      <c r="U716" t="s">
        <v>36</v>
      </c>
      <c r="V716">
        <v>2</v>
      </c>
      <c r="W716" t="s">
        <v>45</v>
      </c>
      <c r="X716">
        <v>0</v>
      </c>
      <c r="Y716" t="s">
        <v>280</v>
      </c>
      <c r="Z716">
        <v>4</v>
      </c>
      <c r="AA716" t="s">
        <v>276</v>
      </c>
      <c r="AB716">
        <v>2.8</v>
      </c>
      <c r="AC716" t="s">
        <v>937</v>
      </c>
      <c r="AD716">
        <v>1</v>
      </c>
      <c r="AE716" s="2">
        <v>45362</v>
      </c>
      <c r="AF716">
        <v>5</v>
      </c>
      <c r="AG716">
        <v>6</v>
      </c>
    </row>
    <row r="717" spans="1:33">
      <c r="A717">
        <v>10416</v>
      </c>
      <c r="B717" t="s">
        <v>1637</v>
      </c>
      <c r="C717" t="s">
        <v>31</v>
      </c>
      <c r="D717" t="s">
        <v>56</v>
      </c>
      <c r="E717" t="s">
        <v>934</v>
      </c>
      <c r="F717" t="s">
        <v>278</v>
      </c>
      <c r="G717" t="s">
        <v>62</v>
      </c>
      <c r="H717" t="s">
        <v>816</v>
      </c>
      <c r="I717">
        <v>39797</v>
      </c>
      <c r="J717" s="3">
        <v>477564</v>
      </c>
      <c r="K717" s="2">
        <v>25479</v>
      </c>
      <c r="L717" t="s">
        <v>264</v>
      </c>
      <c r="M717" t="s">
        <v>29</v>
      </c>
      <c r="N717">
        <v>95508</v>
      </c>
      <c r="O717" t="s">
        <v>33</v>
      </c>
      <c r="P717" t="s">
        <v>124</v>
      </c>
      <c r="Q717" t="s">
        <v>160</v>
      </c>
      <c r="R717" s="2">
        <v>42663</v>
      </c>
      <c r="S717" s="1" t="s">
        <v>35</v>
      </c>
      <c r="T717">
        <v>0</v>
      </c>
      <c r="U717" t="s">
        <v>36</v>
      </c>
      <c r="V717">
        <v>3</v>
      </c>
      <c r="W717" t="s">
        <v>87</v>
      </c>
      <c r="X717">
        <v>1</v>
      </c>
      <c r="Y717" t="s">
        <v>142</v>
      </c>
      <c r="Z717">
        <v>3</v>
      </c>
      <c r="AA717" t="s">
        <v>136</v>
      </c>
      <c r="AB717">
        <v>4.9000000000000004</v>
      </c>
      <c r="AC717" t="s">
        <v>1003</v>
      </c>
      <c r="AD717">
        <v>0</v>
      </c>
      <c r="AE717" s="2">
        <v>45910</v>
      </c>
      <c r="AF717">
        <v>4</v>
      </c>
      <c r="AG717">
        <v>8</v>
      </c>
    </row>
    <row r="718" spans="1:33">
      <c r="A718">
        <v>10417</v>
      </c>
      <c r="B718" t="s">
        <v>1638</v>
      </c>
      <c r="C718" t="s">
        <v>42</v>
      </c>
      <c r="D718" t="s">
        <v>42</v>
      </c>
      <c r="E718" t="s">
        <v>929</v>
      </c>
      <c r="F718" t="s">
        <v>283</v>
      </c>
      <c r="G718" t="s">
        <v>28</v>
      </c>
      <c r="H718" t="s">
        <v>817</v>
      </c>
      <c r="I718">
        <v>87609</v>
      </c>
      <c r="J718" s="3">
        <v>1051308</v>
      </c>
      <c r="K718" s="2">
        <v>32225</v>
      </c>
      <c r="L718" t="s">
        <v>51</v>
      </c>
      <c r="M718" t="s">
        <v>191</v>
      </c>
      <c r="N718">
        <v>19960</v>
      </c>
      <c r="O718" t="s">
        <v>33</v>
      </c>
      <c r="P718" t="s">
        <v>32</v>
      </c>
      <c r="Q718" t="s">
        <v>160</v>
      </c>
      <c r="R718" s="2">
        <v>45624</v>
      </c>
      <c r="S718" s="1" t="s">
        <v>35</v>
      </c>
      <c r="T718">
        <v>1</v>
      </c>
      <c r="U718" t="s">
        <v>273</v>
      </c>
      <c r="V718">
        <v>3</v>
      </c>
      <c r="W718" t="s">
        <v>45</v>
      </c>
      <c r="X718">
        <v>0</v>
      </c>
      <c r="Y718" t="s">
        <v>142</v>
      </c>
      <c r="Z718">
        <v>4</v>
      </c>
      <c r="AA718" t="s">
        <v>276</v>
      </c>
      <c r="AB718">
        <v>4.0999999999999996</v>
      </c>
      <c r="AC718" t="s">
        <v>932</v>
      </c>
      <c r="AD718">
        <v>3</v>
      </c>
      <c r="AE718" s="2">
        <v>45871</v>
      </c>
      <c r="AF718">
        <v>3</v>
      </c>
      <c r="AG718">
        <v>2</v>
      </c>
    </row>
    <row r="719" spans="1:33">
      <c r="A719">
        <v>10418</v>
      </c>
      <c r="B719" t="s">
        <v>1639</v>
      </c>
      <c r="C719" t="s">
        <v>42</v>
      </c>
      <c r="D719" t="s">
        <v>31</v>
      </c>
      <c r="E719" t="s">
        <v>929</v>
      </c>
      <c r="F719" t="s">
        <v>278</v>
      </c>
      <c r="G719" t="s">
        <v>28</v>
      </c>
      <c r="H719" t="s">
        <v>818</v>
      </c>
      <c r="I719">
        <v>77095</v>
      </c>
      <c r="J719" s="3">
        <v>925140</v>
      </c>
      <c r="K719" s="2">
        <v>30045</v>
      </c>
      <c r="L719" t="s">
        <v>264</v>
      </c>
      <c r="M719" t="s">
        <v>210</v>
      </c>
      <c r="N719">
        <v>23800</v>
      </c>
      <c r="O719" t="s">
        <v>33</v>
      </c>
      <c r="P719" t="s">
        <v>32</v>
      </c>
      <c r="Q719" t="s">
        <v>204</v>
      </c>
      <c r="R719" s="2">
        <v>45676</v>
      </c>
      <c r="S719" s="1" t="s">
        <v>35</v>
      </c>
      <c r="T719">
        <v>0</v>
      </c>
      <c r="U719" t="s">
        <v>36</v>
      </c>
      <c r="V719">
        <v>2</v>
      </c>
      <c r="W719" t="s">
        <v>45</v>
      </c>
      <c r="X719">
        <v>1</v>
      </c>
      <c r="Y719" t="s">
        <v>142</v>
      </c>
      <c r="Z719">
        <v>2</v>
      </c>
      <c r="AA719" t="s">
        <v>276</v>
      </c>
      <c r="AB719">
        <v>4.3</v>
      </c>
      <c r="AC719" t="s">
        <v>1003</v>
      </c>
      <c r="AD719">
        <v>2</v>
      </c>
      <c r="AE719" s="2">
        <v>45825</v>
      </c>
      <c r="AF719">
        <v>2</v>
      </c>
      <c r="AG719">
        <v>10</v>
      </c>
    </row>
    <row r="720" spans="1:33">
      <c r="A720">
        <v>10419</v>
      </c>
      <c r="B720" t="s">
        <v>1640</v>
      </c>
      <c r="C720" t="s">
        <v>31</v>
      </c>
      <c r="D720" t="s">
        <v>56</v>
      </c>
      <c r="E720" t="s">
        <v>929</v>
      </c>
      <c r="F720" t="s">
        <v>274</v>
      </c>
      <c r="G720" t="s">
        <v>62</v>
      </c>
      <c r="H720" t="s">
        <v>820</v>
      </c>
      <c r="I720">
        <v>72538</v>
      </c>
      <c r="J720" s="3">
        <v>870456</v>
      </c>
      <c r="K720" s="2">
        <v>25939</v>
      </c>
      <c r="L720" t="s">
        <v>51</v>
      </c>
      <c r="M720" t="s">
        <v>144</v>
      </c>
      <c r="N720">
        <v>15128</v>
      </c>
      <c r="O720" t="s">
        <v>73</v>
      </c>
      <c r="P720" t="s">
        <v>32</v>
      </c>
      <c r="Q720" t="s">
        <v>270</v>
      </c>
      <c r="R720" s="2">
        <v>43540</v>
      </c>
      <c r="S720" s="1" t="s">
        <v>819</v>
      </c>
      <c r="T720">
        <v>1</v>
      </c>
      <c r="U720" t="s">
        <v>273</v>
      </c>
      <c r="V720">
        <v>3</v>
      </c>
      <c r="W720" t="s">
        <v>87</v>
      </c>
      <c r="X720">
        <v>0</v>
      </c>
      <c r="Y720" t="s">
        <v>39</v>
      </c>
      <c r="Z720">
        <v>4</v>
      </c>
      <c r="AA720" t="s">
        <v>49</v>
      </c>
      <c r="AB720">
        <v>3.5</v>
      </c>
      <c r="AC720" t="s">
        <v>932</v>
      </c>
      <c r="AD720">
        <v>5</v>
      </c>
      <c r="AE720" s="2">
        <v>45876</v>
      </c>
      <c r="AF720">
        <v>1</v>
      </c>
      <c r="AG720">
        <v>10</v>
      </c>
    </row>
    <row r="721" spans="1:33">
      <c r="A721">
        <v>10420</v>
      </c>
      <c r="B721" t="s">
        <v>1641</v>
      </c>
      <c r="C721" t="s">
        <v>31</v>
      </c>
      <c r="D721" t="s">
        <v>31</v>
      </c>
      <c r="E721" t="s">
        <v>929</v>
      </c>
      <c r="F721" t="s">
        <v>283</v>
      </c>
      <c r="G721" t="s">
        <v>28</v>
      </c>
      <c r="H721" t="s">
        <v>821</v>
      </c>
      <c r="I721">
        <v>80396</v>
      </c>
      <c r="J721" s="3">
        <v>964752</v>
      </c>
      <c r="K721" s="2">
        <v>25274</v>
      </c>
      <c r="L721" t="s">
        <v>51</v>
      </c>
      <c r="M721" t="s">
        <v>191</v>
      </c>
      <c r="N721">
        <v>93131</v>
      </c>
      <c r="O721" t="s">
        <v>33</v>
      </c>
      <c r="P721" t="s">
        <v>32</v>
      </c>
      <c r="Q721" t="s">
        <v>270</v>
      </c>
      <c r="R721" s="2">
        <v>43493</v>
      </c>
      <c r="S721" s="1" t="s">
        <v>35</v>
      </c>
      <c r="T721">
        <v>0</v>
      </c>
      <c r="U721" t="s">
        <v>36</v>
      </c>
      <c r="V721">
        <v>2</v>
      </c>
      <c r="W721" t="s">
        <v>36</v>
      </c>
      <c r="X721">
        <v>0</v>
      </c>
      <c r="Y721" t="s">
        <v>48</v>
      </c>
      <c r="Z721">
        <v>1</v>
      </c>
      <c r="AA721" t="s">
        <v>95</v>
      </c>
      <c r="AB721">
        <v>2.9</v>
      </c>
      <c r="AC721" t="s">
        <v>937</v>
      </c>
      <c r="AD721">
        <v>4</v>
      </c>
      <c r="AE721" s="2">
        <v>45816</v>
      </c>
      <c r="AF721">
        <v>0</v>
      </c>
      <c r="AG721">
        <v>1</v>
      </c>
    </row>
    <row r="722" spans="1:33">
      <c r="A722">
        <v>10421</v>
      </c>
      <c r="B722" t="s">
        <v>1642</v>
      </c>
      <c r="C722" t="s">
        <v>42</v>
      </c>
      <c r="D722" t="s">
        <v>31</v>
      </c>
      <c r="E722" t="s">
        <v>934</v>
      </c>
      <c r="F722" t="s">
        <v>274</v>
      </c>
      <c r="G722" t="s">
        <v>269</v>
      </c>
      <c r="H722" t="s">
        <v>822</v>
      </c>
      <c r="I722">
        <v>73482</v>
      </c>
      <c r="J722" s="3">
        <v>881784</v>
      </c>
      <c r="K722" s="2">
        <v>30493</v>
      </c>
      <c r="L722" t="s">
        <v>51</v>
      </c>
      <c r="M722" t="s">
        <v>144</v>
      </c>
      <c r="N722">
        <v>77671</v>
      </c>
      <c r="O722" t="s">
        <v>33</v>
      </c>
      <c r="P722" t="s">
        <v>32</v>
      </c>
      <c r="Q722" t="s">
        <v>270</v>
      </c>
      <c r="R722" s="2">
        <v>44698</v>
      </c>
      <c r="S722" s="1" t="s">
        <v>35</v>
      </c>
      <c r="T722">
        <v>0</v>
      </c>
      <c r="U722" t="s">
        <v>36</v>
      </c>
      <c r="V722">
        <v>2</v>
      </c>
      <c r="W722" t="s">
        <v>45</v>
      </c>
      <c r="X722">
        <v>1</v>
      </c>
      <c r="Y722" t="s">
        <v>142</v>
      </c>
      <c r="Z722">
        <v>4</v>
      </c>
      <c r="AA722" t="s">
        <v>95</v>
      </c>
      <c r="AB722">
        <v>3.4</v>
      </c>
      <c r="AC722" t="s">
        <v>1003</v>
      </c>
      <c r="AD722">
        <v>5</v>
      </c>
      <c r="AE722" s="2">
        <v>45908</v>
      </c>
      <c r="AF722">
        <v>5</v>
      </c>
      <c r="AG722">
        <v>4</v>
      </c>
    </row>
    <row r="723" spans="1:33">
      <c r="A723">
        <v>10422</v>
      </c>
      <c r="B723" t="s">
        <v>1643</v>
      </c>
      <c r="C723" t="s">
        <v>31</v>
      </c>
      <c r="D723" t="s">
        <v>42</v>
      </c>
      <c r="E723" t="s">
        <v>929</v>
      </c>
      <c r="F723" t="s">
        <v>274</v>
      </c>
      <c r="G723" t="s">
        <v>277</v>
      </c>
      <c r="H723" t="s">
        <v>823</v>
      </c>
      <c r="I723">
        <v>61633</v>
      </c>
      <c r="J723" s="3">
        <v>739596</v>
      </c>
      <c r="K723" s="2">
        <v>30293</v>
      </c>
      <c r="L723" t="s">
        <v>51</v>
      </c>
      <c r="M723" t="s">
        <v>80</v>
      </c>
      <c r="N723">
        <v>53031</v>
      </c>
      <c r="O723" t="s">
        <v>73</v>
      </c>
      <c r="P723" t="s">
        <v>124</v>
      </c>
      <c r="Q723" t="s">
        <v>34</v>
      </c>
      <c r="R723" s="2">
        <v>43328</v>
      </c>
      <c r="S723" s="1" t="s">
        <v>35</v>
      </c>
      <c r="T723">
        <v>1</v>
      </c>
      <c r="U723" t="s">
        <v>36</v>
      </c>
      <c r="V723">
        <v>1</v>
      </c>
      <c r="W723" t="s">
        <v>45</v>
      </c>
      <c r="X723">
        <v>0</v>
      </c>
      <c r="Y723" t="s">
        <v>268</v>
      </c>
      <c r="Z723">
        <v>4</v>
      </c>
      <c r="AA723" t="s">
        <v>276</v>
      </c>
      <c r="AB723">
        <v>3.6</v>
      </c>
      <c r="AC723" t="s">
        <v>962</v>
      </c>
      <c r="AD723">
        <v>0</v>
      </c>
      <c r="AE723" s="2">
        <v>45607</v>
      </c>
      <c r="AF723">
        <v>4</v>
      </c>
      <c r="AG723">
        <v>5</v>
      </c>
    </row>
    <row r="724" spans="1:33">
      <c r="A724">
        <v>10423</v>
      </c>
      <c r="B724" t="s">
        <v>1644</v>
      </c>
      <c r="C724" t="s">
        <v>31</v>
      </c>
      <c r="D724" t="s">
        <v>56</v>
      </c>
      <c r="E724" t="s">
        <v>934</v>
      </c>
      <c r="F724" t="s">
        <v>288</v>
      </c>
      <c r="G724" t="s">
        <v>269</v>
      </c>
      <c r="H724" t="s">
        <v>824</v>
      </c>
      <c r="I724">
        <v>50502</v>
      </c>
      <c r="J724" s="3">
        <v>606024</v>
      </c>
      <c r="K724" s="2">
        <v>29294</v>
      </c>
      <c r="L724" t="s">
        <v>264</v>
      </c>
      <c r="M724" t="s">
        <v>191</v>
      </c>
      <c r="N724">
        <v>92630</v>
      </c>
      <c r="O724" t="s">
        <v>33</v>
      </c>
      <c r="P724" t="s">
        <v>32</v>
      </c>
      <c r="Q724" t="s">
        <v>34</v>
      </c>
      <c r="R724" s="2">
        <v>43683</v>
      </c>
      <c r="S724" s="1" t="s">
        <v>35</v>
      </c>
      <c r="T724">
        <v>1</v>
      </c>
      <c r="U724" t="s">
        <v>36</v>
      </c>
      <c r="V724">
        <v>2</v>
      </c>
      <c r="W724" t="s">
        <v>36</v>
      </c>
      <c r="X724">
        <v>1</v>
      </c>
      <c r="Y724" t="s">
        <v>48</v>
      </c>
      <c r="Z724">
        <v>1</v>
      </c>
      <c r="AA724" t="s">
        <v>95</v>
      </c>
      <c r="AB724">
        <v>4.8</v>
      </c>
      <c r="AC724" t="s">
        <v>930</v>
      </c>
      <c r="AD724">
        <v>1</v>
      </c>
      <c r="AE724" s="2">
        <v>45890</v>
      </c>
      <c r="AF724">
        <v>1</v>
      </c>
      <c r="AG724">
        <v>2</v>
      </c>
    </row>
    <row r="725" spans="1:33">
      <c r="A725">
        <v>10424</v>
      </c>
      <c r="B725" t="s">
        <v>1645</v>
      </c>
      <c r="C725" t="s">
        <v>31</v>
      </c>
      <c r="D725" t="s">
        <v>42</v>
      </c>
      <c r="E725" t="s">
        <v>934</v>
      </c>
      <c r="F725" t="s">
        <v>274</v>
      </c>
      <c r="G725" t="s">
        <v>277</v>
      </c>
      <c r="H725" t="s">
        <v>825</v>
      </c>
      <c r="I725">
        <v>80077</v>
      </c>
      <c r="J725" s="3">
        <v>960924</v>
      </c>
      <c r="K725" s="2">
        <v>28041</v>
      </c>
      <c r="L725" t="s">
        <v>264</v>
      </c>
      <c r="M725" t="s">
        <v>210</v>
      </c>
      <c r="N725">
        <v>75939</v>
      </c>
      <c r="O725" t="s">
        <v>33</v>
      </c>
      <c r="P725" t="s">
        <v>32</v>
      </c>
      <c r="Q725" t="s">
        <v>92</v>
      </c>
      <c r="R725" s="2">
        <v>45796</v>
      </c>
      <c r="S725" s="1" t="s">
        <v>35</v>
      </c>
      <c r="T725">
        <v>1</v>
      </c>
      <c r="U725" t="s">
        <v>36</v>
      </c>
      <c r="V725">
        <v>1</v>
      </c>
      <c r="W725" t="s">
        <v>45</v>
      </c>
      <c r="X725">
        <v>1</v>
      </c>
      <c r="Y725" t="s">
        <v>142</v>
      </c>
      <c r="Z725">
        <v>3</v>
      </c>
      <c r="AA725" t="s">
        <v>49</v>
      </c>
      <c r="AB725">
        <v>2.7</v>
      </c>
      <c r="AC725" t="s">
        <v>932</v>
      </c>
      <c r="AD725">
        <v>0</v>
      </c>
      <c r="AE725" s="2">
        <v>45706</v>
      </c>
      <c r="AF725">
        <v>0</v>
      </c>
      <c r="AG725">
        <v>1</v>
      </c>
    </row>
    <row r="726" spans="1:33">
      <c r="A726">
        <v>10425</v>
      </c>
      <c r="B726" t="s">
        <v>1646</v>
      </c>
      <c r="C726" t="s">
        <v>31</v>
      </c>
      <c r="D726" t="s">
        <v>42</v>
      </c>
      <c r="E726" t="s">
        <v>929</v>
      </c>
      <c r="F726" t="s">
        <v>274</v>
      </c>
      <c r="G726" t="s">
        <v>28</v>
      </c>
      <c r="H726" t="s">
        <v>826</v>
      </c>
      <c r="I726">
        <v>107141</v>
      </c>
      <c r="J726" s="3">
        <v>1285692</v>
      </c>
      <c r="K726" s="2">
        <v>37496</v>
      </c>
      <c r="L726" t="s">
        <v>264</v>
      </c>
      <c r="M726" t="s">
        <v>80</v>
      </c>
      <c r="N726">
        <v>55986</v>
      </c>
      <c r="O726" t="s">
        <v>73</v>
      </c>
      <c r="P726" t="s">
        <v>124</v>
      </c>
      <c r="Q726" t="s">
        <v>160</v>
      </c>
      <c r="R726" s="2">
        <v>44991</v>
      </c>
      <c r="S726" s="1" t="s">
        <v>35</v>
      </c>
      <c r="T726">
        <v>1</v>
      </c>
      <c r="U726" t="s">
        <v>36</v>
      </c>
      <c r="V726">
        <v>3</v>
      </c>
      <c r="W726" t="s">
        <v>87</v>
      </c>
      <c r="X726">
        <v>1</v>
      </c>
      <c r="Y726" t="s">
        <v>268</v>
      </c>
      <c r="Z726">
        <v>4</v>
      </c>
      <c r="AA726" t="s">
        <v>276</v>
      </c>
      <c r="AB726">
        <v>3.1</v>
      </c>
      <c r="AC726" t="s">
        <v>932</v>
      </c>
      <c r="AD726">
        <v>2</v>
      </c>
      <c r="AE726" s="2">
        <v>45751</v>
      </c>
      <c r="AF726">
        <v>4</v>
      </c>
      <c r="AG726">
        <v>1</v>
      </c>
    </row>
    <row r="727" spans="1:33">
      <c r="A727">
        <v>10426</v>
      </c>
      <c r="B727" t="s">
        <v>1647</v>
      </c>
      <c r="C727" t="s">
        <v>42</v>
      </c>
      <c r="D727" t="s">
        <v>31</v>
      </c>
      <c r="E727" t="s">
        <v>934</v>
      </c>
      <c r="F727" t="s">
        <v>113</v>
      </c>
      <c r="G727" t="s">
        <v>277</v>
      </c>
      <c r="H727" t="s">
        <v>827</v>
      </c>
      <c r="I727">
        <v>42428</v>
      </c>
      <c r="J727" s="3">
        <v>509136</v>
      </c>
      <c r="K727" s="2">
        <v>32911</v>
      </c>
      <c r="L727" t="s">
        <v>264</v>
      </c>
      <c r="M727" t="s">
        <v>191</v>
      </c>
      <c r="N727">
        <v>77385</v>
      </c>
      <c r="O727" t="s">
        <v>73</v>
      </c>
      <c r="P727" t="s">
        <v>124</v>
      </c>
      <c r="Q727" t="s">
        <v>34</v>
      </c>
      <c r="R727" s="2">
        <v>42516</v>
      </c>
      <c r="S727" s="1" t="s">
        <v>35</v>
      </c>
      <c r="T727">
        <v>1</v>
      </c>
      <c r="U727" t="s">
        <v>36</v>
      </c>
      <c r="V727">
        <v>3</v>
      </c>
      <c r="W727" t="s">
        <v>45</v>
      </c>
      <c r="X727">
        <v>1</v>
      </c>
      <c r="Y727" t="s">
        <v>142</v>
      </c>
      <c r="Z727">
        <v>1</v>
      </c>
      <c r="AA727" t="s">
        <v>95</v>
      </c>
      <c r="AB727">
        <v>4</v>
      </c>
      <c r="AC727" t="s">
        <v>962</v>
      </c>
      <c r="AD727">
        <v>5</v>
      </c>
      <c r="AE727" s="2">
        <v>45642</v>
      </c>
      <c r="AF727">
        <v>1</v>
      </c>
      <c r="AG727">
        <v>6</v>
      </c>
    </row>
    <row r="728" spans="1:33">
      <c r="A728">
        <v>10427</v>
      </c>
      <c r="B728" t="s">
        <v>1648</v>
      </c>
      <c r="C728" t="s">
        <v>42</v>
      </c>
      <c r="D728" t="s">
        <v>31</v>
      </c>
      <c r="E728" t="s">
        <v>934</v>
      </c>
      <c r="F728" t="s">
        <v>274</v>
      </c>
      <c r="G728" t="s">
        <v>294</v>
      </c>
      <c r="H728" t="s">
        <v>828</v>
      </c>
      <c r="I728">
        <v>74209</v>
      </c>
      <c r="J728" s="3">
        <v>890508</v>
      </c>
      <c r="K728" s="2">
        <v>31657</v>
      </c>
      <c r="L728" t="s">
        <v>264</v>
      </c>
      <c r="M728" t="s">
        <v>210</v>
      </c>
      <c r="N728">
        <v>43782</v>
      </c>
      <c r="O728" t="s">
        <v>33</v>
      </c>
      <c r="P728" t="s">
        <v>32</v>
      </c>
      <c r="Q728" t="s">
        <v>34</v>
      </c>
      <c r="R728" s="2">
        <v>45403</v>
      </c>
      <c r="S728" s="1" t="s">
        <v>35</v>
      </c>
      <c r="T728">
        <v>1</v>
      </c>
      <c r="U728" t="s">
        <v>273</v>
      </c>
      <c r="V728">
        <v>2</v>
      </c>
      <c r="W728" t="s">
        <v>36</v>
      </c>
      <c r="X728">
        <v>1</v>
      </c>
      <c r="Y728" t="s">
        <v>268</v>
      </c>
      <c r="Z728">
        <v>1</v>
      </c>
      <c r="AA728" t="s">
        <v>49</v>
      </c>
      <c r="AB728">
        <v>3.6</v>
      </c>
      <c r="AC728" t="s">
        <v>1003</v>
      </c>
      <c r="AD728">
        <v>2</v>
      </c>
      <c r="AE728" s="2">
        <v>45682</v>
      </c>
      <c r="AF728">
        <v>0</v>
      </c>
      <c r="AG728">
        <v>7</v>
      </c>
    </row>
    <row r="729" spans="1:33">
      <c r="A729">
        <v>10428</v>
      </c>
      <c r="B729" t="s">
        <v>1649</v>
      </c>
      <c r="C729" t="s">
        <v>42</v>
      </c>
      <c r="D729" t="s">
        <v>31</v>
      </c>
      <c r="E729" t="s">
        <v>934</v>
      </c>
      <c r="F729" t="s">
        <v>288</v>
      </c>
      <c r="G729" t="s">
        <v>269</v>
      </c>
      <c r="H729" t="s">
        <v>829</v>
      </c>
      <c r="I729">
        <v>100274</v>
      </c>
      <c r="J729" s="3">
        <v>1203288</v>
      </c>
      <c r="K729" s="2">
        <v>32255</v>
      </c>
      <c r="L729" t="s">
        <v>264</v>
      </c>
      <c r="M729" t="s">
        <v>210</v>
      </c>
      <c r="N729">
        <v>11525</v>
      </c>
      <c r="O729" t="s">
        <v>73</v>
      </c>
      <c r="P729" t="s">
        <v>124</v>
      </c>
      <c r="Q729" t="s">
        <v>34</v>
      </c>
      <c r="R729" s="2">
        <v>44859</v>
      </c>
      <c r="S729" s="1" t="s">
        <v>35</v>
      </c>
      <c r="T729">
        <v>1</v>
      </c>
      <c r="U729" t="s">
        <v>298</v>
      </c>
      <c r="V729">
        <v>2</v>
      </c>
      <c r="W729" t="s">
        <v>87</v>
      </c>
      <c r="X729">
        <v>1</v>
      </c>
      <c r="Y729" t="s">
        <v>142</v>
      </c>
      <c r="Z729">
        <v>1</v>
      </c>
      <c r="AA729" t="s">
        <v>49</v>
      </c>
      <c r="AB729">
        <v>4.7</v>
      </c>
      <c r="AC729" t="s">
        <v>962</v>
      </c>
      <c r="AD729">
        <v>3</v>
      </c>
      <c r="AE729" s="2">
        <v>45666</v>
      </c>
      <c r="AF729">
        <v>3</v>
      </c>
      <c r="AG729">
        <v>9</v>
      </c>
    </row>
    <row r="730" spans="1:33">
      <c r="A730">
        <v>10429</v>
      </c>
      <c r="B730" t="s">
        <v>1650</v>
      </c>
      <c r="C730" t="s">
        <v>31</v>
      </c>
      <c r="D730" t="s">
        <v>31</v>
      </c>
      <c r="E730" t="s">
        <v>934</v>
      </c>
      <c r="F730" t="s">
        <v>274</v>
      </c>
      <c r="G730" t="s">
        <v>62</v>
      </c>
      <c r="H730" t="s">
        <v>830</v>
      </c>
      <c r="I730">
        <v>107327</v>
      </c>
      <c r="J730" s="3">
        <v>1287924</v>
      </c>
      <c r="K730" s="2">
        <v>24098</v>
      </c>
      <c r="L730" t="s">
        <v>264</v>
      </c>
      <c r="M730" t="s">
        <v>210</v>
      </c>
      <c r="N730">
        <v>32399</v>
      </c>
      <c r="O730" t="s">
        <v>73</v>
      </c>
      <c r="P730" t="s">
        <v>124</v>
      </c>
      <c r="Q730" t="s">
        <v>204</v>
      </c>
      <c r="R730" s="2">
        <v>43479</v>
      </c>
      <c r="S730" s="1" t="s">
        <v>35</v>
      </c>
      <c r="T730">
        <v>1</v>
      </c>
      <c r="U730" t="s">
        <v>298</v>
      </c>
      <c r="V730">
        <v>1</v>
      </c>
      <c r="W730" t="s">
        <v>45</v>
      </c>
      <c r="X730">
        <v>0</v>
      </c>
      <c r="Y730" t="s">
        <v>280</v>
      </c>
      <c r="Z730">
        <v>1</v>
      </c>
      <c r="AA730" t="s">
        <v>136</v>
      </c>
      <c r="AB730">
        <v>3.5</v>
      </c>
      <c r="AC730" t="s">
        <v>937</v>
      </c>
      <c r="AD730">
        <v>1</v>
      </c>
      <c r="AE730" s="2">
        <v>46000</v>
      </c>
      <c r="AF730">
        <v>4</v>
      </c>
      <c r="AG730">
        <v>8</v>
      </c>
    </row>
    <row r="731" spans="1:33">
      <c r="A731">
        <v>10430</v>
      </c>
      <c r="B731" t="s">
        <v>1651</v>
      </c>
      <c r="C731" t="s">
        <v>42</v>
      </c>
      <c r="D731" t="s">
        <v>56</v>
      </c>
      <c r="E731" t="s">
        <v>929</v>
      </c>
      <c r="F731" t="s">
        <v>271</v>
      </c>
      <c r="G731" t="s">
        <v>62</v>
      </c>
      <c r="H731" t="s">
        <v>831</v>
      </c>
      <c r="I731">
        <v>89252</v>
      </c>
      <c r="J731" s="3">
        <v>1071024</v>
      </c>
      <c r="K731" s="2">
        <v>35694</v>
      </c>
      <c r="L731" t="s">
        <v>51</v>
      </c>
      <c r="M731" t="s">
        <v>80</v>
      </c>
      <c r="N731">
        <v>61230</v>
      </c>
      <c r="O731" t="s">
        <v>73</v>
      </c>
      <c r="P731" t="s">
        <v>32</v>
      </c>
      <c r="Q731" t="s">
        <v>270</v>
      </c>
      <c r="R731" s="2">
        <v>45800</v>
      </c>
      <c r="S731" s="1" t="s">
        <v>35</v>
      </c>
      <c r="T731">
        <v>0</v>
      </c>
      <c r="U731" t="s">
        <v>36</v>
      </c>
      <c r="V731">
        <v>1</v>
      </c>
      <c r="W731" t="s">
        <v>45</v>
      </c>
      <c r="X731">
        <v>1</v>
      </c>
      <c r="Y731" t="s">
        <v>48</v>
      </c>
      <c r="Z731">
        <v>4</v>
      </c>
      <c r="AA731" t="s">
        <v>49</v>
      </c>
      <c r="AB731">
        <v>4.7</v>
      </c>
      <c r="AC731" t="s">
        <v>930</v>
      </c>
      <c r="AD731">
        <v>1</v>
      </c>
      <c r="AE731" s="2">
        <v>45950</v>
      </c>
      <c r="AF731">
        <v>1</v>
      </c>
      <c r="AG731">
        <v>3</v>
      </c>
    </row>
    <row r="732" spans="1:33">
      <c r="A732">
        <v>10431</v>
      </c>
      <c r="B732" t="s">
        <v>1652</v>
      </c>
      <c r="C732" t="s">
        <v>42</v>
      </c>
      <c r="D732" t="s">
        <v>31</v>
      </c>
      <c r="E732" t="s">
        <v>934</v>
      </c>
      <c r="F732" t="s">
        <v>274</v>
      </c>
      <c r="G732" t="s">
        <v>294</v>
      </c>
      <c r="H732" t="s">
        <v>833</v>
      </c>
      <c r="I732">
        <v>104706</v>
      </c>
      <c r="J732" s="3">
        <v>1256472</v>
      </c>
      <c r="K732" s="2">
        <v>31187</v>
      </c>
      <c r="L732" t="s">
        <v>51</v>
      </c>
      <c r="M732" t="s">
        <v>80</v>
      </c>
      <c r="N732">
        <v>59562</v>
      </c>
      <c r="O732" t="s">
        <v>73</v>
      </c>
      <c r="P732" t="s">
        <v>32</v>
      </c>
      <c r="Q732" t="s">
        <v>204</v>
      </c>
      <c r="R732" s="2">
        <v>43039</v>
      </c>
      <c r="S732" s="1" t="s">
        <v>832</v>
      </c>
      <c r="T732">
        <v>1</v>
      </c>
      <c r="U732" t="s">
        <v>266</v>
      </c>
      <c r="V732">
        <v>1</v>
      </c>
      <c r="W732" t="s">
        <v>87</v>
      </c>
      <c r="X732">
        <v>0</v>
      </c>
      <c r="Y732" t="s">
        <v>48</v>
      </c>
      <c r="Z732">
        <v>3</v>
      </c>
      <c r="AA732" t="s">
        <v>49</v>
      </c>
      <c r="AB732">
        <v>3.9</v>
      </c>
      <c r="AC732" t="s">
        <v>937</v>
      </c>
      <c r="AD732">
        <v>5</v>
      </c>
      <c r="AE732" s="2">
        <v>45829</v>
      </c>
      <c r="AF732">
        <v>5</v>
      </c>
      <c r="AG732">
        <v>6</v>
      </c>
    </row>
    <row r="733" spans="1:33">
      <c r="A733">
        <v>10432</v>
      </c>
      <c r="B733" t="s">
        <v>1653</v>
      </c>
      <c r="C733" t="s">
        <v>31</v>
      </c>
      <c r="D733" t="s">
        <v>31</v>
      </c>
      <c r="E733" t="s">
        <v>934</v>
      </c>
      <c r="F733" t="s">
        <v>113</v>
      </c>
      <c r="G733" t="s">
        <v>294</v>
      </c>
      <c r="H733" t="s">
        <v>835</v>
      </c>
      <c r="I733">
        <v>115645</v>
      </c>
      <c r="J733" s="3">
        <v>1387740</v>
      </c>
      <c r="K733" s="2">
        <v>29567</v>
      </c>
      <c r="L733" t="s">
        <v>51</v>
      </c>
      <c r="M733" t="s">
        <v>80</v>
      </c>
      <c r="N733">
        <v>87644</v>
      </c>
      <c r="O733" t="s">
        <v>73</v>
      </c>
      <c r="P733" t="s">
        <v>124</v>
      </c>
      <c r="Q733" t="s">
        <v>204</v>
      </c>
      <c r="R733" s="2">
        <v>43420</v>
      </c>
      <c r="S733" s="1" t="s">
        <v>834</v>
      </c>
      <c r="T733">
        <v>1</v>
      </c>
      <c r="U733" t="s">
        <v>266</v>
      </c>
      <c r="V733">
        <v>1</v>
      </c>
      <c r="W733" t="s">
        <v>87</v>
      </c>
      <c r="X733">
        <v>0</v>
      </c>
      <c r="Y733" t="s">
        <v>280</v>
      </c>
      <c r="Z733">
        <v>3</v>
      </c>
      <c r="AA733" t="s">
        <v>136</v>
      </c>
      <c r="AB733">
        <v>4.5</v>
      </c>
      <c r="AC733" t="s">
        <v>932</v>
      </c>
      <c r="AD733">
        <v>5</v>
      </c>
      <c r="AE733" s="2">
        <v>45898</v>
      </c>
      <c r="AF733">
        <v>1</v>
      </c>
      <c r="AG733">
        <v>9</v>
      </c>
    </row>
    <row r="734" spans="1:33">
      <c r="A734">
        <v>10433</v>
      </c>
      <c r="B734" t="s">
        <v>1654</v>
      </c>
      <c r="C734" t="s">
        <v>42</v>
      </c>
      <c r="D734" t="s">
        <v>31</v>
      </c>
      <c r="E734" t="s">
        <v>929</v>
      </c>
      <c r="F734" t="s">
        <v>274</v>
      </c>
      <c r="G734" t="s">
        <v>277</v>
      </c>
      <c r="H734" t="s">
        <v>837</v>
      </c>
      <c r="I734">
        <v>109886</v>
      </c>
      <c r="J734" s="3">
        <v>1318632</v>
      </c>
      <c r="K734" s="2">
        <v>28063</v>
      </c>
      <c r="L734" t="s">
        <v>264</v>
      </c>
      <c r="M734" t="s">
        <v>29</v>
      </c>
      <c r="N734">
        <v>39827</v>
      </c>
      <c r="O734" t="s">
        <v>33</v>
      </c>
      <c r="P734" t="s">
        <v>32</v>
      </c>
      <c r="Q734" t="s">
        <v>270</v>
      </c>
      <c r="R734" s="2">
        <v>45092</v>
      </c>
      <c r="S734" s="1" t="s">
        <v>836</v>
      </c>
      <c r="T734">
        <v>1</v>
      </c>
      <c r="U734" t="s">
        <v>36</v>
      </c>
      <c r="V734">
        <v>3</v>
      </c>
      <c r="W734" t="s">
        <v>87</v>
      </c>
      <c r="X734">
        <v>1</v>
      </c>
      <c r="Y734" t="s">
        <v>268</v>
      </c>
      <c r="Z734">
        <v>2</v>
      </c>
      <c r="AA734" t="s">
        <v>136</v>
      </c>
      <c r="AB734">
        <v>2.5</v>
      </c>
      <c r="AC734" t="s">
        <v>932</v>
      </c>
      <c r="AD734">
        <v>5</v>
      </c>
      <c r="AE734" s="2">
        <v>45730</v>
      </c>
      <c r="AF734">
        <v>4</v>
      </c>
      <c r="AG734">
        <v>10</v>
      </c>
    </row>
    <row r="735" spans="1:33">
      <c r="A735">
        <v>10434</v>
      </c>
      <c r="B735" t="s">
        <v>1655</v>
      </c>
      <c r="C735" t="s">
        <v>42</v>
      </c>
      <c r="D735" t="s">
        <v>42</v>
      </c>
      <c r="E735" t="s">
        <v>934</v>
      </c>
      <c r="F735" t="s">
        <v>271</v>
      </c>
      <c r="G735" t="s">
        <v>277</v>
      </c>
      <c r="H735" t="s">
        <v>838</v>
      </c>
      <c r="I735">
        <v>117016</v>
      </c>
      <c r="J735" s="3">
        <v>1404192</v>
      </c>
      <c r="K735" s="2">
        <v>33536</v>
      </c>
      <c r="L735" t="s">
        <v>51</v>
      </c>
      <c r="M735" t="s">
        <v>29</v>
      </c>
      <c r="N735">
        <v>58480</v>
      </c>
      <c r="O735" t="s">
        <v>73</v>
      </c>
      <c r="P735" t="s">
        <v>124</v>
      </c>
      <c r="Q735" t="s">
        <v>270</v>
      </c>
      <c r="R735" s="2">
        <v>45892</v>
      </c>
      <c r="S735" s="1" t="s">
        <v>610</v>
      </c>
      <c r="T735">
        <v>1</v>
      </c>
      <c r="U735" t="s">
        <v>298</v>
      </c>
      <c r="V735">
        <v>1</v>
      </c>
      <c r="W735" t="s">
        <v>36</v>
      </c>
      <c r="X735">
        <v>0</v>
      </c>
      <c r="Y735" t="s">
        <v>280</v>
      </c>
      <c r="Z735">
        <v>1</v>
      </c>
      <c r="AA735" t="s">
        <v>276</v>
      </c>
      <c r="AB735">
        <v>3.1</v>
      </c>
      <c r="AC735" t="s">
        <v>930</v>
      </c>
      <c r="AD735">
        <v>2</v>
      </c>
      <c r="AE735" s="2">
        <v>45885</v>
      </c>
      <c r="AF735">
        <v>2</v>
      </c>
      <c r="AG735">
        <v>8</v>
      </c>
    </row>
    <row r="736" spans="1:33">
      <c r="A736">
        <v>10435</v>
      </c>
      <c r="B736" t="s">
        <v>1656</v>
      </c>
      <c r="C736" t="s">
        <v>31</v>
      </c>
      <c r="D736" t="s">
        <v>56</v>
      </c>
      <c r="E736" t="s">
        <v>929</v>
      </c>
      <c r="F736" t="s">
        <v>274</v>
      </c>
      <c r="G736" t="s">
        <v>28</v>
      </c>
      <c r="H736" t="s">
        <v>840</v>
      </c>
      <c r="I736">
        <v>77372</v>
      </c>
      <c r="J736" s="3">
        <v>928464</v>
      </c>
      <c r="K736" s="2">
        <v>24176</v>
      </c>
      <c r="L736" t="s">
        <v>51</v>
      </c>
      <c r="M736" t="s">
        <v>29</v>
      </c>
      <c r="N736">
        <v>37226</v>
      </c>
      <c r="O736" t="s">
        <v>33</v>
      </c>
      <c r="P736" t="s">
        <v>124</v>
      </c>
      <c r="Q736" t="s">
        <v>160</v>
      </c>
      <c r="R736" s="2">
        <v>44415</v>
      </c>
      <c r="S736" s="1" t="s">
        <v>839</v>
      </c>
      <c r="T736">
        <v>0</v>
      </c>
      <c r="U736" t="s">
        <v>36</v>
      </c>
      <c r="V736">
        <v>3</v>
      </c>
      <c r="W736" t="s">
        <v>87</v>
      </c>
      <c r="X736">
        <v>1</v>
      </c>
      <c r="Y736" t="s">
        <v>280</v>
      </c>
      <c r="Z736">
        <v>4</v>
      </c>
      <c r="AA736" t="s">
        <v>276</v>
      </c>
      <c r="AB736">
        <v>2.6</v>
      </c>
      <c r="AC736" t="s">
        <v>937</v>
      </c>
      <c r="AD736">
        <v>3</v>
      </c>
      <c r="AE736" s="2">
        <v>45695</v>
      </c>
      <c r="AF736">
        <v>0</v>
      </c>
      <c r="AG736">
        <v>3</v>
      </c>
    </row>
    <row r="737" spans="1:33">
      <c r="A737">
        <v>10436</v>
      </c>
      <c r="B737" t="s">
        <v>1657</v>
      </c>
      <c r="C737" t="s">
        <v>42</v>
      </c>
      <c r="D737" t="s">
        <v>31</v>
      </c>
      <c r="E737" t="s">
        <v>934</v>
      </c>
      <c r="F737" t="s">
        <v>288</v>
      </c>
      <c r="G737" t="s">
        <v>269</v>
      </c>
      <c r="H737" t="s">
        <v>841</v>
      </c>
      <c r="I737">
        <v>36878</v>
      </c>
      <c r="J737" s="3">
        <v>442536</v>
      </c>
      <c r="K737" s="2">
        <v>26317</v>
      </c>
      <c r="L737" t="s">
        <v>51</v>
      </c>
      <c r="M737" t="s">
        <v>29</v>
      </c>
      <c r="N737">
        <v>40640</v>
      </c>
      <c r="O737" t="s">
        <v>73</v>
      </c>
      <c r="P737" t="s">
        <v>124</v>
      </c>
      <c r="Q737" t="s">
        <v>270</v>
      </c>
      <c r="R737" s="2">
        <v>43427</v>
      </c>
      <c r="S737" s="1" t="s">
        <v>35</v>
      </c>
      <c r="T737">
        <v>0</v>
      </c>
      <c r="U737" t="s">
        <v>36</v>
      </c>
      <c r="V737">
        <v>2</v>
      </c>
      <c r="W737" t="s">
        <v>87</v>
      </c>
      <c r="X737">
        <v>0</v>
      </c>
      <c r="Y737" t="s">
        <v>280</v>
      </c>
      <c r="Z737">
        <v>3</v>
      </c>
      <c r="AA737" t="s">
        <v>136</v>
      </c>
      <c r="AB737">
        <v>3</v>
      </c>
      <c r="AC737" t="s">
        <v>930</v>
      </c>
      <c r="AD737">
        <v>5</v>
      </c>
      <c r="AE737" s="2">
        <v>45659</v>
      </c>
      <c r="AF737">
        <v>3</v>
      </c>
      <c r="AG737">
        <v>9</v>
      </c>
    </row>
    <row r="738" spans="1:33">
      <c r="A738">
        <v>10437</v>
      </c>
      <c r="B738" t="s">
        <v>1658</v>
      </c>
      <c r="C738" t="s">
        <v>31</v>
      </c>
      <c r="D738" t="s">
        <v>56</v>
      </c>
      <c r="E738" t="s">
        <v>929</v>
      </c>
      <c r="F738" t="s">
        <v>271</v>
      </c>
      <c r="G738" t="s">
        <v>277</v>
      </c>
      <c r="H738" t="s">
        <v>842</v>
      </c>
      <c r="I738">
        <v>119991</v>
      </c>
      <c r="J738" s="3">
        <v>1439892</v>
      </c>
      <c r="K738" s="2">
        <v>29047</v>
      </c>
      <c r="L738" t="s">
        <v>264</v>
      </c>
      <c r="M738" t="s">
        <v>29</v>
      </c>
      <c r="N738">
        <v>73341</v>
      </c>
      <c r="O738" t="s">
        <v>33</v>
      </c>
      <c r="P738" t="s">
        <v>32</v>
      </c>
      <c r="Q738" t="s">
        <v>160</v>
      </c>
      <c r="R738" s="2">
        <v>42753</v>
      </c>
      <c r="S738" s="1" t="s">
        <v>35</v>
      </c>
      <c r="T738">
        <v>0</v>
      </c>
      <c r="U738" t="s">
        <v>36</v>
      </c>
      <c r="V738">
        <v>3</v>
      </c>
      <c r="W738" t="s">
        <v>36</v>
      </c>
      <c r="X738">
        <v>0</v>
      </c>
      <c r="Y738" t="s">
        <v>142</v>
      </c>
      <c r="Z738">
        <v>1</v>
      </c>
      <c r="AA738" t="s">
        <v>49</v>
      </c>
      <c r="AB738">
        <v>4.5</v>
      </c>
      <c r="AC738" t="s">
        <v>932</v>
      </c>
      <c r="AD738">
        <v>1</v>
      </c>
      <c r="AE738" s="2">
        <v>45657</v>
      </c>
      <c r="AF738">
        <v>5</v>
      </c>
      <c r="AG738">
        <v>6</v>
      </c>
    </row>
    <row r="739" spans="1:33">
      <c r="A739">
        <v>10438</v>
      </c>
      <c r="B739" t="s">
        <v>1659</v>
      </c>
      <c r="C739" t="s">
        <v>31</v>
      </c>
      <c r="D739" t="s">
        <v>42</v>
      </c>
      <c r="E739" t="s">
        <v>934</v>
      </c>
      <c r="F739" t="s">
        <v>271</v>
      </c>
      <c r="G739" t="s">
        <v>28</v>
      </c>
      <c r="H739" t="s">
        <v>843</v>
      </c>
      <c r="I739">
        <v>62929</v>
      </c>
      <c r="J739" s="3">
        <v>755148</v>
      </c>
      <c r="K739" s="2">
        <v>27442</v>
      </c>
      <c r="L739" t="s">
        <v>51</v>
      </c>
      <c r="M739" t="s">
        <v>144</v>
      </c>
      <c r="N739">
        <v>27597</v>
      </c>
      <c r="O739" t="s">
        <v>33</v>
      </c>
      <c r="P739" t="s">
        <v>124</v>
      </c>
      <c r="Q739" t="s">
        <v>160</v>
      </c>
      <c r="R739" s="2">
        <v>42546</v>
      </c>
      <c r="S739" s="1" t="s">
        <v>35</v>
      </c>
      <c r="T739">
        <v>0</v>
      </c>
      <c r="U739" t="s">
        <v>36</v>
      </c>
      <c r="V739">
        <v>3</v>
      </c>
      <c r="W739" t="s">
        <v>36</v>
      </c>
      <c r="X739">
        <v>1</v>
      </c>
      <c r="Y739" t="s">
        <v>48</v>
      </c>
      <c r="Z739">
        <v>2</v>
      </c>
      <c r="AA739" t="s">
        <v>136</v>
      </c>
      <c r="AB739">
        <v>4.3</v>
      </c>
      <c r="AC739" t="s">
        <v>932</v>
      </c>
      <c r="AD739">
        <v>0</v>
      </c>
      <c r="AE739" s="2">
        <v>45922</v>
      </c>
      <c r="AF739">
        <v>5</v>
      </c>
      <c r="AG739">
        <v>8</v>
      </c>
    </row>
    <row r="740" spans="1:33">
      <c r="A740">
        <v>10439</v>
      </c>
      <c r="B740" t="s">
        <v>1660</v>
      </c>
      <c r="C740" t="s">
        <v>42</v>
      </c>
      <c r="D740" t="s">
        <v>56</v>
      </c>
      <c r="E740" t="s">
        <v>934</v>
      </c>
      <c r="F740" t="s">
        <v>274</v>
      </c>
      <c r="G740" t="s">
        <v>269</v>
      </c>
      <c r="H740" t="s">
        <v>845</v>
      </c>
      <c r="I740">
        <v>76198</v>
      </c>
      <c r="J740" s="3">
        <v>914376</v>
      </c>
      <c r="K740" s="2">
        <v>36201</v>
      </c>
      <c r="L740" t="s">
        <v>264</v>
      </c>
      <c r="M740" t="s">
        <v>191</v>
      </c>
      <c r="N740">
        <v>60914</v>
      </c>
      <c r="O740" t="s">
        <v>33</v>
      </c>
      <c r="P740" t="s">
        <v>124</v>
      </c>
      <c r="Q740" t="s">
        <v>204</v>
      </c>
      <c r="R740" s="2">
        <v>45437</v>
      </c>
      <c r="S740" s="1" t="s">
        <v>844</v>
      </c>
      <c r="T740">
        <v>1</v>
      </c>
      <c r="U740" t="s">
        <v>298</v>
      </c>
      <c r="V740">
        <v>1</v>
      </c>
      <c r="W740" t="s">
        <v>45</v>
      </c>
      <c r="X740">
        <v>1</v>
      </c>
      <c r="Y740" t="s">
        <v>48</v>
      </c>
      <c r="Z740">
        <v>3</v>
      </c>
      <c r="AA740" t="s">
        <v>276</v>
      </c>
      <c r="AB740">
        <v>2.8</v>
      </c>
      <c r="AC740" t="s">
        <v>932</v>
      </c>
      <c r="AD740">
        <v>5</v>
      </c>
      <c r="AE740" s="2">
        <v>45692</v>
      </c>
      <c r="AF740">
        <v>0</v>
      </c>
      <c r="AG740">
        <v>7</v>
      </c>
    </row>
    <row r="741" spans="1:33">
      <c r="A741">
        <v>10440</v>
      </c>
      <c r="B741" t="s">
        <v>1661</v>
      </c>
      <c r="C741" t="s">
        <v>31</v>
      </c>
      <c r="D741" t="s">
        <v>56</v>
      </c>
      <c r="E741" t="s">
        <v>934</v>
      </c>
      <c r="F741" t="s">
        <v>274</v>
      </c>
      <c r="G741" t="s">
        <v>294</v>
      </c>
      <c r="H741" t="s">
        <v>846</v>
      </c>
      <c r="I741">
        <v>56267</v>
      </c>
      <c r="J741" s="3">
        <v>675204</v>
      </c>
      <c r="K741" s="2">
        <v>26532</v>
      </c>
      <c r="L741" t="s">
        <v>264</v>
      </c>
      <c r="M741" t="s">
        <v>210</v>
      </c>
      <c r="N741">
        <v>11989</v>
      </c>
      <c r="O741" t="s">
        <v>73</v>
      </c>
      <c r="P741" t="s">
        <v>124</v>
      </c>
      <c r="Q741" t="s">
        <v>270</v>
      </c>
      <c r="R741" s="2">
        <v>43235</v>
      </c>
      <c r="S741" s="1" t="s">
        <v>35</v>
      </c>
      <c r="T741">
        <v>0</v>
      </c>
      <c r="U741" t="s">
        <v>36</v>
      </c>
      <c r="V741">
        <v>3</v>
      </c>
      <c r="W741" t="s">
        <v>36</v>
      </c>
      <c r="X741">
        <v>1</v>
      </c>
      <c r="Y741" t="s">
        <v>48</v>
      </c>
      <c r="Z741">
        <v>3</v>
      </c>
      <c r="AA741" t="s">
        <v>136</v>
      </c>
      <c r="AB741">
        <v>2.7</v>
      </c>
      <c r="AC741" t="s">
        <v>962</v>
      </c>
      <c r="AD741">
        <v>1</v>
      </c>
      <c r="AE741" s="2">
        <v>45813</v>
      </c>
      <c r="AF741">
        <v>0</v>
      </c>
      <c r="AG741">
        <v>6</v>
      </c>
    </row>
    <row r="742" spans="1:33">
      <c r="A742">
        <v>10441</v>
      </c>
      <c r="B742" t="s">
        <v>1662</v>
      </c>
      <c r="C742" t="s">
        <v>31</v>
      </c>
      <c r="D742" t="s">
        <v>42</v>
      </c>
      <c r="E742" t="s">
        <v>929</v>
      </c>
      <c r="F742" t="s">
        <v>278</v>
      </c>
      <c r="G742" t="s">
        <v>294</v>
      </c>
      <c r="H742" t="s">
        <v>847</v>
      </c>
      <c r="I742">
        <v>40827</v>
      </c>
      <c r="J742" s="3">
        <v>489924</v>
      </c>
      <c r="K742" s="2">
        <v>29995</v>
      </c>
      <c r="L742" t="s">
        <v>51</v>
      </c>
      <c r="M742" t="s">
        <v>80</v>
      </c>
      <c r="N742">
        <v>19128</v>
      </c>
      <c r="O742" t="s">
        <v>73</v>
      </c>
      <c r="P742" t="s">
        <v>124</v>
      </c>
      <c r="Q742" t="s">
        <v>34</v>
      </c>
      <c r="R742" s="2">
        <v>43548</v>
      </c>
      <c r="S742" s="1" t="s">
        <v>35</v>
      </c>
      <c r="T742">
        <v>0</v>
      </c>
      <c r="U742" t="s">
        <v>36</v>
      </c>
      <c r="V742">
        <v>3</v>
      </c>
      <c r="W742" t="s">
        <v>36</v>
      </c>
      <c r="X742">
        <v>0</v>
      </c>
      <c r="Y742" t="s">
        <v>39</v>
      </c>
      <c r="Z742">
        <v>1</v>
      </c>
      <c r="AA742" t="s">
        <v>49</v>
      </c>
      <c r="AB742">
        <v>5</v>
      </c>
      <c r="AC742" t="s">
        <v>932</v>
      </c>
      <c r="AD742">
        <v>0</v>
      </c>
      <c r="AE742" s="2">
        <v>45793</v>
      </c>
      <c r="AF742">
        <v>5</v>
      </c>
      <c r="AG742">
        <v>2</v>
      </c>
    </row>
    <row r="743" spans="1:33">
      <c r="A743">
        <v>10442</v>
      </c>
      <c r="B743" t="s">
        <v>1663</v>
      </c>
      <c r="C743" t="s">
        <v>31</v>
      </c>
      <c r="D743" t="s">
        <v>56</v>
      </c>
      <c r="E743" t="s">
        <v>934</v>
      </c>
      <c r="F743" t="s">
        <v>271</v>
      </c>
      <c r="G743" t="s">
        <v>62</v>
      </c>
      <c r="H743" t="s">
        <v>849</v>
      </c>
      <c r="I743">
        <v>99491</v>
      </c>
      <c r="J743" s="3">
        <v>1193892</v>
      </c>
      <c r="K743" s="2">
        <v>26202</v>
      </c>
      <c r="L743" t="s">
        <v>51</v>
      </c>
      <c r="M743" t="s">
        <v>191</v>
      </c>
      <c r="N743">
        <v>72441</v>
      </c>
      <c r="O743" t="s">
        <v>73</v>
      </c>
      <c r="P743" t="s">
        <v>32</v>
      </c>
      <c r="Q743" t="s">
        <v>270</v>
      </c>
      <c r="R743" s="2">
        <v>44521</v>
      </c>
      <c r="S743" s="1" t="s">
        <v>848</v>
      </c>
      <c r="T743">
        <v>0</v>
      </c>
      <c r="U743" t="s">
        <v>36</v>
      </c>
      <c r="V743">
        <v>1</v>
      </c>
      <c r="W743" t="s">
        <v>36</v>
      </c>
      <c r="X743">
        <v>1</v>
      </c>
      <c r="Y743" t="s">
        <v>39</v>
      </c>
      <c r="Z743">
        <v>2</v>
      </c>
      <c r="AA743" t="s">
        <v>136</v>
      </c>
      <c r="AB743">
        <v>3.4</v>
      </c>
      <c r="AC743" t="s">
        <v>962</v>
      </c>
      <c r="AD743">
        <v>3</v>
      </c>
      <c r="AE743" s="2">
        <v>45813</v>
      </c>
      <c r="AF743">
        <v>5</v>
      </c>
      <c r="AG743">
        <v>8</v>
      </c>
    </row>
    <row r="744" spans="1:33">
      <c r="A744">
        <v>10443</v>
      </c>
      <c r="B744" t="s">
        <v>1664</v>
      </c>
      <c r="C744" t="s">
        <v>42</v>
      </c>
      <c r="D744" t="s">
        <v>42</v>
      </c>
      <c r="E744" t="s">
        <v>929</v>
      </c>
      <c r="F744" t="s">
        <v>288</v>
      </c>
      <c r="G744" t="s">
        <v>269</v>
      </c>
      <c r="H744" t="s">
        <v>850</v>
      </c>
      <c r="I744">
        <v>77775</v>
      </c>
      <c r="J744" s="3">
        <v>933300</v>
      </c>
      <c r="K744" s="2">
        <v>34290</v>
      </c>
      <c r="L744" t="s">
        <v>51</v>
      </c>
      <c r="M744" t="s">
        <v>80</v>
      </c>
      <c r="N744">
        <v>41336</v>
      </c>
      <c r="O744" t="s">
        <v>33</v>
      </c>
      <c r="P744" t="s">
        <v>124</v>
      </c>
      <c r="Q744" t="s">
        <v>34</v>
      </c>
      <c r="R744" s="2">
        <v>43302</v>
      </c>
      <c r="S744" s="1" t="s">
        <v>35</v>
      </c>
      <c r="T744">
        <v>0</v>
      </c>
      <c r="U744" t="s">
        <v>36</v>
      </c>
      <c r="V744">
        <v>1</v>
      </c>
      <c r="W744" t="s">
        <v>45</v>
      </c>
      <c r="X744">
        <v>0</v>
      </c>
      <c r="Y744" t="s">
        <v>39</v>
      </c>
      <c r="Z744">
        <v>4</v>
      </c>
      <c r="AA744" t="s">
        <v>49</v>
      </c>
      <c r="AB744">
        <v>4.5999999999999996</v>
      </c>
      <c r="AC744" t="s">
        <v>930</v>
      </c>
      <c r="AD744">
        <v>5</v>
      </c>
      <c r="AE744" s="2">
        <v>45676</v>
      </c>
      <c r="AF744">
        <v>2</v>
      </c>
      <c r="AG744">
        <v>1</v>
      </c>
    </row>
    <row r="745" spans="1:33">
      <c r="A745">
        <v>10444</v>
      </c>
      <c r="B745" t="s">
        <v>1665</v>
      </c>
      <c r="C745" t="s">
        <v>31</v>
      </c>
      <c r="D745" t="s">
        <v>31</v>
      </c>
      <c r="E745" t="s">
        <v>934</v>
      </c>
      <c r="F745" t="s">
        <v>278</v>
      </c>
      <c r="G745" t="s">
        <v>62</v>
      </c>
      <c r="H745" t="s">
        <v>851</v>
      </c>
      <c r="I745">
        <v>39173</v>
      </c>
      <c r="J745" s="3">
        <v>470076</v>
      </c>
      <c r="K745" s="2">
        <v>31051</v>
      </c>
      <c r="L745" t="s">
        <v>264</v>
      </c>
      <c r="M745" t="s">
        <v>80</v>
      </c>
      <c r="N745">
        <v>56434</v>
      </c>
      <c r="O745" t="s">
        <v>73</v>
      </c>
      <c r="P745" t="s">
        <v>32</v>
      </c>
      <c r="Q745" t="s">
        <v>34</v>
      </c>
      <c r="R745" s="2">
        <v>42945</v>
      </c>
      <c r="S745" s="1" t="s">
        <v>35</v>
      </c>
      <c r="T745">
        <v>1</v>
      </c>
      <c r="U745" t="s">
        <v>273</v>
      </c>
      <c r="V745">
        <v>1</v>
      </c>
      <c r="W745" t="s">
        <v>45</v>
      </c>
      <c r="X745">
        <v>0</v>
      </c>
      <c r="Y745" t="s">
        <v>39</v>
      </c>
      <c r="Z745">
        <v>3</v>
      </c>
      <c r="AA745" t="s">
        <v>276</v>
      </c>
      <c r="AB745">
        <v>4.9000000000000004</v>
      </c>
      <c r="AC745" t="s">
        <v>930</v>
      </c>
      <c r="AD745">
        <v>1</v>
      </c>
      <c r="AE745" s="2">
        <v>45877</v>
      </c>
      <c r="AF745">
        <v>4</v>
      </c>
      <c r="AG745">
        <v>10</v>
      </c>
    </row>
    <row r="746" spans="1:33">
      <c r="A746">
        <v>10445</v>
      </c>
      <c r="B746" t="s">
        <v>1666</v>
      </c>
      <c r="C746" t="s">
        <v>31</v>
      </c>
      <c r="D746" t="s">
        <v>56</v>
      </c>
      <c r="E746" t="s">
        <v>929</v>
      </c>
      <c r="F746" t="s">
        <v>278</v>
      </c>
      <c r="G746" t="s">
        <v>62</v>
      </c>
      <c r="H746" t="s">
        <v>852</v>
      </c>
      <c r="I746">
        <v>96827</v>
      </c>
      <c r="J746" s="3">
        <v>1161924</v>
      </c>
      <c r="K746" s="2">
        <v>26189</v>
      </c>
      <c r="L746" t="s">
        <v>51</v>
      </c>
      <c r="M746" t="s">
        <v>144</v>
      </c>
      <c r="N746">
        <v>40392</v>
      </c>
      <c r="O746" t="s">
        <v>73</v>
      </c>
      <c r="P746" t="s">
        <v>32</v>
      </c>
      <c r="Q746" t="s">
        <v>92</v>
      </c>
      <c r="R746" s="2">
        <v>45787</v>
      </c>
      <c r="S746" s="1" t="s">
        <v>35</v>
      </c>
      <c r="T746">
        <v>0</v>
      </c>
      <c r="U746" t="s">
        <v>36</v>
      </c>
      <c r="V746">
        <v>2</v>
      </c>
      <c r="W746" t="s">
        <v>87</v>
      </c>
      <c r="X746">
        <v>1</v>
      </c>
      <c r="Y746" t="s">
        <v>39</v>
      </c>
      <c r="Z746">
        <v>4</v>
      </c>
      <c r="AA746" t="s">
        <v>276</v>
      </c>
      <c r="AB746">
        <v>4.5</v>
      </c>
      <c r="AC746" t="s">
        <v>930</v>
      </c>
      <c r="AD746">
        <v>4</v>
      </c>
      <c r="AE746" s="2">
        <v>45965</v>
      </c>
      <c r="AF746">
        <v>5</v>
      </c>
      <c r="AG746">
        <v>0</v>
      </c>
    </row>
    <row r="747" spans="1:33">
      <c r="A747">
        <v>10446</v>
      </c>
      <c r="B747" t="s">
        <v>1667</v>
      </c>
      <c r="C747" t="s">
        <v>31</v>
      </c>
      <c r="D747" t="s">
        <v>31</v>
      </c>
      <c r="E747" t="s">
        <v>934</v>
      </c>
      <c r="F747" t="s">
        <v>288</v>
      </c>
      <c r="G747" t="s">
        <v>277</v>
      </c>
      <c r="H747" t="s">
        <v>853</v>
      </c>
      <c r="I747">
        <v>105248</v>
      </c>
      <c r="J747" s="3">
        <v>1262976</v>
      </c>
      <c r="K747" s="2">
        <v>35620</v>
      </c>
      <c r="L747" t="s">
        <v>264</v>
      </c>
      <c r="M747" t="s">
        <v>210</v>
      </c>
      <c r="N747">
        <v>64756</v>
      </c>
      <c r="O747" t="s">
        <v>33</v>
      </c>
      <c r="P747" t="s">
        <v>32</v>
      </c>
      <c r="Q747" t="s">
        <v>204</v>
      </c>
      <c r="R747" s="2">
        <v>42885</v>
      </c>
      <c r="S747" s="1" t="s">
        <v>35</v>
      </c>
      <c r="T747">
        <v>1</v>
      </c>
      <c r="U747" t="s">
        <v>36</v>
      </c>
      <c r="V747">
        <v>1</v>
      </c>
      <c r="W747" t="s">
        <v>87</v>
      </c>
      <c r="X747">
        <v>1</v>
      </c>
      <c r="Y747" t="s">
        <v>48</v>
      </c>
      <c r="Z747">
        <v>4</v>
      </c>
      <c r="AA747" t="s">
        <v>95</v>
      </c>
      <c r="AB747">
        <v>3</v>
      </c>
      <c r="AC747" t="s">
        <v>937</v>
      </c>
      <c r="AD747">
        <v>2</v>
      </c>
      <c r="AE747" s="2">
        <v>45946</v>
      </c>
      <c r="AF747">
        <v>2</v>
      </c>
      <c r="AG747">
        <v>9</v>
      </c>
    </row>
    <row r="748" spans="1:33">
      <c r="A748">
        <v>10447</v>
      </c>
      <c r="B748" t="s">
        <v>1668</v>
      </c>
      <c r="C748" t="s">
        <v>42</v>
      </c>
      <c r="D748" t="s">
        <v>31</v>
      </c>
      <c r="E748" t="s">
        <v>934</v>
      </c>
      <c r="F748" t="s">
        <v>113</v>
      </c>
      <c r="G748" t="s">
        <v>277</v>
      </c>
      <c r="H748" t="s">
        <v>854</v>
      </c>
      <c r="I748">
        <v>63008</v>
      </c>
      <c r="J748" s="3">
        <v>756096</v>
      </c>
      <c r="K748" s="2">
        <v>30906</v>
      </c>
      <c r="L748" t="s">
        <v>264</v>
      </c>
      <c r="M748" t="s">
        <v>191</v>
      </c>
      <c r="N748">
        <v>10679</v>
      </c>
      <c r="O748" t="s">
        <v>73</v>
      </c>
      <c r="P748" t="s">
        <v>124</v>
      </c>
      <c r="Q748" t="s">
        <v>160</v>
      </c>
      <c r="R748" s="2">
        <v>44715</v>
      </c>
      <c r="S748" s="1" t="s">
        <v>35</v>
      </c>
      <c r="T748">
        <v>0</v>
      </c>
      <c r="U748" t="s">
        <v>36</v>
      </c>
      <c r="V748">
        <v>2</v>
      </c>
      <c r="W748" t="s">
        <v>36</v>
      </c>
      <c r="X748">
        <v>1</v>
      </c>
      <c r="Y748" t="s">
        <v>280</v>
      </c>
      <c r="Z748">
        <v>1</v>
      </c>
      <c r="AA748" t="s">
        <v>49</v>
      </c>
      <c r="AB748">
        <v>4.5999999999999996</v>
      </c>
      <c r="AC748" t="s">
        <v>937</v>
      </c>
      <c r="AD748">
        <v>4</v>
      </c>
      <c r="AE748" s="2">
        <v>45672</v>
      </c>
      <c r="AF748">
        <v>0</v>
      </c>
      <c r="AG748">
        <v>3</v>
      </c>
    </row>
    <row r="749" spans="1:33">
      <c r="A749">
        <v>10448</v>
      </c>
      <c r="B749" t="s">
        <v>1669</v>
      </c>
      <c r="C749" t="s">
        <v>42</v>
      </c>
      <c r="D749" t="s">
        <v>56</v>
      </c>
      <c r="E749" t="s">
        <v>929</v>
      </c>
      <c r="F749" t="s">
        <v>274</v>
      </c>
      <c r="G749" t="s">
        <v>269</v>
      </c>
      <c r="H749" t="s">
        <v>856</v>
      </c>
      <c r="I749">
        <v>58565</v>
      </c>
      <c r="J749" s="3">
        <v>702780</v>
      </c>
      <c r="K749" s="2">
        <v>33429</v>
      </c>
      <c r="L749" t="s">
        <v>264</v>
      </c>
      <c r="M749" t="s">
        <v>191</v>
      </c>
      <c r="N749">
        <v>5872</v>
      </c>
      <c r="O749" t="s">
        <v>73</v>
      </c>
      <c r="P749" t="s">
        <v>32</v>
      </c>
      <c r="Q749" t="s">
        <v>34</v>
      </c>
      <c r="R749" s="2">
        <v>45386</v>
      </c>
      <c r="S749" s="1" t="s">
        <v>855</v>
      </c>
      <c r="T749">
        <v>1</v>
      </c>
      <c r="U749" t="s">
        <v>266</v>
      </c>
      <c r="V749">
        <v>3</v>
      </c>
      <c r="W749" t="s">
        <v>36</v>
      </c>
      <c r="X749">
        <v>0</v>
      </c>
      <c r="Y749" t="s">
        <v>39</v>
      </c>
      <c r="Z749">
        <v>4</v>
      </c>
      <c r="AA749" t="s">
        <v>136</v>
      </c>
      <c r="AB749">
        <v>3.6</v>
      </c>
      <c r="AC749" t="s">
        <v>1003</v>
      </c>
      <c r="AD749">
        <v>0</v>
      </c>
      <c r="AE749" s="2">
        <v>45825</v>
      </c>
      <c r="AF749">
        <v>5</v>
      </c>
      <c r="AG749">
        <v>4</v>
      </c>
    </row>
    <row r="750" spans="1:33">
      <c r="A750">
        <v>10449</v>
      </c>
      <c r="B750" t="s">
        <v>1670</v>
      </c>
      <c r="C750" t="s">
        <v>42</v>
      </c>
      <c r="D750" t="s">
        <v>42</v>
      </c>
      <c r="E750" t="s">
        <v>934</v>
      </c>
      <c r="F750" t="s">
        <v>288</v>
      </c>
      <c r="G750" t="s">
        <v>62</v>
      </c>
      <c r="H750" t="s">
        <v>857</v>
      </c>
      <c r="I750">
        <v>109341</v>
      </c>
      <c r="J750" s="3">
        <v>1312092</v>
      </c>
      <c r="K750" s="2">
        <v>35231</v>
      </c>
      <c r="L750" t="s">
        <v>51</v>
      </c>
      <c r="M750" t="s">
        <v>191</v>
      </c>
      <c r="N750">
        <v>97716</v>
      </c>
      <c r="O750" t="s">
        <v>73</v>
      </c>
      <c r="P750" t="s">
        <v>32</v>
      </c>
      <c r="Q750" t="s">
        <v>160</v>
      </c>
      <c r="R750" s="2">
        <v>45522</v>
      </c>
      <c r="S750" s="1" t="s">
        <v>35</v>
      </c>
      <c r="T750">
        <v>0</v>
      </c>
      <c r="U750" t="s">
        <v>36</v>
      </c>
      <c r="V750">
        <v>1</v>
      </c>
      <c r="W750" t="s">
        <v>36</v>
      </c>
      <c r="X750">
        <v>0</v>
      </c>
      <c r="Y750" t="s">
        <v>39</v>
      </c>
      <c r="Z750">
        <v>4</v>
      </c>
      <c r="AA750" t="s">
        <v>49</v>
      </c>
      <c r="AB750">
        <v>2.6</v>
      </c>
      <c r="AC750" t="s">
        <v>1003</v>
      </c>
      <c r="AD750">
        <v>4</v>
      </c>
      <c r="AE750" s="2">
        <v>45947</v>
      </c>
      <c r="AF750">
        <v>4</v>
      </c>
      <c r="AG750">
        <v>6</v>
      </c>
    </row>
    <row r="751" spans="1:33">
      <c r="A751">
        <v>10450</v>
      </c>
      <c r="B751" t="s">
        <v>1671</v>
      </c>
      <c r="C751" t="s">
        <v>31</v>
      </c>
      <c r="D751" t="s">
        <v>31</v>
      </c>
      <c r="E751" t="s">
        <v>929</v>
      </c>
      <c r="F751" t="s">
        <v>278</v>
      </c>
      <c r="G751" t="s">
        <v>277</v>
      </c>
      <c r="H751" t="s">
        <v>858</v>
      </c>
      <c r="I751">
        <v>57774</v>
      </c>
      <c r="J751" s="3">
        <v>693288</v>
      </c>
      <c r="K751" s="2">
        <v>30864</v>
      </c>
      <c r="L751" t="s">
        <v>51</v>
      </c>
      <c r="M751" t="s">
        <v>29</v>
      </c>
      <c r="N751">
        <v>24190</v>
      </c>
      <c r="O751" t="s">
        <v>73</v>
      </c>
      <c r="P751" t="s">
        <v>124</v>
      </c>
      <c r="Q751" t="s">
        <v>204</v>
      </c>
      <c r="R751" s="2">
        <v>44987</v>
      </c>
      <c r="S751" s="1" t="s">
        <v>35</v>
      </c>
      <c r="T751">
        <v>0</v>
      </c>
      <c r="U751" t="s">
        <v>36</v>
      </c>
      <c r="V751">
        <v>3</v>
      </c>
      <c r="W751" t="s">
        <v>45</v>
      </c>
      <c r="X751">
        <v>1</v>
      </c>
      <c r="Y751" t="s">
        <v>142</v>
      </c>
      <c r="Z751">
        <v>4</v>
      </c>
      <c r="AA751" t="s">
        <v>49</v>
      </c>
      <c r="AB751">
        <v>3</v>
      </c>
      <c r="AC751" t="s">
        <v>930</v>
      </c>
      <c r="AD751">
        <v>0</v>
      </c>
      <c r="AE751" s="2">
        <v>45725</v>
      </c>
      <c r="AF751">
        <v>4</v>
      </c>
      <c r="AG751">
        <v>5</v>
      </c>
    </row>
    <row r="752" spans="1:33">
      <c r="A752">
        <v>10451</v>
      </c>
      <c r="B752" t="s">
        <v>1672</v>
      </c>
      <c r="C752" t="s">
        <v>31</v>
      </c>
      <c r="D752" t="s">
        <v>31</v>
      </c>
      <c r="E752" t="s">
        <v>934</v>
      </c>
      <c r="F752" t="s">
        <v>288</v>
      </c>
      <c r="G752" t="s">
        <v>62</v>
      </c>
      <c r="H752" t="s">
        <v>859</v>
      </c>
      <c r="I752">
        <v>118586</v>
      </c>
      <c r="J752" s="3">
        <v>1423032</v>
      </c>
      <c r="K752" s="2">
        <v>29520</v>
      </c>
      <c r="L752" t="s">
        <v>51</v>
      </c>
      <c r="M752" t="s">
        <v>144</v>
      </c>
      <c r="N752">
        <v>27228</v>
      </c>
      <c r="O752" t="s">
        <v>33</v>
      </c>
      <c r="P752" t="s">
        <v>124</v>
      </c>
      <c r="Q752" t="s">
        <v>204</v>
      </c>
      <c r="R752" s="2">
        <v>42574</v>
      </c>
      <c r="S752" s="1" t="s">
        <v>35</v>
      </c>
      <c r="T752">
        <v>0</v>
      </c>
      <c r="U752" t="s">
        <v>36</v>
      </c>
      <c r="V752">
        <v>1</v>
      </c>
      <c r="W752" t="s">
        <v>87</v>
      </c>
      <c r="X752">
        <v>0</v>
      </c>
      <c r="Y752" t="s">
        <v>280</v>
      </c>
      <c r="Z752">
        <v>2</v>
      </c>
      <c r="AA752" t="s">
        <v>276</v>
      </c>
      <c r="AB752">
        <v>2.6</v>
      </c>
      <c r="AC752" t="s">
        <v>930</v>
      </c>
      <c r="AD752">
        <v>1</v>
      </c>
      <c r="AE752" s="2">
        <v>45932</v>
      </c>
      <c r="AF752">
        <v>1</v>
      </c>
      <c r="AG752">
        <v>2</v>
      </c>
    </row>
    <row r="753" spans="1:33">
      <c r="A753">
        <v>10452</v>
      </c>
      <c r="B753" t="s">
        <v>1673</v>
      </c>
      <c r="C753" t="s">
        <v>31</v>
      </c>
      <c r="D753" t="s">
        <v>42</v>
      </c>
      <c r="E753" t="s">
        <v>929</v>
      </c>
      <c r="F753" t="s">
        <v>113</v>
      </c>
      <c r="G753" t="s">
        <v>62</v>
      </c>
      <c r="H753" t="s">
        <v>861</v>
      </c>
      <c r="I753">
        <v>77533</v>
      </c>
      <c r="J753" s="3">
        <v>930396</v>
      </c>
      <c r="K753" s="2">
        <v>26455</v>
      </c>
      <c r="L753" t="s">
        <v>51</v>
      </c>
      <c r="M753" t="s">
        <v>210</v>
      </c>
      <c r="N753">
        <v>4125</v>
      </c>
      <c r="O753" t="s">
        <v>33</v>
      </c>
      <c r="P753" t="s">
        <v>124</v>
      </c>
      <c r="Q753" t="s">
        <v>34</v>
      </c>
      <c r="R753" s="2">
        <v>45200</v>
      </c>
      <c r="S753" s="1" t="s">
        <v>860</v>
      </c>
      <c r="T753">
        <v>1</v>
      </c>
      <c r="U753" t="s">
        <v>298</v>
      </c>
      <c r="V753">
        <v>3</v>
      </c>
      <c r="W753" t="s">
        <v>36</v>
      </c>
      <c r="X753">
        <v>1</v>
      </c>
      <c r="Y753" t="s">
        <v>268</v>
      </c>
      <c r="Z753">
        <v>2</v>
      </c>
      <c r="AA753" t="s">
        <v>276</v>
      </c>
      <c r="AB753">
        <v>3.7</v>
      </c>
      <c r="AC753" t="s">
        <v>930</v>
      </c>
      <c r="AD753">
        <v>2</v>
      </c>
      <c r="AE753" s="2">
        <v>45697</v>
      </c>
      <c r="AF753">
        <v>4</v>
      </c>
      <c r="AG753">
        <v>0</v>
      </c>
    </row>
    <row r="754" spans="1:33">
      <c r="A754">
        <v>10453</v>
      </c>
      <c r="B754" t="s">
        <v>1674</v>
      </c>
      <c r="C754" t="s">
        <v>31</v>
      </c>
      <c r="D754" t="s">
        <v>31</v>
      </c>
      <c r="E754" t="s">
        <v>929</v>
      </c>
      <c r="F754" t="s">
        <v>274</v>
      </c>
      <c r="G754" t="s">
        <v>28</v>
      </c>
      <c r="H754" t="s">
        <v>862</v>
      </c>
      <c r="I754">
        <v>78566</v>
      </c>
      <c r="J754" s="3">
        <v>942792</v>
      </c>
      <c r="K754" s="2">
        <v>32185</v>
      </c>
      <c r="L754" t="s">
        <v>51</v>
      </c>
      <c r="M754" t="s">
        <v>144</v>
      </c>
      <c r="N754">
        <v>10973</v>
      </c>
      <c r="O754" t="s">
        <v>33</v>
      </c>
      <c r="P754" t="s">
        <v>124</v>
      </c>
      <c r="Q754" t="s">
        <v>270</v>
      </c>
      <c r="R754" s="2">
        <v>45392</v>
      </c>
      <c r="S754" s="1" t="s">
        <v>35</v>
      </c>
      <c r="T754">
        <v>1</v>
      </c>
      <c r="U754" t="s">
        <v>266</v>
      </c>
      <c r="V754">
        <v>3</v>
      </c>
      <c r="W754" t="s">
        <v>87</v>
      </c>
      <c r="X754">
        <v>1</v>
      </c>
      <c r="Y754" t="s">
        <v>39</v>
      </c>
      <c r="Z754">
        <v>2</v>
      </c>
      <c r="AA754" t="s">
        <v>95</v>
      </c>
      <c r="AB754">
        <v>4.9000000000000004</v>
      </c>
      <c r="AC754" t="s">
        <v>962</v>
      </c>
      <c r="AD754">
        <v>3</v>
      </c>
      <c r="AE754" s="2">
        <v>45682</v>
      </c>
      <c r="AF754">
        <v>5</v>
      </c>
      <c r="AG754">
        <v>4</v>
      </c>
    </row>
    <row r="755" spans="1:33">
      <c r="A755">
        <v>10454</v>
      </c>
      <c r="B755" t="s">
        <v>1675</v>
      </c>
      <c r="C755" t="s">
        <v>31</v>
      </c>
      <c r="D755" t="s">
        <v>31</v>
      </c>
      <c r="E755" t="s">
        <v>934</v>
      </c>
      <c r="F755" t="s">
        <v>283</v>
      </c>
      <c r="G755" t="s">
        <v>28</v>
      </c>
      <c r="H755" t="s">
        <v>863</v>
      </c>
      <c r="I755">
        <v>58828</v>
      </c>
      <c r="J755" s="3">
        <v>705936</v>
      </c>
      <c r="K755" s="2">
        <v>29114</v>
      </c>
      <c r="L755" t="s">
        <v>51</v>
      </c>
      <c r="M755" t="s">
        <v>144</v>
      </c>
      <c r="N755">
        <v>51787</v>
      </c>
      <c r="O755" t="s">
        <v>73</v>
      </c>
      <c r="P755" t="s">
        <v>32</v>
      </c>
      <c r="Q755" t="s">
        <v>270</v>
      </c>
      <c r="R755" s="2">
        <v>42910</v>
      </c>
      <c r="S755" s="1" t="s">
        <v>35</v>
      </c>
      <c r="T755">
        <v>1</v>
      </c>
      <c r="U755" t="s">
        <v>273</v>
      </c>
      <c r="V755">
        <v>2</v>
      </c>
      <c r="W755" t="s">
        <v>87</v>
      </c>
      <c r="X755">
        <v>1</v>
      </c>
      <c r="Y755" t="s">
        <v>142</v>
      </c>
      <c r="Z755">
        <v>3</v>
      </c>
      <c r="AA755" t="s">
        <v>49</v>
      </c>
      <c r="AB755">
        <v>4.7</v>
      </c>
      <c r="AC755" t="s">
        <v>930</v>
      </c>
      <c r="AD755">
        <v>1</v>
      </c>
      <c r="AE755" s="2">
        <v>45954</v>
      </c>
      <c r="AF755">
        <v>4</v>
      </c>
      <c r="AG755">
        <v>3</v>
      </c>
    </row>
    <row r="756" spans="1:33">
      <c r="A756">
        <v>10455</v>
      </c>
      <c r="B756" t="s">
        <v>1676</v>
      </c>
      <c r="C756" t="s">
        <v>42</v>
      </c>
      <c r="D756" t="s">
        <v>56</v>
      </c>
      <c r="E756" t="s">
        <v>934</v>
      </c>
      <c r="F756" t="s">
        <v>274</v>
      </c>
      <c r="G756" t="s">
        <v>28</v>
      </c>
      <c r="H756" t="s">
        <v>865</v>
      </c>
      <c r="I756">
        <v>55198</v>
      </c>
      <c r="J756" s="3">
        <v>662376</v>
      </c>
      <c r="K756" s="2">
        <v>26477</v>
      </c>
      <c r="L756" t="s">
        <v>51</v>
      </c>
      <c r="M756" t="s">
        <v>80</v>
      </c>
      <c r="N756">
        <v>6578</v>
      </c>
      <c r="O756" t="s">
        <v>73</v>
      </c>
      <c r="P756" t="s">
        <v>124</v>
      </c>
      <c r="Q756" t="s">
        <v>92</v>
      </c>
      <c r="R756" s="2">
        <v>44741</v>
      </c>
      <c r="S756" s="1" t="s">
        <v>864</v>
      </c>
      <c r="T756">
        <v>0</v>
      </c>
      <c r="U756" t="s">
        <v>36</v>
      </c>
      <c r="V756">
        <v>3</v>
      </c>
      <c r="W756" t="s">
        <v>36</v>
      </c>
      <c r="X756">
        <v>1</v>
      </c>
      <c r="Y756" t="s">
        <v>280</v>
      </c>
      <c r="Z756">
        <v>1</v>
      </c>
      <c r="AA756" t="s">
        <v>136</v>
      </c>
      <c r="AB756">
        <v>2.9</v>
      </c>
      <c r="AC756" t="s">
        <v>937</v>
      </c>
      <c r="AD756">
        <v>3</v>
      </c>
      <c r="AE756" s="2">
        <v>45958</v>
      </c>
      <c r="AF756">
        <v>3</v>
      </c>
      <c r="AG756">
        <v>2</v>
      </c>
    </row>
    <row r="757" spans="1:33">
      <c r="A757">
        <v>10456</v>
      </c>
      <c r="B757" t="s">
        <v>1677</v>
      </c>
      <c r="C757" t="s">
        <v>31</v>
      </c>
      <c r="D757" t="s">
        <v>31</v>
      </c>
      <c r="E757" t="s">
        <v>929</v>
      </c>
      <c r="F757" t="s">
        <v>283</v>
      </c>
      <c r="G757" t="s">
        <v>294</v>
      </c>
      <c r="H757" t="s">
        <v>866</v>
      </c>
      <c r="I757">
        <v>60579</v>
      </c>
      <c r="J757" s="3">
        <v>726948</v>
      </c>
      <c r="K757" s="2">
        <v>36779</v>
      </c>
      <c r="L757" t="s">
        <v>264</v>
      </c>
      <c r="M757" t="s">
        <v>144</v>
      </c>
      <c r="N757">
        <v>63398</v>
      </c>
      <c r="O757" t="s">
        <v>73</v>
      </c>
      <c r="P757" t="s">
        <v>124</v>
      </c>
      <c r="Q757" t="s">
        <v>160</v>
      </c>
      <c r="R757" s="2">
        <v>42457</v>
      </c>
      <c r="S757" s="1" t="s">
        <v>35</v>
      </c>
      <c r="T757">
        <v>0</v>
      </c>
      <c r="U757" t="s">
        <v>36</v>
      </c>
      <c r="V757">
        <v>1</v>
      </c>
      <c r="W757" t="s">
        <v>36</v>
      </c>
      <c r="X757">
        <v>0</v>
      </c>
      <c r="Y757" t="s">
        <v>268</v>
      </c>
      <c r="Z757">
        <v>1</v>
      </c>
      <c r="AA757" t="s">
        <v>95</v>
      </c>
      <c r="AB757">
        <v>2.7</v>
      </c>
      <c r="AC757" t="s">
        <v>1003</v>
      </c>
      <c r="AD757">
        <v>4</v>
      </c>
      <c r="AE757" s="2">
        <v>45708</v>
      </c>
      <c r="AF757">
        <v>1</v>
      </c>
      <c r="AG757">
        <v>5</v>
      </c>
    </row>
    <row r="758" spans="1:33">
      <c r="A758">
        <v>10457</v>
      </c>
      <c r="B758" t="s">
        <v>1678</v>
      </c>
      <c r="C758" t="s">
        <v>31</v>
      </c>
      <c r="D758" t="s">
        <v>56</v>
      </c>
      <c r="E758" t="s">
        <v>929</v>
      </c>
      <c r="F758" t="s">
        <v>271</v>
      </c>
      <c r="G758" t="s">
        <v>294</v>
      </c>
      <c r="H758" t="s">
        <v>867</v>
      </c>
      <c r="I758">
        <v>101608</v>
      </c>
      <c r="J758" s="3">
        <v>1219296</v>
      </c>
      <c r="K758" s="2">
        <v>26581</v>
      </c>
      <c r="L758" t="s">
        <v>51</v>
      </c>
      <c r="M758" t="s">
        <v>191</v>
      </c>
      <c r="N758">
        <v>4919</v>
      </c>
      <c r="O758" t="s">
        <v>73</v>
      </c>
      <c r="P758" t="s">
        <v>32</v>
      </c>
      <c r="Q758" t="s">
        <v>204</v>
      </c>
      <c r="R758" s="2">
        <v>43489</v>
      </c>
      <c r="S758" s="1" t="s">
        <v>35</v>
      </c>
      <c r="T758">
        <v>0</v>
      </c>
      <c r="U758" t="s">
        <v>36</v>
      </c>
      <c r="V758">
        <v>1</v>
      </c>
      <c r="W758" t="s">
        <v>36</v>
      </c>
      <c r="X758">
        <v>1</v>
      </c>
      <c r="Y758" t="s">
        <v>280</v>
      </c>
      <c r="Z758">
        <v>2</v>
      </c>
      <c r="AA758" t="s">
        <v>95</v>
      </c>
      <c r="AB758">
        <v>2.8</v>
      </c>
      <c r="AC758" t="s">
        <v>937</v>
      </c>
      <c r="AD758">
        <v>3</v>
      </c>
      <c r="AE758" s="2">
        <v>45613</v>
      </c>
      <c r="AF758">
        <v>0</v>
      </c>
      <c r="AG758">
        <v>6</v>
      </c>
    </row>
    <row r="759" spans="1:33">
      <c r="A759">
        <v>10458</v>
      </c>
      <c r="B759" t="s">
        <v>1679</v>
      </c>
      <c r="C759" t="s">
        <v>42</v>
      </c>
      <c r="D759" t="s">
        <v>31</v>
      </c>
      <c r="E759" t="s">
        <v>929</v>
      </c>
      <c r="F759" t="s">
        <v>271</v>
      </c>
      <c r="G759" t="s">
        <v>294</v>
      </c>
      <c r="H759" t="s">
        <v>868</v>
      </c>
      <c r="I759">
        <v>103158</v>
      </c>
      <c r="J759" s="3">
        <v>1237896</v>
      </c>
      <c r="K759" s="2">
        <v>27229</v>
      </c>
      <c r="L759" t="s">
        <v>51</v>
      </c>
      <c r="M759" t="s">
        <v>29</v>
      </c>
      <c r="N759">
        <v>41142</v>
      </c>
      <c r="O759" t="s">
        <v>33</v>
      </c>
      <c r="P759" t="s">
        <v>32</v>
      </c>
      <c r="Q759" t="s">
        <v>270</v>
      </c>
      <c r="R759" s="2">
        <v>44912</v>
      </c>
      <c r="S759" s="1" t="s">
        <v>35</v>
      </c>
      <c r="T759">
        <v>1</v>
      </c>
      <c r="U759" t="s">
        <v>290</v>
      </c>
      <c r="V759">
        <v>1</v>
      </c>
      <c r="W759" t="s">
        <v>45</v>
      </c>
      <c r="X759">
        <v>0</v>
      </c>
      <c r="Y759" t="s">
        <v>280</v>
      </c>
      <c r="Z759">
        <v>1</v>
      </c>
      <c r="AA759" t="s">
        <v>95</v>
      </c>
      <c r="AB759">
        <v>3.5</v>
      </c>
      <c r="AC759" t="s">
        <v>937</v>
      </c>
      <c r="AD759">
        <v>5</v>
      </c>
      <c r="AE759" s="2">
        <v>45790</v>
      </c>
      <c r="AF759">
        <v>5</v>
      </c>
      <c r="AG759">
        <v>6</v>
      </c>
    </row>
    <row r="760" spans="1:33">
      <c r="A760">
        <v>10459</v>
      </c>
      <c r="B760" t="s">
        <v>1680</v>
      </c>
      <c r="C760" t="s">
        <v>31</v>
      </c>
      <c r="D760" t="s">
        <v>31</v>
      </c>
      <c r="E760" t="s">
        <v>934</v>
      </c>
      <c r="F760" t="s">
        <v>274</v>
      </c>
      <c r="G760" t="s">
        <v>269</v>
      </c>
      <c r="H760" t="s">
        <v>869</v>
      </c>
      <c r="I760">
        <v>32686</v>
      </c>
      <c r="J760" s="3">
        <v>392232</v>
      </c>
      <c r="K760" s="2">
        <v>24459</v>
      </c>
      <c r="L760" t="s">
        <v>51</v>
      </c>
      <c r="M760" t="s">
        <v>29</v>
      </c>
      <c r="N760">
        <v>22282</v>
      </c>
      <c r="O760" t="s">
        <v>73</v>
      </c>
      <c r="P760" t="s">
        <v>32</v>
      </c>
      <c r="Q760" t="s">
        <v>270</v>
      </c>
      <c r="R760" s="2">
        <v>44081</v>
      </c>
      <c r="S760" s="1" t="s">
        <v>35</v>
      </c>
      <c r="T760">
        <v>0</v>
      </c>
      <c r="U760" t="s">
        <v>36</v>
      </c>
      <c r="V760">
        <v>1</v>
      </c>
      <c r="W760" t="s">
        <v>87</v>
      </c>
      <c r="X760">
        <v>0</v>
      </c>
      <c r="Y760" t="s">
        <v>39</v>
      </c>
      <c r="Z760">
        <v>2</v>
      </c>
      <c r="AA760" t="s">
        <v>136</v>
      </c>
      <c r="AB760">
        <v>3.6</v>
      </c>
      <c r="AC760" t="s">
        <v>962</v>
      </c>
      <c r="AD760">
        <v>5</v>
      </c>
      <c r="AE760" s="2">
        <v>45970</v>
      </c>
      <c r="AF760">
        <v>4</v>
      </c>
      <c r="AG760">
        <v>6</v>
      </c>
    </row>
    <row r="761" spans="1:33">
      <c r="A761">
        <v>10460</v>
      </c>
      <c r="B761" t="s">
        <v>1681</v>
      </c>
      <c r="C761" t="s">
        <v>42</v>
      </c>
      <c r="D761" t="s">
        <v>31</v>
      </c>
      <c r="E761" t="s">
        <v>934</v>
      </c>
      <c r="F761" t="s">
        <v>278</v>
      </c>
      <c r="G761" t="s">
        <v>62</v>
      </c>
      <c r="H761" t="s">
        <v>870</v>
      </c>
      <c r="I761">
        <v>30260</v>
      </c>
      <c r="J761" s="3">
        <v>363120</v>
      </c>
      <c r="K761" s="2">
        <v>23916</v>
      </c>
      <c r="L761" t="s">
        <v>264</v>
      </c>
      <c r="M761" t="s">
        <v>80</v>
      </c>
      <c r="N761">
        <v>10058</v>
      </c>
      <c r="O761" t="s">
        <v>73</v>
      </c>
      <c r="P761" t="s">
        <v>124</v>
      </c>
      <c r="Q761" t="s">
        <v>34</v>
      </c>
      <c r="R761" s="2">
        <v>44262</v>
      </c>
      <c r="S761" s="1" t="s">
        <v>35</v>
      </c>
      <c r="T761">
        <v>0</v>
      </c>
      <c r="U761" t="s">
        <v>36</v>
      </c>
      <c r="V761">
        <v>3</v>
      </c>
      <c r="W761" t="s">
        <v>45</v>
      </c>
      <c r="X761">
        <v>1</v>
      </c>
      <c r="Y761" t="s">
        <v>142</v>
      </c>
      <c r="Z761">
        <v>3</v>
      </c>
      <c r="AA761" t="s">
        <v>276</v>
      </c>
      <c r="AB761">
        <v>4.7</v>
      </c>
      <c r="AC761" t="s">
        <v>962</v>
      </c>
      <c r="AD761">
        <v>1</v>
      </c>
      <c r="AE761" s="2">
        <v>45755</v>
      </c>
      <c r="AF761">
        <v>2</v>
      </c>
      <c r="AG761">
        <v>5</v>
      </c>
    </row>
    <row r="762" spans="1:33">
      <c r="A762">
        <v>10461</v>
      </c>
      <c r="B762" t="s">
        <v>1682</v>
      </c>
      <c r="C762" t="s">
        <v>42</v>
      </c>
      <c r="D762" t="s">
        <v>56</v>
      </c>
      <c r="E762" t="s">
        <v>934</v>
      </c>
      <c r="F762" t="s">
        <v>288</v>
      </c>
      <c r="G762" t="s">
        <v>277</v>
      </c>
      <c r="H762" t="s">
        <v>872</v>
      </c>
      <c r="I762">
        <v>64949</v>
      </c>
      <c r="J762" s="3">
        <v>779388</v>
      </c>
      <c r="K762" s="2">
        <v>30970</v>
      </c>
      <c r="L762" t="s">
        <v>264</v>
      </c>
      <c r="M762" t="s">
        <v>80</v>
      </c>
      <c r="N762">
        <v>74028</v>
      </c>
      <c r="O762" t="s">
        <v>33</v>
      </c>
      <c r="P762" t="s">
        <v>32</v>
      </c>
      <c r="Q762" t="s">
        <v>270</v>
      </c>
      <c r="R762" s="2">
        <v>43452</v>
      </c>
      <c r="S762" s="1" t="s">
        <v>871</v>
      </c>
      <c r="T762">
        <v>1</v>
      </c>
      <c r="U762" t="s">
        <v>266</v>
      </c>
      <c r="V762">
        <v>2</v>
      </c>
      <c r="W762" t="s">
        <v>87</v>
      </c>
      <c r="X762">
        <v>1</v>
      </c>
      <c r="Y762" t="s">
        <v>280</v>
      </c>
      <c r="Z762">
        <v>3</v>
      </c>
      <c r="AA762" t="s">
        <v>136</v>
      </c>
      <c r="AB762">
        <v>4</v>
      </c>
      <c r="AC762" t="s">
        <v>937</v>
      </c>
      <c r="AD762">
        <v>0</v>
      </c>
      <c r="AE762" s="2">
        <v>45729</v>
      </c>
      <c r="AF762">
        <v>1</v>
      </c>
      <c r="AG762">
        <v>8</v>
      </c>
    </row>
    <row r="763" spans="1:33">
      <c r="A763">
        <v>10462</v>
      </c>
      <c r="B763" t="s">
        <v>1683</v>
      </c>
      <c r="C763" t="s">
        <v>31</v>
      </c>
      <c r="D763" t="s">
        <v>56</v>
      </c>
      <c r="E763" t="s">
        <v>934</v>
      </c>
      <c r="F763" t="s">
        <v>278</v>
      </c>
      <c r="G763" t="s">
        <v>62</v>
      </c>
      <c r="H763" t="s">
        <v>873</v>
      </c>
      <c r="I763">
        <v>62708</v>
      </c>
      <c r="J763" s="3">
        <v>752496</v>
      </c>
      <c r="K763" s="2">
        <v>30695</v>
      </c>
      <c r="L763" t="s">
        <v>264</v>
      </c>
      <c r="M763" t="s">
        <v>144</v>
      </c>
      <c r="N763">
        <v>24360</v>
      </c>
      <c r="O763" t="s">
        <v>33</v>
      </c>
      <c r="P763" t="s">
        <v>32</v>
      </c>
      <c r="Q763" t="s">
        <v>92</v>
      </c>
      <c r="R763" s="2">
        <v>43787</v>
      </c>
      <c r="S763" s="1" t="s">
        <v>35</v>
      </c>
      <c r="T763">
        <v>1</v>
      </c>
      <c r="U763" t="s">
        <v>36</v>
      </c>
      <c r="V763">
        <v>2</v>
      </c>
      <c r="W763" t="s">
        <v>36</v>
      </c>
      <c r="X763">
        <v>0</v>
      </c>
      <c r="Y763" t="s">
        <v>268</v>
      </c>
      <c r="Z763">
        <v>3</v>
      </c>
      <c r="AA763" t="s">
        <v>136</v>
      </c>
      <c r="AB763">
        <v>3.7</v>
      </c>
      <c r="AC763" t="s">
        <v>932</v>
      </c>
      <c r="AD763">
        <v>2</v>
      </c>
      <c r="AE763" s="2">
        <v>45743</v>
      </c>
      <c r="AF763">
        <v>4</v>
      </c>
      <c r="AG763">
        <v>8</v>
      </c>
    </row>
    <row r="764" spans="1:33">
      <c r="A764">
        <v>10463</v>
      </c>
      <c r="B764" t="s">
        <v>1684</v>
      </c>
      <c r="C764" t="s">
        <v>31</v>
      </c>
      <c r="D764" t="s">
        <v>56</v>
      </c>
      <c r="E764" t="s">
        <v>929</v>
      </c>
      <c r="F764" t="s">
        <v>283</v>
      </c>
      <c r="G764" t="s">
        <v>277</v>
      </c>
      <c r="H764" t="s">
        <v>874</v>
      </c>
      <c r="I764">
        <v>110701</v>
      </c>
      <c r="J764" s="3">
        <v>1328412</v>
      </c>
      <c r="K764" s="2">
        <v>31268</v>
      </c>
      <c r="L764" t="s">
        <v>264</v>
      </c>
      <c r="M764" t="s">
        <v>80</v>
      </c>
      <c r="N764">
        <v>8439</v>
      </c>
      <c r="O764" t="s">
        <v>73</v>
      </c>
      <c r="P764" t="s">
        <v>124</v>
      </c>
      <c r="Q764" t="s">
        <v>160</v>
      </c>
      <c r="R764" s="2">
        <v>44224</v>
      </c>
      <c r="S764" s="1" t="s">
        <v>35</v>
      </c>
      <c r="T764">
        <v>0</v>
      </c>
      <c r="U764" t="s">
        <v>36</v>
      </c>
      <c r="V764">
        <v>1</v>
      </c>
      <c r="W764" t="s">
        <v>36</v>
      </c>
      <c r="X764">
        <v>0</v>
      </c>
      <c r="Y764" t="s">
        <v>268</v>
      </c>
      <c r="Z764">
        <v>4</v>
      </c>
      <c r="AA764" t="s">
        <v>276</v>
      </c>
      <c r="AB764">
        <v>4.4000000000000004</v>
      </c>
      <c r="AC764" t="s">
        <v>930</v>
      </c>
      <c r="AD764">
        <v>3</v>
      </c>
      <c r="AE764" s="2">
        <v>45678</v>
      </c>
      <c r="AF764">
        <v>5</v>
      </c>
      <c r="AG764">
        <v>9</v>
      </c>
    </row>
    <row r="765" spans="1:33">
      <c r="A765">
        <v>10464</v>
      </c>
      <c r="B765" t="s">
        <v>1685</v>
      </c>
      <c r="C765" t="s">
        <v>42</v>
      </c>
      <c r="D765" t="s">
        <v>31</v>
      </c>
      <c r="E765" t="s">
        <v>934</v>
      </c>
      <c r="F765" t="s">
        <v>274</v>
      </c>
      <c r="G765" t="s">
        <v>294</v>
      </c>
      <c r="H765" t="s">
        <v>875</v>
      </c>
      <c r="I765">
        <v>51332</v>
      </c>
      <c r="J765" s="3">
        <v>615984</v>
      </c>
      <c r="K765" s="2">
        <v>27635</v>
      </c>
      <c r="L765" t="s">
        <v>51</v>
      </c>
      <c r="M765" t="s">
        <v>210</v>
      </c>
      <c r="N765">
        <v>49950</v>
      </c>
      <c r="O765" t="s">
        <v>73</v>
      </c>
      <c r="P765" t="s">
        <v>32</v>
      </c>
      <c r="Q765" t="s">
        <v>160</v>
      </c>
      <c r="R765" s="2">
        <v>44393</v>
      </c>
      <c r="S765" s="1" t="s">
        <v>35</v>
      </c>
      <c r="T765">
        <v>0</v>
      </c>
      <c r="U765" t="s">
        <v>36</v>
      </c>
      <c r="V765">
        <v>2</v>
      </c>
      <c r="W765" t="s">
        <v>36</v>
      </c>
      <c r="X765">
        <v>1</v>
      </c>
      <c r="Y765" t="s">
        <v>280</v>
      </c>
      <c r="Z765">
        <v>3</v>
      </c>
      <c r="AA765" t="s">
        <v>95</v>
      </c>
      <c r="AB765">
        <v>4.7</v>
      </c>
      <c r="AC765" t="s">
        <v>937</v>
      </c>
      <c r="AD765">
        <v>3</v>
      </c>
      <c r="AE765" s="2">
        <v>45836</v>
      </c>
      <c r="AF765">
        <v>0</v>
      </c>
      <c r="AG765">
        <v>5</v>
      </c>
    </row>
    <row r="766" spans="1:33">
      <c r="A766">
        <v>10465</v>
      </c>
      <c r="B766" t="s">
        <v>1686</v>
      </c>
      <c r="C766" t="s">
        <v>31</v>
      </c>
      <c r="D766" t="s">
        <v>42</v>
      </c>
      <c r="E766" t="s">
        <v>934</v>
      </c>
      <c r="F766" t="s">
        <v>283</v>
      </c>
      <c r="G766" t="s">
        <v>269</v>
      </c>
      <c r="H766" t="s">
        <v>876</v>
      </c>
      <c r="I766">
        <v>35108</v>
      </c>
      <c r="J766" s="3">
        <v>421296</v>
      </c>
      <c r="K766" s="2">
        <v>29336</v>
      </c>
      <c r="L766" t="s">
        <v>264</v>
      </c>
      <c r="M766" t="s">
        <v>29</v>
      </c>
      <c r="N766">
        <v>14638</v>
      </c>
      <c r="O766" t="s">
        <v>73</v>
      </c>
      <c r="P766" t="s">
        <v>32</v>
      </c>
      <c r="Q766" t="s">
        <v>270</v>
      </c>
      <c r="R766" s="2">
        <v>43252</v>
      </c>
      <c r="S766" s="1" t="s">
        <v>35</v>
      </c>
      <c r="T766">
        <v>1</v>
      </c>
      <c r="U766" t="s">
        <v>273</v>
      </c>
      <c r="V766">
        <v>1</v>
      </c>
      <c r="W766" t="s">
        <v>87</v>
      </c>
      <c r="X766">
        <v>1</v>
      </c>
      <c r="Y766" t="s">
        <v>39</v>
      </c>
      <c r="Z766">
        <v>2</v>
      </c>
      <c r="AA766" t="s">
        <v>95</v>
      </c>
      <c r="AB766">
        <v>5</v>
      </c>
      <c r="AC766" t="s">
        <v>1003</v>
      </c>
      <c r="AD766">
        <v>0</v>
      </c>
      <c r="AE766" s="2">
        <v>45798</v>
      </c>
      <c r="AF766">
        <v>3</v>
      </c>
      <c r="AG766">
        <v>4</v>
      </c>
    </row>
    <row r="767" spans="1:33">
      <c r="A767">
        <v>10466</v>
      </c>
      <c r="B767" t="s">
        <v>1687</v>
      </c>
      <c r="C767" t="s">
        <v>42</v>
      </c>
      <c r="D767" t="s">
        <v>31</v>
      </c>
      <c r="E767" t="s">
        <v>934</v>
      </c>
      <c r="F767" t="s">
        <v>113</v>
      </c>
      <c r="G767" t="s">
        <v>62</v>
      </c>
      <c r="H767" t="s">
        <v>877</v>
      </c>
      <c r="I767">
        <v>89058</v>
      </c>
      <c r="J767" s="3">
        <v>1068696</v>
      </c>
      <c r="K767" s="2">
        <v>32075</v>
      </c>
      <c r="L767" t="s">
        <v>264</v>
      </c>
      <c r="M767" t="s">
        <v>80</v>
      </c>
      <c r="N767">
        <v>43553</v>
      </c>
      <c r="O767" t="s">
        <v>73</v>
      </c>
      <c r="P767" t="s">
        <v>32</v>
      </c>
      <c r="Q767" t="s">
        <v>270</v>
      </c>
      <c r="R767" s="2">
        <v>42399</v>
      </c>
      <c r="S767" s="1" t="s">
        <v>35</v>
      </c>
      <c r="T767">
        <v>0</v>
      </c>
      <c r="U767" t="s">
        <v>36</v>
      </c>
      <c r="V767">
        <v>2</v>
      </c>
      <c r="W767" t="s">
        <v>36</v>
      </c>
      <c r="X767">
        <v>0</v>
      </c>
      <c r="Y767" t="s">
        <v>48</v>
      </c>
      <c r="Z767">
        <v>1</v>
      </c>
      <c r="AA767" t="s">
        <v>136</v>
      </c>
      <c r="AB767">
        <v>3.1</v>
      </c>
      <c r="AC767" t="s">
        <v>930</v>
      </c>
      <c r="AD767">
        <v>4</v>
      </c>
      <c r="AE767" s="2">
        <v>45751</v>
      </c>
      <c r="AF767">
        <v>0</v>
      </c>
      <c r="AG767">
        <v>3</v>
      </c>
    </row>
    <row r="768" spans="1:33">
      <c r="A768">
        <v>10467</v>
      </c>
      <c r="B768" t="s">
        <v>1688</v>
      </c>
      <c r="C768" t="s">
        <v>42</v>
      </c>
      <c r="D768" t="s">
        <v>42</v>
      </c>
      <c r="E768" t="s">
        <v>929</v>
      </c>
      <c r="F768" t="s">
        <v>283</v>
      </c>
      <c r="G768" t="s">
        <v>62</v>
      </c>
      <c r="H768" t="s">
        <v>879</v>
      </c>
      <c r="I768">
        <v>80129</v>
      </c>
      <c r="J768" s="3">
        <v>961548</v>
      </c>
      <c r="K768" s="2">
        <v>24648</v>
      </c>
      <c r="L768" t="s">
        <v>51</v>
      </c>
      <c r="M768" t="s">
        <v>80</v>
      </c>
      <c r="N768">
        <v>30516</v>
      </c>
      <c r="O768" t="s">
        <v>73</v>
      </c>
      <c r="P768" t="s">
        <v>32</v>
      </c>
      <c r="Q768" t="s">
        <v>204</v>
      </c>
      <c r="R768" s="2">
        <v>42479</v>
      </c>
      <c r="S768" s="1" t="s">
        <v>878</v>
      </c>
      <c r="T768">
        <v>1</v>
      </c>
      <c r="U768" t="s">
        <v>290</v>
      </c>
      <c r="V768">
        <v>3</v>
      </c>
      <c r="W768" t="s">
        <v>87</v>
      </c>
      <c r="X768">
        <v>0</v>
      </c>
      <c r="Y768" t="s">
        <v>39</v>
      </c>
      <c r="Z768">
        <v>2</v>
      </c>
      <c r="AA768" t="s">
        <v>95</v>
      </c>
      <c r="AB768">
        <v>2.5</v>
      </c>
      <c r="AC768" t="s">
        <v>962</v>
      </c>
      <c r="AD768">
        <v>3</v>
      </c>
      <c r="AE768" s="2">
        <v>45863</v>
      </c>
      <c r="AF768">
        <v>4</v>
      </c>
      <c r="AG768">
        <v>3</v>
      </c>
    </row>
    <row r="769" spans="1:33">
      <c r="A769">
        <v>10468</v>
      </c>
      <c r="B769" t="s">
        <v>1689</v>
      </c>
      <c r="C769" t="s">
        <v>42</v>
      </c>
      <c r="D769" t="s">
        <v>42</v>
      </c>
      <c r="E769" t="s">
        <v>929</v>
      </c>
      <c r="F769" t="s">
        <v>113</v>
      </c>
      <c r="G769" t="s">
        <v>28</v>
      </c>
      <c r="H769" t="s">
        <v>880</v>
      </c>
      <c r="I769">
        <v>44294</v>
      </c>
      <c r="J769" s="3">
        <v>531528</v>
      </c>
      <c r="K769" s="2">
        <v>36009</v>
      </c>
      <c r="L769" t="s">
        <v>51</v>
      </c>
      <c r="M769" t="s">
        <v>144</v>
      </c>
      <c r="N769">
        <v>40740</v>
      </c>
      <c r="O769" t="s">
        <v>33</v>
      </c>
      <c r="P769" t="s">
        <v>32</v>
      </c>
      <c r="Q769" t="s">
        <v>92</v>
      </c>
      <c r="R769" s="2">
        <v>43401</v>
      </c>
      <c r="S769" s="1" t="s">
        <v>35</v>
      </c>
      <c r="T769">
        <v>1</v>
      </c>
      <c r="U769" t="s">
        <v>273</v>
      </c>
      <c r="V769">
        <v>3</v>
      </c>
      <c r="W769" t="s">
        <v>87</v>
      </c>
      <c r="X769">
        <v>1</v>
      </c>
      <c r="Y769" t="s">
        <v>280</v>
      </c>
      <c r="Z769">
        <v>4</v>
      </c>
      <c r="AA769" t="s">
        <v>95</v>
      </c>
      <c r="AB769">
        <v>4.7</v>
      </c>
      <c r="AC769" t="s">
        <v>1003</v>
      </c>
      <c r="AD769">
        <v>0</v>
      </c>
      <c r="AE769" s="2">
        <v>45454</v>
      </c>
      <c r="AF769">
        <v>1</v>
      </c>
      <c r="AG769">
        <v>5</v>
      </c>
    </row>
    <row r="770" spans="1:33">
      <c r="A770">
        <v>10469</v>
      </c>
      <c r="B770" t="s">
        <v>1690</v>
      </c>
      <c r="C770" t="s">
        <v>31</v>
      </c>
      <c r="D770" t="s">
        <v>31</v>
      </c>
      <c r="E770" t="s">
        <v>929</v>
      </c>
      <c r="F770" t="s">
        <v>113</v>
      </c>
      <c r="G770" t="s">
        <v>277</v>
      </c>
      <c r="H770" t="s">
        <v>881</v>
      </c>
      <c r="I770">
        <v>35994</v>
      </c>
      <c r="J770" s="3">
        <v>431928</v>
      </c>
      <c r="K770" s="2">
        <v>27946</v>
      </c>
      <c r="L770" t="s">
        <v>264</v>
      </c>
      <c r="M770" t="s">
        <v>210</v>
      </c>
      <c r="N770">
        <v>39634</v>
      </c>
      <c r="O770" t="s">
        <v>73</v>
      </c>
      <c r="P770" t="s">
        <v>32</v>
      </c>
      <c r="Q770" t="s">
        <v>160</v>
      </c>
      <c r="R770" s="2">
        <v>45211</v>
      </c>
      <c r="S770" s="1" t="s">
        <v>35</v>
      </c>
      <c r="T770">
        <v>0</v>
      </c>
      <c r="U770" t="s">
        <v>36</v>
      </c>
      <c r="V770">
        <v>1</v>
      </c>
      <c r="W770" t="s">
        <v>45</v>
      </c>
      <c r="X770">
        <v>0</v>
      </c>
      <c r="Y770" t="s">
        <v>142</v>
      </c>
      <c r="Z770">
        <v>3</v>
      </c>
      <c r="AA770" t="s">
        <v>136</v>
      </c>
      <c r="AB770">
        <v>4.5</v>
      </c>
      <c r="AC770" t="s">
        <v>1003</v>
      </c>
      <c r="AD770">
        <v>1</v>
      </c>
      <c r="AE770" s="2">
        <v>45822</v>
      </c>
      <c r="AF770">
        <v>0</v>
      </c>
      <c r="AG770">
        <v>9</v>
      </c>
    </row>
    <row r="771" spans="1:33">
      <c r="A771">
        <v>10470</v>
      </c>
      <c r="B771" t="s">
        <v>1691</v>
      </c>
      <c r="C771" t="s">
        <v>42</v>
      </c>
      <c r="D771" t="s">
        <v>42</v>
      </c>
      <c r="E771" t="s">
        <v>929</v>
      </c>
      <c r="F771" t="s">
        <v>288</v>
      </c>
      <c r="G771" t="s">
        <v>28</v>
      </c>
      <c r="H771" t="s">
        <v>882</v>
      </c>
      <c r="I771">
        <v>117278</v>
      </c>
      <c r="J771" s="3">
        <v>1407336</v>
      </c>
      <c r="K771" s="2">
        <v>29129</v>
      </c>
      <c r="L771" t="s">
        <v>51</v>
      </c>
      <c r="M771" t="s">
        <v>191</v>
      </c>
      <c r="N771">
        <v>68254</v>
      </c>
      <c r="O771" t="s">
        <v>33</v>
      </c>
      <c r="P771" t="s">
        <v>124</v>
      </c>
      <c r="Q771" t="s">
        <v>270</v>
      </c>
      <c r="R771" s="2">
        <v>43621</v>
      </c>
      <c r="S771" s="1" t="s">
        <v>35</v>
      </c>
      <c r="T771">
        <v>1</v>
      </c>
      <c r="U771" t="s">
        <v>273</v>
      </c>
      <c r="V771">
        <v>2</v>
      </c>
      <c r="W771" t="s">
        <v>45</v>
      </c>
      <c r="X771">
        <v>1</v>
      </c>
      <c r="Y771" t="s">
        <v>268</v>
      </c>
      <c r="Z771">
        <v>4</v>
      </c>
      <c r="AA771" t="s">
        <v>136</v>
      </c>
      <c r="AB771">
        <v>2.8</v>
      </c>
      <c r="AC771" t="s">
        <v>962</v>
      </c>
      <c r="AD771">
        <v>0</v>
      </c>
      <c r="AE771" s="2">
        <v>45813</v>
      </c>
      <c r="AF771">
        <v>4</v>
      </c>
      <c r="AG771">
        <v>1</v>
      </c>
    </row>
    <row r="772" spans="1:33">
      <c r="A772">
        <v>10471</v>
      </c>
      <c r="B772" t="s">
        <v>1692</v>
      </c>
      <c r="C772" t="s">
        <v>42</v>
      </c>
      <c r="D772" t="s">
        <v>31</v>
      </c>
      <c r="E772" t="s">
        <v>929</v>
      </c>
      <c r="F772" t="s">
        <v>278</v>
      </c>
      <c r="G772" t="s">
        <v>28</v>
      </c>
      <c r="H772" t="s">
        <v>883</v>
      </c>
      <c r="I772">
        <v>113257</v>
      </c>
      <c r="J772" s="3">
        <v>1359084</v>
      </c>
      <c r="K772" s="2">
        <v>29093</v>
      </c>
      <c r="L772" t="s">
        <v>51</v>
      </c>
      <c r="M772" t="s">
        <v>210</v>
      </c>
      <c r="N772">
        <v>94662</v>
      </c>
      <c r="O772" t="s">
        <v>33</v>
      </c>
      <c r="P772" t="s">
        <v>32</v>
      </c>
      <c r="Q772" t="s">
        <v>270</v>
      </c>
      <c r="R772" s="2">
        <v>45132</v>
      </c>
      <c r="S772" s="1" t="s">
        <v>35</v>
      </c>
      <c r="T772">
        <v>0</v>
      </c>
      <c r="U772" t="s">
        <v>36</v>
      </c>
      <c r="V772">
        <v>2</v>
      </c>
      <c r="W772" t="s">
        <v>45</v>
      </c>
      <c r="X772">
        <v>1</v>
      </c>
      <c r="Y772" t="s">
        <v>142</v>
      </c>
      <c r="Z772">
        <v>2</v>
      </c>
      <c r="AA772" t="s">
        <v>95</v>
      </c>
      <c r="AB772">
        <v>2.5</v>
      </c>
      <c r="AC772" t="s">
        <v>930</v>
      </c>
      <c r="AD772">
        <v>2</v>
      </c>
      <c r="AE772" s="2">
        <v>45715</v>
      </c>
      <c r="AF772">
        <v>1</v>
      </c>
      <c r="AG772">
        <v>3</v>
      </c>
    </row>
    <row r="773" spans="1:33">
      <c r="A773">
        <v>10472</v>
      </c>
      <c r="B773" t="s">
        <v>1693</v>
      </c>
      <c r="C773" t="s">
        <v>31</v>
      </c>
      <c r="D773" t="s">
        <v>31</v>
      </c>
      <c r="E773" t="s">
        <v>929</v>
      </c>
      <c r="F773" t="s">
        <v>278</v>
      </c>
      <c r="G773" t="s">
        <v>62</v>
      </c>
      <c r="H773" t="s">
        <v>885</v>
      </c>
      <c r="I773">
        <v>107508</v>
      </c>
      <c r="J773" s="3">
        <v>1290096</v>
      </c>
      <c r="K773" s="2">
        <v>29493</v>
      </c>
      <c r="L773" t="s">
        <v>264</v>
      </c>
      <c r="M773" t="s">
        <v>191</v>
      </c>
      <c r="N773">
        <v>52759</v>
      </c>
      <c r="O773" t="s">
        <v>73</v>
      </c>
      <c r="P773" t="s">
        <v>32</v>
      </c>
      <c r="Q773" t="s">
        <v>270</v>
      </c>
      <c r="R773" s="2">
        <v>45457</v>
      </c>
      <c r="S773" s="1" t="s">
        <v>35</v>
      </c>
      <c r="T773">
        <v>1</v>
      </c>
      <c r="U773" t="s">
        <v>290</v>
      </c>
      <c r="V773">
        <v>1</v>
      </c>
      <c r="W773" t="s">
        <v>45</v>
      </c>
      <c r="X773">
        <v>0</v>
      </c>
      <c r="Y773" t="s">
        <v>268</v>
      </c>
      <c r="Z773">
        <v>3</v>
      </c>
      <c r="AA773" t="s">
        <v>276</v>
      </c>
      <c r="AB773">
        <v>4.9000000000000004</v>
      </c>
      <c r="AC773" t="s">
        <v>962</v>
      </c>
      <c r="AD773">
        <v>2</v>
      </c>
      <c r="AE773" s="2">
        <v>45848</v>
      </c>
      <c r="AF773">
        <v>0</v>
      </c>
      <c r="AG773">
        <v>1</v>
      </c>
    </row>
    <row r="774" spans="1:33">
      <c r="A774">
        <v>10473</v>
      </c>
      <c r="B774" t="s">
        <v>1694</v>
      </c>
      <c r="C774" t="s">
        <v>31</v>
      </c>
      <c r="D774" t="s">
        <v>56</v>
      </c>
      <c r="E774" t="s">
        <v>934</v>
      </c>
      <c r="F774" t="s">
        <v>288</v>
      </c>
      <c r="G774" t="s">
        <v>294</v>
      </c>
      <c r="H774" t="s">
        <v>887</v>
      </c>
      <c r="I774">
        <v>76308</v>
      </c>
      <c r="J774" s="3">
        <v>915696</v>
      </c>
      <c r="K774" s="2">
        <v>27620</v>
      </c>
      <c r="L774" t="s">
        <v>264</v>
      </c>
      <c r="M774" t="s">
        <v>29</v>
      </c>
      <c r="N774">
        <v>42740</v>
      </c>
      <c r="O774" t="s">
        <v>73</v>
      </c>
      <c r="P774" t="s">
        <v>32</v>
      </c>
      <c r="Q774" t="s">
        <v>270</v>
      </c>
      <c r="R774" s="2">
        <v>42996</v>
      </c>
      <c r="S774" s="1" t="s">
        <v>886</v>
      </c>
      <c r="T774">
        <v>1</v>
      </c>
      <c r="U774" t="s">
        <v>273</v>
      </c>
      <c r="V774">
        <v>2</v>
      </c>
      <c r="W774" t="s">
        <v>45</v>
      </c>
      <c r="X774">
        <v>1</v>
      </c>
      <c r="Y774" t="s">
        <v>280</v>
      </c>
      <c r="Z774">
        <v>4</v>
      </c>
      <c r="AA774" t="s">
        <v>95</v>
      </c>
      <c r="AB774">
        <v>2.7</v>
      </c>
      <c r="AC774" t="s">
        <v>962</v>
      </c>
      <c r="AD774">
        <v>1</v>
      </c>
      <c r="AE774" s="2">
        <v>45780</v>
      </c>
      <c r="AF774">
        <v>0</v>
      </c>
      <c r="AG774">
        <v>8</v>
      </c>
    </row>
    <row r="775" spans="1:33">
      <c r="A775">
        <v>10474</v>
      </c>
      <c r="B775" t="s">
        <v>1695</v>
      </c>
      <c r="C775" t="s">
        <v>42</v>
      </c>
      <c r="D775" t="s">
        <v>56</v>
      </c>
      <c r="E775" t="s">
        <v>934</v>
      </c>
      <c r="F775" t="s">
        <v>278</v>
      </c>
      <c r="G775" t="s">
        <v>294</v>
      </c>
      <c r="H775" t="s">
        <v>888</v>
      </c>
      <c r="I775">
        <v>74776</v>
      </c>
      <c r="J775" s="3">
        <v>897312</v>
      </c>
      <c r="K775" s="2">
        <v>35585</v>
      </c>
      <c r="L775" t="s">
        <v>264</v>
      </c>
      <c r="M775" t="s">
        <v>210</v>
      </c>
      <c r="N775">
        <v>89703</v>
      </c>
      <c r="O775" t="s">
        <v>73</v>
      </c>
      <c r="P775" t="s">
        <v>124</v>
      </c>
      <c r="Q775" t="s">
        <v>34</v>
      </c>
      <c r="R775" s="2">
        <v>45661</v>
      </c>
      <c r="S775" s="1" t="s">
        <v>35</v>
      </c>
      <c r="T775">
        <v>0</v>
      </c>
      <c r="U775" t="s">
        <v>36</v>
      </c>
      <c r="V775">
        <v>1</v>
      </c>
      <c r="W775" t="s">
        <v>87</v>
      </c>
      <c r="X775">
        <v>0</v>
      </c>
      <c r="Y775" t="s">
        <v>280</v>
      </c>
      <c r="Z775">
        <v>4</v>
      </c>
      <c r="AA775" t="s">
        <v>49</v>
      </c>
      <c r="AB775">
        <v>4.9000000000000004</v>
      </c>
      <c r="AC775" t="s">
        <v>930</v>
      </c>
      <c r="AD775">
        <v>5</v>
      </c>
      <c r="AE775" s="2">
        <v>46000</v>
      </c>
      <c r="AF775">
        <v>3</v>
      </c>
      <c r="AG775">
        <v>10</v>
      </c>
    </row>
    <row r="776" spans="1:33">
      <c r="A776">
        <v>10475</v>
      </c>
      <c r="B776" t="s">
        <v>1696</v>
      </c>
      <c r="C776" t="s">
        <v>42</v>
      </c>
      <c r="D776" t="s">
        <v>56</v>
      </c>
      <c r="E776" t="s">
        <v>934</v>
      </c>
      <c r="F776" t="s">
        <v>283</v>
      </c>
      <c r="G776" t="s">
        <v>277</v>
      </c>
      <c r="H776" t="s">
        <v>889</v>
      </c>
      <c r="I776">
        <v>116465</v>
      </c>
      <c r="J776" s="3">
        <v>1397580</v>
      </c>
      <c r="K776" s="2">
        <v>36535</v>
      </c>
      <c r="L776" t="s">
        <v>51</v>
      </c>
      <c r="M776" t="s">
        <v>191</v>
      </c>
      <c r="N776">
        <v>91934</v>
      </c>
      <c r="O776" t="s">
        <v>73</v>
      </c>
      <c r="P776" t="s">
        <v>124</v>
      </c>
      <c r="Q776" t="s">
        <v>34</v>
      </c>
      <c r="R776" s="2">
        <v>43283</v>
      </c>
      <c r="S776" s="1" t="s">
        <v>35</v>
      </c>
      <c r="T776">
        <v>0</v>
      </c>
      <c r="U776" t="s">
        <v>36</v>
      </c>
      <c r="V776">
        <v>2</v>
      </c>
      <c r="W776" t="s">
        <v>45</v>
      </c>
      <c r="X776">
        <v>0</v>
      </c>
      <c r="Y776" t="s">
        <v>39</v>
      </c>
      <c r="Z776">
        <v>2</v>
      </c>
      <c r="AA776" t="s">
        <v>49</v>
      </c>
      <c r="AB776">
        <v>3.2</v>
      </c>
      <c r="AC776" t="s">
        <v>932</v>
      </c>
      <c r="AD776">
        <v>0</v>
      </c>
      <c r="AE776" s="2">
        <v>45713</v>
      </c>
      <c r="AF776">
        <v>1</v>
      </c>
      <c r="AG776">
        <v>7</v>
      </c>
    </row>
    <row r="777" spans="1:33">
      <c r="A777">
        <v>10476</v>
      </c>
      <c r="B777" t="s">
        <v>1697</v>
      </c>
      <c r="C777" t="s">
        <v>31</v>
      </c>
      <c r="D777" t="s">
        <v>31</v>
      </c>
      <c r="E777" t="s">
        <v>929</v>
      </c>
      <c r="F777" t="s">
        <v>271</v>
      </c>
      <c r="G777" t="s">
        <v>269</v>
      </c>
      <c r="H777" t="s">
        <v>890</v>
      </c>
      <c r="I777">
        <v>65420</v>
      </c>
      <c r="J777" s="3">
        <v>785040</v>
      </c>
      <c r="K777" s="2">
        <v>29062</v>
      </c>
      <c r="L777" t="s">
        <v>264</v>
      </c>
      <c r="M777" t="s">
        <v>210</v>
      </c>
      <c r="N777">
        <v>31115</v>
      </c>
      <c r="O777" t="s">
        <v>33</v>
      </c>
      <c r="P777" t="s">
        <v>124</v>
      </c>
      <c r="Q777" t="s">
        <v>270</v>
      </c>
      <c r="R777" s="2">
        <v>42603</v>
      </c>
      <c r="S777" s="1" t="s">
        <v>35</v>
      </c>
      <c r="T777">
        <v>0</v>
      </c>
      <c r="U777" t="s">
        <v>36</v>
      </c>
      <c r="V777">
        <v>2</v>
      </c>
      <c r="W777" t="s">
        <v>87</v>
      </c>
      <c r="X777">
        <v>0</v>
      </c>
      <c r="Y777" t="s">
        <v>39</v>
      </c>
      <c r="Z777">
        <v>1</v>
      </c>
      <c r="AA777" t="s">
        <v>276</v>
      </c>
      <c r="AB777">
        <v>4.0999999999999996</v>
      </c>
      <c r="AC777" t="s">
        <v>930</v>
      </c>
      <c r="AD777">
        <v>2</v>
      </c>
      <c r="AE777" s="2">
        <v>45868</v>
      </c>
      <c r="AF777">
        <v>1</v>
      </c>
      <c r="AG777">
        <v>6</v>
      </c>
    </row>
    <row r="778" spans="1:33">
      <c r="A778">
        <v>10477</v>
      </c>
      <c r="B778" t="s">
        <v>1698</v>
      </c>
      <c r="C778" t="s">
        <v>42</v>
      </c>
      <c r="D778" t="s">
        <v>42</v>
      </c>
      <c r="E778" t="s">
        <v>929</v>
      </c>
      <c r="F778" t="s">
        <v>283</v>
      </c>
      <c r="G778" t="s">
        <v>62</v>
      </c>
      <c r="H778" t="s">
        <v>891</v>
      </c>
      <c r="I778">
        <v>86020</v>
      </c>
      <c r="J778" s="3">
        <v>1032240</v>
      </c>
      <c r="K778" s="2">
        <v>37835</v>
      </c>
      <c r="L778" t="s">
        <v>264</v>
      </c>
      <c r="M778" t="s">
        <v>191</v>
      </c>
      <c r="N778">
        <v>67611</v>
      </c>
      <c r="O778" t="s">
        <v>33</v>
      </c>
      <c r="P778" t="s">
        <v>32</v>
      </c>
      <c r="Q778" t="s">
        <v>34</v>
      </c>
      <c r="R778" s="2">
        <v>44591</v>
      </c>
      <c r="S778" s="1" t="s">
        <v>35</v>
      </c>
      <c r="T778">
        <v>1</v>
      </c>
      <c r="U778" t="s">
        <v>298</v>
      </c>
      <c r="V778">
        <v>3</v>
      </c>
      <c r="W778" t="s">
        <v>45</v>
      </c>
      <c r="X778">
        <v>0</v>
      </c>
      <c r="Y778" t="s">
        <v>48</v>
      </c>
      <c r="Z778">
        <v>2</v>
      </c>
      <c r="AA778" t="s">
        <v>136</v>
      </c>
      <c r="AB778">
        <v>2.5</v>
      </c>
      <c r="AC778" t="s">
        <v>930</v>
      </c>
      <c r="AD778">
        <v>5</v>
      </c>
      <c r="AE778" s="2">
        <v>45931</v>
      </c>
      <c r="AF778">
        <v>3</v>
      </c>
      <c r="AG778">
        <v>1</v>
      </c>
    </row>
    <row r="779" spans="1:33">
      <c r="A779">
        <v>10478</v>
      </c>
      <c r="B779" t="s">
        <v>1699</v>
      </c>
      <c r="C779" t="s">
        <v>31</v>
      </c>
      <c r="D779" t="s">
        <v>56</v>
      </c>
      <c r="E779" t="s">
        <v>929</v>
      </c>
      <c r="F779" t="s">
        <v>274</v>
      </c>
      <c r="G779" t="s">
        <v>28</v>
      </c>
      <c r="H779" t="s">
        <v>893</v>
      </c>
      <c r="I779">
        <v>87837</v>
      </c>
      <c r="J779" s="3">
        <v>1054044</v>
      </c>
      <c r="K779" s="2">
        <v>29592</v>
      </c>
      <c r="L779" t="s">
        <v>264</v>
      </c>
      <c r="M779" t="s">
        <v>210</v>
      </c>
      <c r="N779">
        <v>78242</v>
      </c>
      <c r="O779" t="s">
        <v>33</v>
      </c>
      <c r="P779" t="s">
        <v>32</v>
      </c>
      <c r="Q779" t="s">
        <v>204</v>
      </c>
      <c r="R779" s="2">
        <v>42632</v>
      </c>
      <c r="S779" s="1" t="s">
        <v>892</v>
      </c>
      <c r="T779">
        <v>1</v>
      </c>
      <c r="U779" t="s">
        <v>36</v>
      </c>
      <c r="V779">
        <v>3</v>
      </c>
      <c r="W779" t="s">
        <v>87</v>
      </c>
      <c r="X779">
        <v>1</v>
      </c>
      <c r="Y779" t="s">
        <v>268</v>
      </c>
      <c r="Z779">
        <v>1</v>
      </c>
      <c r="AA779" t="s">
        <v>49</v>
      </c>
      <c r="AB779">
        <v>3.1</v>
      </c>
      <c r="AC779" t="s">
        <v>962</v>
      </c>
      <c r="AD779">
        <v>3</v>
      </c>
      <c r="AE779" s="2">
        <v>45676</v>
      </c>
      <c r="AF779">
        <v>3</v>
      </c>
      <c r="AG779">
        <v>8</v>
      </c>
    </row>
    <row r="780" spans="1:33">
      <c r="A780">
        <v>10479</v>
      </c>
      <c r="B780" t="s">
        <v>1700</v>
      </c>
      <c r="C780" t="s">
        <v>31</v>
      </c>
      <c r="D780" t="s">
        <v>31</v>
      </c>
      <c r="E780" t="s">
        <v>929</v>
      </c>
      <c r="F780" t="s">
        <v>271</v>
      </c>
      <c r="G780" t="s">
        <v>277</v>
      </c>
      <c r="H780" t="s">
        <v>894</v>
      </c>
      <c r="I780">
        <v>51317</v>
      </c>
      <c r="J780" s="3">
        <v>615804</v>
      </c>
      <c r="K780" s="2">
        <v>32833</v>
      </c>
      <c r="L780" t="s">
        <v>264</v>
      </c>
      <c r="M780" t="s">
        <v>191</v>
      </c>
      <c r="N780">
        <v>2495</v>
      </c>
      <c r="O780" t="s">
        <v>33</v>
      </c>
      <c r="P780" t="s">
        <v>32</v>
      </c>
      <c r="Q780" t="s">
        <v>34</v>
      </c>
      <c r="R780" s="2">
        <v>45918</v>
      </c>
      <c r="S780" s="1" t="s">
        <v>35</v>
      </c>
      <c r="T780">
        <v>0</v>
      </c>
      <c r="U780" t="s">
        <v>36</v>
      </c>
      <c r="V780">
        <v>2</v>
      </c>
      <c r="W780" t="s">
        <v>45</v>
      </c>
      <c r="X780">
        <v>0</v>
      </c>
      <c r="Y780" t="s">
        <v>48</v>
      </c>
      <c r="Z780">
        <v>4</v>
      </c>
      <c r="AA780" t="s">
        <v>49</v>
      </c>
      <c r="AB780">
        <v>3.9</v>
      </c>
      <c r="AC780" t="s">
        <v>937</v>
      </c>
      <c r="AD780">
        <v>3</v>
      </c>
      <c r="AE780" s="2">
        <v>45875</v>
      </c>
      <c r="AF780">
        <v>5</v>
      </c>
      <c r="AG780">
        <v>1</v>
      </c>
    </row>
    <row r="781" spans="1:33">
      <c r="A781">
        <v>10480</v>
      </c>
      <c r="B781" t="s">
        <v>1701</v>
      </c>
      <c r="C781" t="s">
        <v>31</v>
      </c>
      <c r="D781" t="s">
        <v>31</v>
      </c>
      <c r="E781" t="s">
        <v>934</v>
      </c>
      <c r="F781" t="s">
        <v>113</v>
      </c>
      <c r="G781" t="s">
        <v>62</v>
      </c>
      <c r="H781" t="s">
        <v>895</v>
      </c>
      <c r="I781">
        <v>103936</v>
      </c>
      <c r="J781" s="3">
        <v>1247232</v>
      </c>
      <c r="K781" s="2">
        <v>31884</v>
      </c>
      <c r="L781" t="s">
        <v>264</v>
      </c>
      <c r="M781" t="s">
        <v>29</v>
      </c>
      <c r="N781">
        <v>19683</v>
      </c>
      <c r="O781" t="s">
        <v>33</v>
      </c>
      <c r="P781" t="s">
        <v>32</v>
      </c>
      <c r="Q781" t="s">
        <v>204</v>
      </c>
      <c r="R781" s="2">
        <v>43418</v>
      </c>
      <c r="S781" s="1" t="s">
        <v>35</v>
      </c>
      <c r="T781">
        <v>1</v>
      </c>
      <c r="U781" t="s">
        <v>36</v>
      </c>
      <c r="V781">
        <v>1</v>
      </c>
      <c r="W781" t="s">
        <v>45</v>
      </c>
      <c r="X781">
        <v>0</v>
      </c>
      <c r="Y781" t="s">
        <v>48</v>
      </c>
      <c r="Z781">
        <v>3</v>
      </c>
      <c r="AA781" t="s">
        <v>276</v>
      </c>
      <c r="AB781">
        <v>4.5</v>
      </c>
      <c r="AC781" t="s">
        <v>932</v>
      </c>
      <c r="AD781">
        <v>0</v>
      </c>
      <c r="AE781" s="2">
        <v>45994</v>
      </c>
      <c r="AF781">
        <v>2</v>
      </c>
      <c r="AG781">
        <v>6</v>
      </c>
    </row>
    <row r="782" spans="1:33">
      <c r="A782">
        <v>10481</v>
      </c>
      <c r="B782" t="s">
        <v>1702</v>
      </c>
      <c r="C782" t="s">
        <v>31</v>
      </c>
      <c r="D782" t="s">
        <v>42</v>
      </c>
      <c r="E782" t="s">
        <v>929</v>
      </c>
      <c r="F782" t="s">
        <v>271</v>
      </c>
      <c r="G782" t="s">
        <v>62</v>
      </c>
      <c r="H782" t="s">
        <v>898</v>
      </c>
      <c r="I782">
        <v>89821</v>
      </c>
      <c r="J782" s="3">
        <v>1077852</v>
      </c>
      <c r="K782" s="2">
        <v>24816</v>
      </c>
      <c r="L782" t="s">
        <v>51</v>
      </c>
      <c r="M782" t="s">
        <v>80</v>
      </c>
      <c r="N782">
        <v>82540</v>
      </c>
      <c r="O782" t="s">
        <v>73</v>
      </c>
      <c r="P782" t="s">
        <v>124</v>
      </c>
      <c r="Q782" t="s">
        <v>270</v>
      </c>
      <c r="R782" s="2">
        <v>45023</v>
      </c>
      <c r="S782" s="1" t="s">
        <v>897</v>
      </c>
      <c r="T782">
        <v>0</v>
      </c>
      <c r="U782" t="s">
        <v>36</v>
      </c>
      <c r="V782">
        <v>2</v>
      </c>
      <c r="W782" t="s">
        <v>36</v>
      </c>
      <c r="X782">
        <v>1</v>
      </c>
      <c r="Y782" t="s">
        <v>39</v>
      </c>
      <c r="Z782">
        <v>1</v>
      </c>
      <c r="AA782" t="s">
        <v>276</v>
      </c>
      <c r="AB782">
        <v>4.0999999999999996</v>
      </c>
      <c r="AC782" t="s">
        <v>962</v>
      </c>
      <c r="AD782">
        <v>2</v>
      </c>
      <c r="AE782" s="2">
        <v>45709</v>
      </c>
      <c r="AF782">
        <v>0</v>
      </c>
      <c r="AG782">
        <v>1</v>
      </c>
    </row>
    <row r="783" spans="1:33">
      <c r="A783">
        <v>10482</v>
      </c>
      <c r="B783" t="s">
        <v>1703</v>
      </c>
      <c r="C783" t="s">
        <v>42</v>
      </c>
      <c r="D783" t="s">
        <v>42</v>
      </c>
      <c r="E783" t="s">
        <v>934</v>
      </c>
      <c r="F783" t="s">
        <v>271</v>
      </c>
      <c r="G783" t="s">
        <v>294</v>
      </c>
      <c r="H783" t="s">
        <v>900</v>
      </c>
      <c r="I783">
        <v>87056</v>
      </c>
      <c r="J783" s="3">
        <v>1044672</v>
      </c>
      <c r="K783" s="2">
        <v>27256</v>
      </c>
      <c r="L783" t="s">
        <v>264</v>
      </c>
      <c r="M783" t="s">
        <v>29</v>
      </c>
      <c r="N783">
        <v>99862</v>
      </c>
      <c r="O783" t="s">
        <v>73</v>
      </c>
      <c r="P783" t="s">
        <v>124</v>
      </c>
      <c r="Q783" t="s">
        <v>270</v>
      </c>
      <c r="R783" s="2">
        <v>44638</v>
      </c>
      <c r="S783" s="1" t="s">
        <v>899</v>
      </c>
      <c r="T783">
        <v>0</v>
      </c>
      <c r="U783" t="s">
        <v>36</v>
      </c>
      <c r="V783">
        <v>3</v>
      </c>
      <c r="W783" t="s">
        <v>45</v>
      </c>
      <c r="X783">
        <v>0</v>
      </c>
      <c r="Y783" t="s">
        <v>268</v>
      </c>
      <c r="Z783">
        <v>3</v>
      </c>
      <c r="AA783" t="s">
        <v>136</v>
      </c>
      <c r="AB783">
        <v>4.2</v>
      </c>
      <c r="AC783" t="s">
        <v>930</v>
      </c>
      <c r="AD783">
        <v>1</v>
      </c>
      <c r="AE783" s="2">
        <v>45918</v>
      </c>
      <c r="AF783">
        <v>2</v>
      </c>
      <c r="AG783">
        <v>4</v>
      </c>
    </row>
    <row r="784" spans="1:33">
      <c r="A784">
        <v>10483</v>
      </c>
      <c r="B784" t="s">
        <v>1704</v>
      </c>
      <c r="C784" t="s">
        <v>42</v>
      </c>
      <c r="D784" t="s">
        <v>42</v>
      </c>
      <c r="E784" t="s">
        <v>934</v>
      </c>
      <c r="F784" t="s">
        <v>271</v>
      </c>
      <c r="G784" t="s">
        <v>28</v>
      </c>
      <c r="H784" t="s">
        <v>902</v>
      </c>
      <c r="I784">
        <v>48899</v>
      </c>
      <c r="J784" s="3">
        <v>586788</v>
      </c>
      <c r="K784" s="2">
        <v>24709</v>
      </c>
      <c r="L784" t="s">
        <v>264</v>
      </c>
      <c r="M784" t="s">
        <v>210</v>
      </c>
      <c r="N784">
        <v>38687</v>
      </c>
      <c r="O784" t="s">
        <v>33</v>
      </c>
      <c r="P784" t="s">
        <v>32</v>
      </c>
      <c r="Q784" t="s">
        <v>92</v>
      </c>
      <c r="R784" s="2">
        <v>42425</v>
      </c>
      <c r="S784" s="1" t="s">
        <v>901</v>
      </c>
      <c r="T784">
        <v>0</v>
      </c>
      <c r="U784" t="s">
        <v>36</v>
      </c>
      <c r="V784">
        <v>3</v>
      </c>
      <c r="W784" t="s">
        <v>87</v>
      </c>
      <c r="X784">
        <v>0</v>
      </c>
      <c r="Y784" t="s">
        <v>280</v>
      </c>
      <c r="Z784">
        <v>3</v>
      </c>
      <c r="AA784" t="s">
        <v>136</v>
      </c>
      <c r="AB784">
        <v>4.3</v>
      </c>
      <c r="AC784" t="s">
        <v>930</v>
      </c>
      <c r="AD784">
        <v>3</v>
      </c>
      <c r="AE784" s="2">
        <v>45766</v>
      </c>
      <c r="AF784">
        <v>4</v>
      </c>
      <c r="AG784">
        <v>9</v>
      </c>
    </row>
    <row r="785" spans="1:33">
      <c r="A785">
        <v>10484</v>
      </c>
      <c r="B785" t="s">
        <v>1705</v>
      </c>
      <c r="C785" t="s">
        <v>42</v>
      </c>
      <c r="D785" t="s">
        <v>42</v>
      </c>
      <c r="E785" t="s">
        <v>929</v>
      </c>
      <c r="F785" t="s">
        <v>288</v>
      </c>
      <c r="G785" t="s">
        <v>269</v>
      </c>
      <c r="H785" t="s">
        <v>903</v>
      </c>
      <c r="I785">
        <v>102433</v>
      </c>
      <c r="J785" s="3">
        <v>1229196</v>
      </c>
      <c r="K785" s="2">
        <v>29831</v>
      </c>
      <c r="L785" t="s">
        <v>264</v>
      </c>
      <c r="M785" t="s">
        <v>29</v>
      </c>
      <c r="N785">
        <v>71113</v>
      </c>
      <c r="O785" t="s">
        <v>73</v>
      </c>
      <c r="P785" t="s">
        <v>32</v>
      </c>
      <c r="Q785" t="s">
        <v>204</v>
      </c>
      <c r="R785" s="2">
        <v>45013</v>
      </c>
      <c r="S785" s="1" t="s">
        <v>35</v>
      </c>
      <c r="T785">
        <v>1</v>
      </c>
      <c r="U785" t="s">
        <v>266</v>
      </c>
      <c r="V785">
        <v>2</v>
      </c>
      <c r="W785" t="s">
        <v>87</v>
      </c>
      <c r="X785">
        <v>0</v>
      </c>
      <c r="Y785" t="s">
        <v>268</v>
      </c>
      <c r="Z785">
        <v>4</v>
      </c>
      <c r="AA785" t="s">
        <v>95</v>
      </c>
      <c r="AB785">
        <v>4.8</v>
      </c>
      <c r="AC785" t="s">
        <v>962</v>
      </c>
      <c r="AD785">
        <v>0</v>
      </c>
      <c r="AE785" s="2">
        <v>45648</v>
      </c>
      <c r="AF785">
        <v>2</v>
      </c>
      <c r="AG785">
        <v>3</v>
      </c>
    </row>
    <row r="786" spans="1:33">
      <c r="A786">
        <v>10485</v>
      </c>
      <c r="B786" t="s">
        <v>1706</v>
      </c>
      <c r="C786" t="s">
        <v>31</v>
      </c>
      <c r="D786" t="s">
        <v>42</v>
      </c>
      <c r="E786" t="s">
        <v>929</v>
      </c>
      <c r="F786" t="s">
        <v>271</v>
      </c>
      <c r="G786" t="s">
        <v>277</v>
      </c>
      <c r="H786" t="s">
        <v>904</v>
      </c>
      <c r="I786">
        <v>32633</v>
      </c>
      <c r="J786" s="3">
        <v>391596</v>
      </c>
      <c r="K786" s="2">
        <v>34244</v>
      </c>
      <c r="L786" t="s">
        <v>51</v>
      </c>
      <c r="M786" t="s">
        <v>29</v>
      </c>
      <c r="N786">
        <v>50354</v>
      </c>
      <c r="O786" t="s">
        <v>33</v>
      </c>
      <c r="P786" t="s">
        <v>32</v>
      </c>
      <c r="Q786" t="s">
        <v>204</v>
      </c>
      <c r="R786" s="2">
        <v>44744</v>
      </c>
      <c r="S786" s="1" t="s">
        <v>35</v>
      </c>
      <c r="T786">
        <v>1</v>
      </c>
      <c r="U786" t="s">
        <v>273</v>
      </c>
      <c r="V786">
        <v>1</v>
      </c>
      <c r="W786" t="s">
        <v>87</v>
      </c>
      <c r="X786">
        <v>0</v>
      </c>
      <c r="Y786" t="s">
        <v>268</v>
      </c>
      <c r="Z786">
        <v>2</v>
      </c>
      <c r="AA786" t="s">
        <v>95</v>
      </c>
      <c r="AB786">
        <v>4.7</v>
      </c>
      <c r="AC786" t="s">
        <v>930</v>
      </c>
      <c r="AD786">
        <v>2</v>
      </c>
      <c r="AE786" s="2">
        <v>45922</v>
      </c>
      <c r="AF786">
        <v>0</v>
      </c>
      <c r="AG786">
        <v>2</v>
      </c>
    </row>
    <row r="787" spans="1:33">
      <c r="A787">
        <v>10486</v>
      </c>
      <c r="B787" t="s">
        <v>1707</v>
      </c>
      <c r="C787" t="s">
        <v>42</v>
      </c>
      <c r="D787" t="s">
        <v>31</v>
      </c>
      <c r="E787" t="s">
        <v>929</v>
      </c>
      <c r="F787" t="s">
        <v>283</v>
      </c>
      <c r="G787" t="s">
        <v>62</v>
      </c>
      <c r="H787" t="s">
        <v>906</v>
      </c>
      <c r="I787">
        <v>102727</v>
      </c>
      <c r="J787" s="3">
        <v>1232724</v>
      </c>
      <c r="K787" s="2">
        <v>37855</v>
      </c>
      <c r="L787" t="s">
        <v>264</v>
      </c>
      <c r="M787" t="s">
        <v>144</v>
      </c>
      <c r="N787">
        <v>20248</v>
      </c>
      <c r="O787" t="s">
        <v>33</v>
      </c>
      <c r="P787" t="s">
        <v>124</v>
      </c>
      <c r="Q787" t="s">
        <v>160</v>
      </c>
      <c r="R787" s="2">
        <v>45642</v>
      </c>
      <c r="S787" s="1" t="s">
        <v>905</v>
      </c>
      <c r="T787">
        <v>1</v>
      </c>
      <c r="U787" t="s">
        <v>266</v>
      </c>
      <c r="V787">
        <v>1</v>
      </c>
      <c r="W787" t="s">
        <v>45</v>
      </c>
      <c r="X787">
        <v>1</v>
      </c>
      <c r="Y787" t="s">
        <v>142</v>
      </c>
      <c r="Z787">
        <v>1</v>
      </c>
      <c r="AA787" t="s">
        <v>136</v>
      </c>
      <c r="AB787">
        <v>2.5</v>
      </c>
      <c r="AC787" t="s">
        <v>930</v>
      </c>
      <c r="AD787">
        <v>5</v>
      </c>
      <c r="AE787" s="2">
        <v>45845</v>
      </c>
      <c r="AF787">
        <v>3</v>
      </c>
      <c r="AG787">
        <v>3</v>
      </c>
    </row>
    <row r="788" spans="1:33">
      <c r="A788">
        <v>10487</v>
      </c>
      <c r="B788" t="s">
        <v>1708</v>
      </c>
      <c r="C788" t="s">
        <v>31</v>
      </c>
      <c r="D788" t="s">
        <v>31</v>
      </c>
      <c r="E788" t="s">
        <v>929</v>
      </c>
      <c r="F788" t="s">
        <v>271</v>
      </c>
      <c r="G788" t="s">
        <v>277</v>
      </c>
      <c r="H788" t="s">
        <v>907</v>
      </c>
      <c r="I788">
        <v>111361</v>
      </c>
      <c r="J788" s="3">
        <v>1336332</v>
      </c>
      <c r="K788" s="2">
        <v>31935</v>
      </c>
      <c r="L788" t="s">
        <v>51</v>
      </c>
      <c r="M788" t="s">
        <v>191</v>
      </c>
      <c r="N788">
        <v>37996</v>
      </c>
      <c r="O788" t="s">
        <v>73</v>
      </c>
      <c r="P788" t="s">
        <v>124</v>
      </c>
      <c r="Q788" t="s">
        <v>92</v>
      </c>
      <c r="R788" s="2">
        <v>45407</v>
      </c>
      <c r="S788" s="1" t="s">
        <v>839</v>
      </c>
      <c r="T788">
        <v>1</v>
      </c>
      <c r="U788" t="s">
        <v>273</v>
      </c>
      <c r="V788">
        <v>2</v>
      </c>
      <c r="W788" t="s">
        <v>36</v>
      </c>
      <c r="X788">
        <v>1</v>
      </c>
      <c r="Y788" t="s">
        <v>48</v>
      </c>
      <c r="Z788">
        <v>3</v>
      </c>
      <c r="AA788" t="s">
        <v>95</v>
      </c>
      <c r="AB788">
        <v>2.8</v>
      </c>
      <c r="AC788" t="s">
        <v>932</v>
      </c>
      <c r="AD788">
        <v>4</v>
      </c>
      <c r="AE788" s="2">
        <v>45804</v>
      </c>
      <c r="AF788">
        <v>5</v>
      </c>
      <c r="AG788">
        <v>4</v>
      </c>
    </row>
    <row r="789" spans="1:33">
      <c r="A789">
        <v>10488</v>
      </c>
      <c r="B789" t="s">
        <v>1709</v>
      </c>
      <c r="C789" t="s">
        <v>42</v>
      </c>
      <c r="D789" t="s">
        <v>56</v>
      </c>
      <c r="E789" t="s">
        <v>934</v>
      </c>
      <c r="F789" t="s">
        <v>274</v>
      </c>
      <c r="G789" t="s">
        <v>294</v>
      </c>
      <c r="H789" t="s">
        <v>909</v>
      </c>
      <c r="I789">
        <v>116772</v>
      </c>
      <c r="J789" s="3">
        <v>1401264</v>
      </c>
      <c r="K789" s="2">
        <v>37183</v>
      </c>
      <c r="L789" t="s">
        <v>51</v>
      </c>
      <c r="M789" t="s">
        <v>29</v>
      </c>
      <c r="N789">
        <v>77521</v>
      </c>
      <c r="O789" t="s">
        <v>73</v>
      </c>
      <c r="P789" t="s">
        <v>124</v>
      </c>
      <c r="Q789" t="s">
        <v>34</v>
      </c>
      <c r="R789" s="2">
        <v>42655</v>
      </c>
      <c r="S789" s="1" t="s">
        <v>908</v>
      </c>
      <c r="T789">
        <v>1</v>
      </c>
      <c r="U789" t="s">
        <v>290</v>
      </c>
      <c r="V789">
        <v>3</v>
      </c>
      <c r="W789" t="s">
        <v>45</v>
      </c>
      <c r="X789">
        <v>0</v>
      </c>
      <c r="Y789" t="s">
        <v>142</v>
      </c>
      <c r="Z789">
        <v>4</v>
      </c>
      <c r="AA789" t="s">
        <v>276</v>
      </c>
      <c r="AB789">
        <v>2.5</v>
      </c>
      <c r="AC789" t="s">
        <v>1003</v>
      </c>
      <c r="AD789">
        <v>4</v>
      </c>
      <c r="AE789" s="2">
        <v>45755</v>
      </c>
      <c r="AF789">
        <v>1</v>
      </c>
      <c r="AG789">
        <v>3</v>
      </c>
    </row>
    <row r="790" spans="1:33">
      <c r="A790">
        <v>10489</v>
      </c>
      <c r="B790" t="s">
        <v>1710</v>
      </c>
      <c r="C790" t="s">
        <v>42</v>
      </c>
      <c r="D790" t="s">
        <v>42</v>
      </c>
      <c r="E790" t="s">
        <v>929</v>
      </c>
      <c r="F790" t="s">
        <v>113</v>
      </c>
      <c r="G790" t="s">
        <v>294</v>
      </c>
      <c r="H790" t="s">
        <v>910</v>
      </c>
      <c r="I790">
        <v>46205</v>
      </c>
      <c r="J790" s="3">
        <v>554460</v>
      </c>
      <c r="K790" s="2">
        <v>30534</v>
      </c>
      <c r="L790" t="s">
        <v>264</v>
      </c>
      <c r="M790" t="s">
        <v>191</v>
      </c>
      <c r="N790">
        <v>98003</v>
      </c>
      <c r="O790" t="s">
        <v>33</v>
      </c>
      <c r="P790" t="s">
        <v>124</v>
      </c>
      <c r="Q790" t="s">
        <v>34</v>
      </c>
      <c r="R790" s="2">
        <v>43572</v>
      </c>
      <c r="S790" s="1" t="s">
        <v>35</v>
      </c>
      <c r="T790">
        <v>0</v>
      </c>
      <c r="U790" t="s">
        <v>36</v>
      </c>
      <c r="V790">
        <v>2</v>
      </c>
      <c r="W790" t="s">
        <v>45</v>
      </c>
      <c r="X790">
        <v>1</v>
      </c>
      <c r="Y790" t="s">
        <v>39</v>
      </c>
      <c r="Z790">
        <v>4</v>
      </c>
      <c r="AA790" t="s">
        <v>136</v>
      </c>
      <c r="AB790">
        <v>4.3</v>
      </c>
      <c r="AC790" t="s">
        <v>932</v>
      </c>
      <c r="AD790">
        <v>2</v>
      </c>
      <c r="AE790" s="2">
        <v>45611</v>
      </c>
      <c r="AF790">
        <v>4</v>
      </c>
      <c r="AG790">
        <v>3</v>
      </c>
    </row>
    <row r="791" spans="1:33">
      <c r="A791">
        <v>10490</v>
      </c>
      <c r="B791" t="s">
        <v>1711</v>
      </c>
      <c r="C791" t="s">
        <v>42</v>
      </c>
      <c r="D791" t="s">
        <v>56</v>
      </c>
      <c r="E791" t="s">
        <v>934</v>
      </c>
      <c r="F791" t="s">
        <v>113</v>
      </c>
      <c r="G791" t="s">
        <v>28</v>
      </c>
      <c r="H791" t="s">
        <v>911</v>
      </c>
      <c r="I791">
        <v>87656</v>
      </c>
      <c r="J791" s="3">
        <v>1051872</v>
      </c>
      <c r="K791" s="2">
        <v>29395</v>
      </c>
      <c r="L791" t="s">
        <v>51</v>
      </c>
      <c r="M791" t="s">
        <v>144</v>
      </c>
      <c r="N791">
        <v>22515</v>
      </c>
      <c r="O791" t="s">
        <v>33</v>
      </c>
      <c r="P791" t="s">
        <v>32</v>
      </c>
      <c r="Q791" t="s">
        <v>92</v>
      </c>
      <c r="R791" s="2">
        <v>44169</v>
      </c>
      <c r="S791" s="1" t="s">
        <v>896</v>
      </c>
      <c r="T791">
        <v>0</v>
      </c>
      <c r="U791" t="s">
        <v>36</v>
      </c>
      <c r="V791">
        <v>2</v>
      </c>
      <c r="W791" t="s">
        <v>36</v>
      </c>
      <c r="X791">
        <v>0</v>
      </c>
      <c r="Y791" t="s">
        <v>268</v>
      </c>
      <c r="Z791">
        <v>4</v>
      </c>
      <c r="AA791" t="s">
        <v>95</v>
      </c>
      <c r="AB791">
        <v>2.5</v>
      </c>
      <c r="AC791" t="s">
        <v>962</v>
      </c>
      <c r="AD791">
        <v>5</v>
      </c>
      <c r="AE791" s="2">
        <v>45926</v>
      </c>
      <c r="AF791">
        <v>0</v>
      </c>
      <c r="AG791">
        <v>6</v>
      </c>
    </row>
    <row r="792" spans="1:33">
      <c r="A792">
        <v>10491</v>
      </c>
      <c r="B792" t="s">
        <v>1712</v>
      </c>
      <c r="C792" t="s">
        <v>31</v>
      </c>
      <c r="D792" t="s">
        <v>56</v>
      </c>
      <c r="E792" t="s">
        <v>929</v>
      </c>
      <c r="F792" t="s">
        <v>271</v>
      </c>
      <c r="G792" t="s">
        <v>294</v>
      </c>
      <c r="H792" t="s">
        <v>913</v>
      </c>
      <c r="I792">
        <v>62205</v>
      </c>
      <c r="J792" s="3">
        <v>746460</v>
      </c>
      <c r="K792" s="2">
        <v>26986</v>
      </c>
      <c r="L792" t="s">
        <v>264</v>
      </c>
      <c r="M792" t="s">
        <v>210</v>
      </c>
      <c r="N792">
        <v>31534</v>
      </c>
      <c r="O792" t="s">
        <v>33</v>
      </c>
      <c r="P792" t="s">
        <v>32</v>
      </c>
      <c r="Q792" t="s">
        <v>270</v>
      </c>
      <c r="R792" s="2">
        <v>42758</v>
      </c>
      <c r="S792" s="1" t="s">
        <v>912</v>
      </c>
      <c r="T792">
        <v>0</v>
      </c>
      <c r="U792" t="s">
        <v>36</v>
      </c>
      <c r="V792">
        <v>1</v>
      </c>
      <c r="W792" t="s">
        <v>45</v>
      </c>
      <c r="X792">
        <v>0</v>
      </c>
      <c r="Y792" t="s">
        <v>142</v>
      </c>
      <c r="Z792">
        <v>4</v>
      </c>
      <c r="AA792" t="s">
        <v>95</v>
      </c>
      <c r="AB792">
        <v>3.8</v>
      </c>
      <c r="AC792" t="s">
        <v>1003</v>
      </c>
      <c r="AD792">
        <v>2</v>
      </c>
      <c r="AE792" s="2">
        <v>45738</v>
      </c>
      <c r="AF792">
        <v>0</v>
      </c>
      <c r="AG792">
        <v>5</v>
      </c>
    </row>
    <row r="793" spans="1:33">
      <c r="A793">
        <v>10492</v>
      </c>
      <c r="B793" t="s">
        <v>1713</v>
      </c>
      <c r="C793" t="s">
        <v>42</v>
      </c>
      <c r="D793" t="s">
        <v>31</v>
      </c>
      <c r="E793" t="s">
        <v>929</v>
      </c>
      <c r="F793" t="s">
        <v>288</v>
      </c>
      <c r="G793" t="s">
        <v>269</v>
      </c>
      <c r="H793" t="s">
        <v>915</v>
      </c>
      <c r="I793">
        <v>62196</v>
      </c>
      <c r="J793" s="3">
        <v>746352</v>
      </c>
      <c r="K793" s="2">
        <v>37594</v>
      </c>
      <c r="L793" t="s">
        <v>51</v>
      </c>
      <c r="M793" t="s">
        <v>80</v>
      </c>
      <c r="N793">
        <v>91371</v>
      </c>
      <c r="O793" t="s">
        <v>33</v>
      </c>
      <c r="P793" t="s">
        <v>124</v>
      </c>
      <c r="Q793" t="s">
        <v>92</v>
      </c>
      <c r="R793" s="2">
        <v>43251</v>
      </c>
      <c r="S793" s="1" t="s">
        <v>914</v>
      </c>
      <c r="T793">
        <v>0</v>
      </c>
      <c r="U793" t="s">
        <v>36</v>
      </c>
      <c r="V793">
        <v>3</v>
      </c>
      <c r="W793" t="s">
        <v>45</v>
      </c>
      <c r="X793">
        <v>0</v>
      </c>
      <c r="Y793" t="s">
        <v>142</v>
      </c>
      <c r="Z793">
        <v>1</v>
      </c>
      <c r="AA793" t="s">
        <v>136</v>
      </c>
      <c r="AB793">
        <v>4.3</v>
      </c>
      <c r="AC793" t="s">
        <v>932</v>
      </c>
      <c r="AD793">
        <v>5</v>
      </c>
      <c r="AE793" s="2">
        <v>45851</v>
      </c>
      <c r="AF793">
        <v>1</v>
      </c>
      <c r="AG793">
        <v>7</v>
      </c>
    </row>
    <row r="794" spans="1:33">
      <c r="A794">
        <v>10493</v>
      </c>
      <c r="B794" t="s">
        <v>1714</v>
      </c>
      <c r="C794" t="s">
        <v>31</v>
      </c>
      <c r="D794" t="s">
        <v>56</v>
      </c>
      <c r="E794" t="s">
        <v>934</v>
      </c>
      <c r="F794" t="s">
        <v>271</v>
      </c>
      <c r="G794" t="s">
        <v>277</v>
      </c>
      <c r="H794" t="s">
        <v>916</v>
      </c>
      <c r="I794">
        <v>74190</v>
      </c>
      <c r="J794" s="3">
        <v>890280</v>
      </c>
      <c r="K794" s="2">
        <v>27943</v>
      </c>
      <c r="L794" t="s">
        <v>51</v>
      </c>
      <c r="M794" t="s">
        <v>191</v>
      </c>
      <c r="N794">
        <v>90555</v>
      </c>
      <c r="O794" t="s">
        <v>33</v>
      </c>
      <c r="P794" t="s">
        <v>124</v>
      </c>
      <c r="Q794" t="s">
        <v>204</v>
      </c>
      <c r="R794" s="2">
        <v>43062</v>
      </c>
      <c r="S794" s="1" t="s">
        <v>35</v>
      </c>
      <c r="T794">
        <v>1</v>
      </c>
      <c r="U794" t="s">
        <v>290</v>
      </c>
      <c r="V794">
        <v>1</v>
      </c>
      <c r="W794" t="s">
        <v>45</v>
      </c>
      <c r="X794">
        <v>0</v>
      </c>
      <c r="Y794" t="s">
        <v>39</v>
      </c>
      <c r="Z794">
        <v>4</v>
      </c>
      <c r="AA794" t="s">
        <v>49</v>
      </c>
      <c r="AB794">
        <v>3.1</v>
      </c>
      <c r="AC794" t="s">
        <v>1003</v>
      </c>
      <c r="AD794">
        <v>1</v>
      </c>
      <c r="AE794" s="2">
        <v>45615</v>
      </c>
      <c r="AF794">
        <v>4</v>
      </c>
      <c r="AG794">
        <v>3</v>
      </c>
    </row>
    <row r="795" spans="1:33">
      <c r="A795">
        <v>10494</v>
      </c>
      <c r="B795" t="s">
        <v>1715</v>
      </c>
      <c r="C795" t="s">
        <v>42</v>
      </c>
      <c r="D795" t="s">
        <v>31</v>
      </c>
      <c r="E795" t="s">
        <v>934</v>
      </c>
      <c r="F795" t="s">
        <v>271</v>
      </c>
      <c r="G795" t="s">
        <v>294</v>
      </c>
      <c r="H795" t="s">
        <v>917</v>
      </c>
      <c r="I795">
        <v>65081</v>
      </c>
      <c r="J795" s="3">
        <v>780972</v>
      </c>
      <c r="K795" s="2">
        <v>30925</v>
      </c>
      <c r="L795" t="s">
        <v>264</v>
      </c>
      <c r="M795" t="s">
        <v>191</v>
      </c>
      <c r="N795">
        <v>15847</v>
      </c>
      <c r="O795" t="s">
        <v>33</v>
      </c>
      <c r="P795" t="s">
        <v>32</v>
      </c>
      <c r="Q795" t="s">
        <v>92</v>
      </c>
      <c r="R795" s="2">
        <v>43142</v>
      </c>
      <c r="S795" s="1" t="s">
        <v>35</v>
      </c>
      <c r="T795">
        <v>1</v>
      </c>
      <c r="U795" t="s">
        <v>266</v>
      </c>
      <c r="V795">
        <v>1</v>
      </c>
      <c r="W795" t="s">
        <v>45</v>
      </c>
      <c r="X795">
        <v>1</v>
      </c>
      <c r="Y795" t="s">
        <v>48</v>
      </c>
      <c r="Z795">
        <v>1</v>
      </c>
      <c r="AA795" t="s">
        <v>136</v>
      </c>
      <c r="AB795">
        <v>4.8</v>
      </c>
      <c r="AC795" t="s">
        <v>937</v>
      </c>
      <c r="AD795">
        <v>1</v>
      </c>
      <c r="AE795" s="2">
        <v>45898</v>
      </c>
      <c r="AF795">
        <v>1</v>
      </c>
      <c r="AG795">
        <v>2</v>
      </c>
    </row>
    <row r="796" spans="1:33">
      <c r="A796">
        <v>10495</v>
      </c>
      <c r="B796" t="s">
        <v>1716</v>
      </c>
      <c r="C796" t="s">
        <v>42</v>
      </c>
      <c r="D796" t="s">
        <v>31</v>
      </c>
      <c r="E796" t="s">
        <v>929</v>
      </c>
      <c r="F796" t="s">
        <v>113</v>
      </c>
      <c r="G796" t="s">
        <v>28</v>
      </c>
      <c r="H796" t="s">
        <v>918</v>
      </c>
      <c r="I796">
        <v>77922</v>
      </c>
      <c r="J796" s="3">
        <v>935064</v>
      </c>
      <c r="K796" s="2">
        <v>36769</v>
      </c>
      <c r="L796" t="s">
        <v>51</v>
      </c>
      <c r="M796" t="s">
        <v>80</v>
      </c>
      <c r="N796">
        <v>37519</v>
      </c>
      <c r="O796" t="s">
        <v>33</v>
      </c>
      <c r="P796" t="s">
        <v>32</v>
      </c>
      <c r="Q796" t="s">
        <v>160</v>
      </c>
      <c r="R796" s="2">
        <v>43161</v>
      </c>
      <c r="S796" s="1" t="s">
        <v>35</v>
      </c>
      <c r="T796">
        <v>0</v>
      </c>
      <c r="U796" t="s">
        <v>36</v>
      </c>
      <c r="V796">
        <v>3</v>
      </c>
      <c r="W796" t="s">
        <v>87</v>
      </c>
      <c r="X796">
        <v>0</v>
      </c>
      <c r="Y796" t="s">
        <v>39</v>
      </c>
      <c r="Z796">
        <v>4</v>
      </c>
      <c r="AA796" t="s">
        <v>276</v>
      </c>
      <c r="AB796">
        <v>4.8</v>
      </c>
      <c r="AC796" t="s">
        <v>962</v>
      </c>
      <c r="AD796">
        <v>5</v>
      </c>
      <c r="AE796" s="2">
        <v>45810</v>
      </c>
      <c r="AF796">
        <v>1</v>
      </c>
      <c r="AG796">
        <v>2</v>
      </c>
    </row>
    <row r="797" spans="1:33">
      <c r="A797">
        <v>10496</v>
      </c>
      <c r="B797" t="s">
        <v>1717</v>
      </c>
      <c r="C797" t="s">
        <v>42</v>
      </c>
      <c r="D797" t="s">
        <v>56</v>
      </c>
      <c r="E797" t="s">
        <v>934</v>
      </c>
      <c r="F797" t="s">
        <v>113</v>
      </c>
      <c r="G797" t="s">
        <v>28</v>
      </c>
      <c r="H797" t="s">
        <v>919</v>
      </c>
      <c r="I797">
        <v>59754</v>
      </c>
      <c r="J797" s="3">
        <v>717048</v>
      </c>
      <c r="K797" s="2">
        <v>31727</v>
      </c>
      <c r="L797" t="s">
        <v>51</v>
      </c>
      <c r="M797" t="s">
        <v>191</v>
      </c>
      <c r="N797">
        <v>93215</v>
      </c>
      <c r="O797" t="s">
        <v>33</v>
      </c>
      <c r="P797" t="s">
        <v>32</v>
      </c>
      <c r="Q797" t="s">
        <v>34</v>
      </c>
      <c r="R797" s="2">
        <v>45712</v>
      </c>
      <c r="S797" s="1" t="s">
        <v>884</v>
      </c>
      <c r="T797">
        <v>1</v>
      </c>
      <c r="U797" t="s">
        <v>273</v>
      </c>
      <c r="V797">
        <v>3</v>
      </c>
      <c r="W797" t="s">
        <v>87</v>
      </c>
      <c r="X797">
        <v>1</v>
      </c>
      <c r="Y797" t="s">
        <v>48</v>
      </c>
      <c r="Z797">
        <v>3</v>
      </c>
      <c r="AA797" t="s">
        <v>95</v>
      </c>
      <c r="AB797">
        <v>3.6</v>
      </c>
      <c r="AC797" t="s">
        <v>930</v>
      </c>
      <c r="AD797">
        <v>4</v>
      </c>
      <c r="AE797" s="2">
        <v>45885</v>
      </c>
      <c r="AF797">
        <v>3</v>
      </c>
      <c r="AG797">
        <v>10</v>
      </c>
    </row>
    <row r="798" spans="1:33">
      <c r="A798">
        <v>10497</v>
      </c>
      <c r="B798" t="s">
        <v>1718</v>
      </c>
      <c r="C798" t="s">
        <v>42</v>
      </c>
      <c r="D798" t="s">
        <v>42</v>
      </c>
      <c r="E798" t="s">
        <v>929</v>
      </c>
      <c r="F798" t="s">
        <v>274</v>
      </c>
      <c r="G798" t="s">
        <v>62</v>
      </c>
      <c r="H798" t="s">
        <v>920</v>
      </c>
      <c r="I798">
        <v>48399</v>
      </c>
      <c r="J798" s="3">
        <v>580788</v>
      </c>
      <c r="K798" s="2">
        <v>23736</v>
      </c>
      <c r="L798" t="s">
        <v>264</v>
      </c>
      <c r="M798" t="s">
        <v>191</v>
      </c>
      <c r="N798">
        <v>50804</v>
      </c>
      <c r="O798" t="s">
        <v>33</v>
      </c>
      <c r="P798" t="s">
        <v>124</v>
      </c>
      <c r="Q798" t="s">
        <v>160</v>
      </c>
      <c r="R798" s="2">
        <v>45707</v>
      </c>
      <c r="S798" s="1" t="s">
        <v>35</v>
      </c>
      <c r="T798">
        <v>1</v>
      </c>
      <c r="U798" t="s">
        <v>36</v>
      </c>
      <c r="V798">
        <v>3</v>
      </c>
      <c r="W798" t="s">
        <v>45</v>
      </c>
      <c r="X798">
        <v>0</v>
      </c>
      <c r="Y798" t="s">
        <v>39</v>
      </c>
      <c r="Z798">
        <v>3</v>
      </c>
      <c r="AA798" t="s">
        <v>49</v>
      </c>
      <c r="AB798">
        <v>4.9000000000000004</v>
      </c>
      <c r="AC798" t="s">
        <v>932</v>
      </c>
      <c r="AD798">
        <v>0</v>
      </c>
      <c r="AE798" s="2">
        <v>45773</v>
      </c>
      <c r="AF798">
        <v>0</v>
      </c>
      <c r="AG798">
        <v>5</v>
      </c>
    </row>
    <row r="799" spans="1:33">
      <c r="A799">
        <v>10498</v>
      </c>
      <c r="B799" t="s">
        <v>1719</v>
      </c>
      <c r="C799" t="s">
        <v>42</v>
      </c>
      <c r="D799" t="s">
        <v>31</v>
      </c>
      <c r="E799" t="s">
        <v>934</v>
      </c>
      <c r="F799" t="s">
        <v>288</v>
      </c>
      <c r="G799" t="s">
        <v>269</v>
      </c>
      <c r="H799" t="s">
        <v>921</v>
      </c>
      <c r="I799">
        <v>63104</v>
      </c>
      <c r="J799" s="3">
        <v>757248</v>
      </c>
      <c r="K799" s="2">
        <v>28317</v>
      </c>
      <c r="L799" t="s">
        <v>51</v>
      </c>
      <c r="M799" t="s">
        <v>144</v>
      </c>
      <c r="N799">
        <v>91767</v>
      </c>
      <c r="O799" t="s">
        <v>73</v>
      </c>
      <c r="P799" t="s">
        <v>32</v>
      </c>
      <c r="Q799" t="s">
        <v>34</v>
      </c>
      <c r="R799" s="2">
        <v>45282</v>
      </c>
      <c r="S799" s="1" t="s">
        <v>35</v>
      </c>
      <c r="T799">
        <v>0</v>
      </c>
      <c r="U799" t="s">
        <v>36</v>
      </c>
      <c r="V799">
        <v>3</v>
      </c>
      <c r="W799" t="s">
        <v>87</v>
      </c>
      <c r="X799">
        <v>0</v>
      </c>
      <c r="Y799" t="s">
        <v>48</v>
      </c>
      <c r="Z799">
        <v>2</v>
      </c>
      <c r="AA799" t="s">
        <v>276</v>
      </c>
      <c r="AB799">
        <v>4.4000000000000004</v>
      </c>
      <c r="AC799" t="s">
        <v>932</v>
      </c>
      <c r="AD799">
        <v>5</v>
      </c>
      <c r="AE799" s="2">
        <v>45793</v>
      </c>
      <c r="AF799">
        <v>1</v>
      </c>
      <c r="AG799">
        <v>10</v>
      </c>
    </row>
    <row r="800" spans="1:33">
      <c r="A800">
        <v>10499</v>
      </c>
      <c r="B800" t="s">
        <v>1720</v>
      </c>
      <c r="C800" t="s">
        <v>31</v>
      </c>
      <c r="D800" t="s">
        <v>42</v>
      </c>
      <c r="E800" t="s">
        <v>929</v>
      </c>
      <c r="F800" t="s">
        <v>274</v>
      </c>
      <c r="G800" t="s">
        <v>28</v>
      </c>
      <c r="H800" t="s">
        <v>922</v>
      </c>
      <c r="I800">
        <v>88538</v>
      </c>
      <c r="J800" s="3">
        <v>1062456</v>
      </c>
      <c r="K800" s="2">
        <v>25549</v>
      </c>
      <c r="L800" t="s">
        <v>264</v>
      </c>
      <c r="M800" t="s">
        <v>191</v>
      </c>
      <c r="N800">
        <v>46439</v>
      </c>
      <c r="O800" t="s">
        <v>33</v>
      </c>
      <c r="P800" t="s">
        <v>32</v>
      </c>
      <c r="Q800" t="s">
        <v>160</v>
      </c>
      <c r="R800" s="2">
        <v>44541</v>
      </c>
      <c r="S800" s="1" t="s">
        <v>35</v>
      </c>
      <c r="T800">
        <v>1</v>
      </c>
      <c r="U800" t="s">
        <v>36</v>
      </c>
      <c r="V800">
        <v>3</v>
      </c>
      <c r="W800" t="s">
        <v>87</v>
      </c>
      <c r="X800">
        <v>0</v>
      </c>
      <c r="Y800" t="s">
        <v>48</v>
      </c>
      <c r="Z800">
        <v>2</v>
      </c>
      <c r="AA800" t="s">
        <v>136</v>
      </c>
      <c r="AB800">
        <v>4.0999999999999996</v>
      </c>
      <c r="AC800" t="s">
        <v>1003</v>
      </c>
      <c r="AD800">
        <v>2</v>
      </c>
      <c r="AE800" s="2">
        <v>45783</v>
      </c>
      <c r="AF800">
        <v>1</v>
      </c>
      <c r="AG800">
        <v>4</v>
      </c>
    </row>
    <row r="801" spans="1:33">
      <c r="A801">
        <v>10500</v>
      </c>
      <c r="B801" t="s">
        <v>1721</v>
      </c>
      <c r="C801" t="s">
        <v>31</v>
      </c>
      <c r="D801" t="s">
        <v>31</v>
      </c>
      <c r="E801" t="s">
        <v>934</v>
      </c>
      <c r="F801" t="s">
        <v>283</v>
      </c>
      <c r="G801" t="s">
        <v>269</v>
      </c>
      <c r="H801" t="s">
        <v>923</v>
      </c>
      <c r="I801">
        <v>85011</v>
      </c>
      <c r="J801" s="3">
        <v>1020132</v>
      </c>
      <c r="K801" s="2">
        <v>32665</v>
      </c>
      <c r="L801" t="s">
        <v>51</v>
      </c>
      <c r="M801" t="s">
        <v>29</v>
      </c>
      <c r="N801">
        <v>26776</v>
      </c>
      <c r="O801" t="s">
        <v>33</v>
      </c>
      <c r="P801" t="s">
        <v>32</v>
      </c>
      <c r="Q801" t="s">
        <v>160</v>
      </c>
      <c r="R801" s="2">
        <v>44687</v>
      </c>
      <c r="S801" s="1" t="s">
        <v>35</v>
      </c>
      <c r="T801">
        <v>0</v>
      </c>
      <c r="U801" t="s">
        <v>36</v>
      </c>
      <c r="V801">
        <v>3</v>
      </c>
      <c r="W801" t="s">
        <v>36</v>
      </c>
      <c r="X801">
        <v>0</v>
      </c>
      <c r="Y801" t="s">
        <v>142</v>
      </c>
      <c r="Z801">
        <v>1</v>
      </c>
      <c r="AA801" t="s">
        <v>49</v>
      </c>
      <c r="AB801">
        <v>2.6</v>
      </c>
      <c r="AC801" t="s">
        <v>1003</v>
      </c>
      <c r="AD801">
        <v>5</v>
      </c>
      <c r="AE801" s="2">
        <v>45770</v>
      </c>
      <c r="AF801">
        <v>4</v>
      </c>
      <c r="AG801">
        <v>6</v>
      </c>
    </row>
    <row r="802" spans="1:33">
      <c r="A802">
        <v>11002</v>
      </c>
      <c r="B802" t="s">
        <v>1223</v>
      </c>
      <c r="C802" t="s">
        <v>31</v>
      </c>
      <c r="D802" t="s">
        <v>31</v>
      </c>
      <c r="E802" t="s">
        <v>929</v>
      </c>
      <c r="F802" t="s">
        <v>113</v>
      </c>
      <c r="G802" t="s">
        <v>62</v>
      </c>
      <c r="H802" t="s">
        <v>267</v>
      </c>
      <c r="I802">
        <v>97343</v>
      </c>
      <c r="J802" s="3">
        <v>1168116</v>
      </c>
      <c r="K802" s="2">
        <v>26259</v>
      </c>
      <c r="L802" t="s">
        <v>264</v>
      </c>
      <c r="M802" t="s">
        <v>144</v>
      </c>
      <c r="N802">
        <v>97076</v>
      </c>
      <c r="O802" t="s">
        <v>73</v>
      </c>
      <c r="P802" t="s">
        <v>124</v>
      </c>
      <c r="Q802" t="s">
        <v>160</v>
      </c>
      <c r="R802" s="2">
        <v>44237</v>
      </c>
      <c r="S802" s="1" t="s">
        <v>265</v>
      </c>
      <c r="T802">
        <v>1</v>
      </c>
      <c r="U802" t="s">
        <v>266</v>
      </c>
      <c r="V802">
        <v>1</v>
      </c>
      <c r="W802" t="s">
        <v>45</v>
      </c>
      <c r="X802">
        <v>1</v>
      </c>
      <c r="Y802" t="s">
        <v>268</v>
      </c>
      <c r="Z802">
        <v>2</v>
      </c>
      <c r="AA802" t="s">
        <v>136</v>
      </c>
      <c r="AB802">
        <v>4.0999999999999996</v>
      </c>
      <c r="AC802" t="s">
        <v>962</v>
      </c>
      <c r="AD802">
        <v>5</v>
      </c>
      <c r="AE802" s="2">
        <v>45888</v>
      </c>
      <c r="AF802">
        <v>4</v>
      </c>
      <c r="AG802">
        <v>10</v>
      </c>
    </row>
    <row r="803" spans="1:33">
      <c r="A803">
        <v>11003</v>
      </c>
      <c r="B803" t="s">
        <v>1224</v>
      </c>
      <c r="C803" t="s">
        <v>42</v>
      </c>
      <c r="D803" t="s">
        <v>56</v>
      </c>
      <c r="E803" t="s">
        <v>934</v>
      </c>
      <c r="F803" t="s">
        <v>271</v>
      </c>
      <c r="G803" t="s">
        <v>269</v>
      </c>
      <c r="H803" t="s">
        <v>272</v>
      </c>
      <c r="I803">
        <v>100442</v>
      </c>
      <c r="J803" s="3">
        <v>1205304</v>
      </c>
      <c r="K803" s="2">
        <v>26287</v>
      </c>
      <c r="L803" t="s">
        <v>264</v>
      </c>
      <c r="M803" t="s">
        <v>210</v>
      </c>
      <c r="N803">
        <v>2838</v>
      </c>
      <c r="O803" t="s">
        <v>73</v>
      </c>
      <c r="P803" t="s">
        <v>124</v>
      </c>
      <c r="Q803" t="s">
        <v>270</v>
      </c>
      <c r="R803" s="2">
        <v>44076</v>
      </c>
      <c r="S803" s="1" t="s">
        <v>35</v>
      </c>
      <c r="T803">
        <v>1</v>
      </c>
      <c r="U803" t="s">
        <v>36</v>
      </c>
      <c r="V803">
        <v>2</v>
      </c>
      <c r="W803" t="s">
        <v>87</v>
      </c>
      <c r="X803">
        <v>1</v>
      </c>
      <c r="Y803" t="s">
        <v>268</v>
      </c>
      <c r="Z803">
        <v>1</v>
      </c>
      <c r="AA803" t="s">
        <v>49</v>
      </c>
      <c r="AB803">
        <v>3.5</v>
      </c>
      <c r="AC803" t="s">
        <v>930</v>
      </c>
      <c r="AD803">
        <v>2</v>
      </c>
      <c r="AE803" s="2">
        <v>45830</v>
      </c>
      <c r="AF803">
        <v>0</v>
      </c>
      <c r="AG803">
        <v>6</v>
      </c>
    </row>
    <row r="804" spans="1:33">
      <c r="A804">
        <v>11004</v>
      </c>
      <c r="B804" t="s">
        <v>1225</v>
      </c>
      <c r="C804" t="s">
        <v>42</v>
      </c>
      <c r="D804" t="s">
        <v>42</v>
      </c>
      <c r="E804" t="s">
        <v>934</v>
      </c>
      <c r="F804" t="s">
        <v>274</v>
      </c>
      <c r="G804" t="s">
        <v>28</v>
      </c>
      <c r="H804" t="s">
        <v>275</v>
      </c>
      <c r="I804">
        <v>105863</v>
      </c>
      <c r="J804" s="3">
        <v>1270356</v>
      </c>
      <c r="K804" s="2">
        <v>34106</v>
      </c>
      <c r="L804" t="s">
        <v>51</v>
      </c>
      <c r="M804" t="s">
        <v>191</v>
      </c>
      <c r="N804">
        <v>97645</v>
      </c>
      <c r="O804" t="s">
        <v>73</v>
      </c>
      <c r="P804" t="s">
        <v>124</v>
      </c>
      <c r="Q804" t="s">
        <v>270</v>
      </c>
      <c r="R804" s="2">
        <v>44306</v>
      </c>
      <c r="S804" s="1" t="s">
        <v>35</v>
      </c>
      <c r="T804">
        <v>0</v>
      </c>
      <c r="U804" t="s">
        <v>36</v>
      </c>
      <c r="V804">
        <v>3</v>
      </c>
      <c r="W804" t="s">
        <v>45</v>
      </c>
      <c r="X804">
        <v>1</v>
      </c>
      <c r="Y804" t="s">
        <v>48</v>
      </c>
      <c r="Z804">
        <v>1</v>
      </c>
      <c r="AA804" t="s">
        <v>276</v>
      </c>
      <c r="AB804">
        <v>3.3</v>
      </c>
      <c r="AC804" t="s">
        <v>1003</v>
      </c>
      <c r="AD804">
        <v>1</v>
      </c>
      <c r="AE804" s="2">
        <v>45998</v>
      </c>
      <c r="AF804">
        <v>0</v>
      </c>
      <c r="AG804">
        <v>5</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8EC2-2A78-4A9E-BFBA-3B102FB36881}">
  <dimension ref="A1"/>
  <sheetViews>
    <sheetView showGridLines="0" view="pageBreakPreview" zoomScale="80" zoomScaleNormal="100" zoomScaleSheetLayoutView="325" workbookViewId="0">
      <selection activeCell="U32" sqref="U32"/>
    </sheetView>
  </sheetViews>
  <sheetFormatPr defaultRowHeight="14.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AD70-1B87-4E01-9687-728BE20D3673}">
  <dimension ref="C1:AM16"/>
  <sheetViews>
    <sheetView workbookViewId="0">
      <selection activeCell="D3" sqref="D3"/>
    </sheetView>
  </sheetViews>
  <sheetFormatPr defaultRowHeight="14.4"/>
  <cols>
    <col min="3" max="3" width="18.33203125" customWidth="1"/>
    <col min="4" max="4" width="11.5546875" bestFit="1" customWidth="1"/>
    <col min="7" max="12" width="15.5546875" style="58" customWidth="1"/>
    <col min="13" max="13" width="19.44140625" style="58" customWidth="1"/>
    <col min="14" max="19" width="15.5546875" style="58" customWidth="1"/>
    <col min="23" max="23" width="22.88671875" customWidth="1"/>
    <col min="24" max="24" width="10.33203125" bestFit="1" customWidth="1"/>
    <col min="25" max="25" width="12.44140625" customWidth="1"/>
    <col min="28" max="28" width="11.88671875" customWidth="1"/>
  </cols>
  <sheetData>
    <row r="1" spans="3:39" ht="15" thickBot="1"/>
    <row r="2" spans="3:39">
      <c r="C2" s="33" t="s">
        <v>1760</v>
      </c>
      <c r="D2" s="34"/>
      <c r="G2" s="59" t="s">
        <v>1770</v>
      </c>
      <c r="H2" s="59" t="s">
        <v>2</v>
      </c>
    </row>
    <row r="3" spans="3:39">
      <c r="C3" s="35" t="s">
        <v>1761</v>
      </c>
      <c r="D3" s="36">
        <f>COUNTIF(Termd,0)</f>
        <v>463</v>
      </c>
      <c r="G3" s="43">
        <v>10026</v>
      </c>
      <c r="H3" s="60" t="str">
        <f>INDEX(humanresource[#All],MATCH(G3,humanresource[[#All],[EmpID]],0),MATCH(H2,humanresource[#Headers],0))</f>
        <v>Male</v>
      </c>
    </row>
    <row r="4" spans="3:39">
      <c r="C4" s="14"/>
      <c r="D4" s="5"/>
    </row>
    <row r="5" spans="3:39" ht="15" thickBot="1">
      <c r="C5" s="35" t="s">
        <v>1763</v>
      </c>
      <c r="D5" s="36">
        <f>COUNTIF(Termd,1)</f>
        <v>340</v>
      </c>
    </row>
    <row r="6" spans="3:39" ht="28.8">
      <c r="C6" s="37" t="s">
        <v>1768</v>
      </c>
      <c r="D6" s="38">
        <f>COUNTIF(Termd,1)/COUNTA(EmpID)</f>
        <v>0.42341220423412207</v>
      </c>
      <c r="G6" s="61" t="s">
        <v>0</v>
      </c>
      <c r="H6" s="62" t="s">
        <v>924</v>
      </c>
      <c r="I6" s="62" t="s">
        <v>1</v>
      </c>
      <c r="J6" s="62" t="s">
        <v>925</v>
      </c>
      <c r="K6" s="62" t="s">
        <v>2</v>
      </c>
      <c r="L6" s="62" t="s">
        <v>19</v>
      </c>
      <c r="M6" s="62" t="s">
        <v>8</v>
      </c>
      <c r="N6" s="62" t="s">
        <v>20</v>
      </c>
      <c r="O6" s="62" t="s">
        <v>6</v>
      </c>
      <c r="P6" s="62" t="s">
        <v>27</v>
      </c>
      <c r="Q6" s="62" t="s">
        <v>11</v>
      </c>
      <c r="R6" s="62" t="s">
        <v>12</v>
      </c>
      <c r="S6" s="62" t="s">
        <v>9</v>
      </c>
      <c r="T6" s="54" t="s">
        <v>10</v>
      </c>
      <c r="U6" s="54" t="s">
        <v>14</v>
      </c>
      <c r="V6" s="54" t="s">
        <v>13</v>
      </c>
      <c r="W6" s="54" t="s">
        <v>15</v>
      </c>
      <c r="X6" s="55" t="s">
        <v>16</v>
      </c>
      <c r="Y6" s="55" t="s">
        <v>17</v>
      </c>
      <c r="Z6" s="54" t="s">
        <v>7</v>
      </c>
      <c r="AA6" s="54" t="s">
        <v>1762</v>
      </c>
      <c r="AB6" s="54" t="s">
        <v>3</v>
      </c>
      <c r="AC6" s="54" t="s">
        <v>18</v>
      </c>
      <c r="AD6" s="54" t="s">
        <v>5</v>
      </c>
      <c r="AE6" s="54" t="s">
        <v>21</v>
      </c>
      <c r="AF6" s="54" t="s">
        <v>4</v>
      </c>
      <c r="AG6" s="54" t="s">
        <v>22</v>
      </c>
      <c r="AH6" s="54" t="s">
        <v>23</v>
      </c>
      <c r="AI6" s="54" t="s">
        <v>926</v>
      </c>
      <c r="AJ6" s="54" t="s">
        <v>24</v>
      </c>
      <c r="AK6" s="54" t="s">
        <v>927</v>
      </c>
      <c r="AL6" s="54" t="s">
        <v>25</v>
      </c>
      <c r="AM6" s="56" t="s">
        <v>26</v>
      </c>
    </row>
    <row r="7" spans="3:39" ht="15" thickBot="1">
      <c r="C7" s="14"/>
      <c r="D7" s="5"/>
      <c r="G7" s="64">
        <v>10114</v>
      </c>
      <c r="H7" s="65" t="str">
        <f>VLOOKUP($G$7,humanresource[#All],MATCH('KPI''s'!H6,humanresource[#Headers],0),FALSE)</f>
        <v>Linda Bachiochi</v>
      </c>
      <c r="I7" s="65" t="str">
        <f>VLOOKUP($G$7,humanresource[#All],MATCH('KPI''s'!I6,humanresource[#Headers],0),FALSE)</f>
        <v>Single</v>
      </c>
      <c r="J7" s="65" t="str">
        <f>VLOOKUP($G$7,humanresource[#All],MATCH('KPI''s'!J6,humanresource[#Headers],0),FALSE)</f>
        <v>Single</v>
      </c>
      <c r="K7" s="65" t="str">
        <f>VLOOKUP($G$7,humanresource[#All],MATCH('KPI''s'!K6,humanresource[#Headers],0),FALSE)</f>
        <v>Female</v>
      </c>
      <c r="L7" s="65" t="str">
        <f>VLOOKUP($G$7,humanresource[#All],MATCH('KPI''s'!L6,humanresource[#Headers],0),FALSE)</f>
        <v xml:space="preserve">Production       </v>
      </c>
      <c r="M7" s="65" t="str">
        <f>VLOOKUP($G$7,humanresource[#All],MATCH('KPI''s'!M6,humanresource[#Headers],0),FALSE)</f>
        <v>Production Technician I</v>
      </c>
      <c r="N7" s="65" t="str">
        <f>VLOOKUP($G$7,humanresource[#All],MATCH('KPI''s'!N6,humanresource[#Headers],0),FALSE)</f>
        <v>Brannon Miller</v>
      </c>
      <c r="O7" s="65">
        <f>VLOOKUP($G$7,humanresource[#All],MATCH('KPI''s'!O6,humanresource[#Headers],0),FALSE)</f>
        <v>47837</v>
      </c>
      <c r="P7" s="65">
        <f>VLOOKUP($G$7,humanresource[#All],MATCH('KPI''s'!P6,humanresource[#Headers],0),FALSE)</f>
        <v>574044</v>
      </c>
      <c r="Q7" s="66">
        <f>VLOOKUP($G$7,humanresource[#All],MATCH('KPI''s'!Q6,humanresource[#Headers],0),FALSE)</f>
        <v>25610</v>
      </c>
      <c r="R7" s="65" t="str">
        <f>VLOOKUP($G$7,humanresource[#All],MATCH('KPI''s'!R6,humanresource[#Headers],0),FALSE)</f>
        <v>F</v>
      </c>
      <c r="S7" s="65" t="str">
        <f>VLOOKUP($G$7,humanresource[#All],MATCH('KPI''s'!S6,humanresource[#Headers],0),FALSE)</f>
        <v>MA</v>
      </c>
      <c r="T7" s="65">
        <f>VLOOKUP($G$7,humanresource[#All],MATCH('KPI''s'!T6,humanresource[#Headers],0),FALSE)</f>
        <v>1902</v>
      </c>
      <c r="U7" s="65" t="str">
        <f>VLOOKUP($G$7,humanresource[#All],MATCH('KPI''s'!U6,humanresource[#Headers],0),FALSE)</f>
        <v>No</v>
      </c>
      <c r="V7" s="65" t="str">
        <f>VLOOKUP($G$7,humanresource[#All],MATCH('KPI''s'!V6,humanresource[#Headers],0),FALSE)</f>
        <v>US Citizen</v>
      </c>
      <c r="W7" s="65" t="str">
        <f>VLOOKUP($G$7,humanresource[#All],MATCH('KPI''s'!W6,humanresource[#Headers],0),FALSE)</f>
        <v>Black or African American</v>
      </c>
      <c r="X7" s="67">
        <f>VLOOKUP($G$7,humanresource[#All],MATCH('KPI''s'!X6,humanresource[#Headers],0),FALSE)</f>
        <v>40000</v>
      </c>
      <c r="Y7" s="65" t="str">
        <f>VLOOKUP($G$7,humanresource[#All],MATCH('KPI''s'!Y6,humanresource[#Headers],0),FALSE)</f>
        <v>Not Terminated</v>
      </c>
      <c r="Z7" s="65">
        <f>VLOOKUP($G$7,humanresource[#All],MATCH('KPI''s'!Z6,humanresource[#Headers],0),FALSE)</f>
        <v>0</v>
      </c>
      <c r="AA7" s="65" t="str">
        <f>VLOOKUP($G$7,humanresource[#All],MATCH('KPI''s'!AA6,humanresource[#Headers],0),FALSE)</f>
        <v>Active</v>
      </c>
      <c r="AB7" s="65">
        <f>VLOOKUP($G$7,humanresource[#All],MATCH('KPI''s'!AB6,humanresource[#Headers],0),FALSE)</f>
        <v>3</v>
      </c>
      <c r="AC7" s="65" t="str">
        <f>VLOOKUP($G$7,humanresource[#All],MATCH('KPI''s'!AC6,humanresource[#Headers],0),FALSE)</f>
        <v>Active</v>
      </c>
      <c r="AD7" s="65">
        <f>VLOOKUP($G$7,humanresource[#All],MATCH('KPI''s'!AD6,humanresource[#Headers],0),FALSE)</f>
        <v>1</v>
      </c>
      <c r="AE7" s="65" t="str">
        <f>VLOOKUP($G$7,humanresource[#All],MATCH('KPI''s'!AE6,humanresource[#Headers],0),FALSE)</f>
        <v>Diversity Job Fair</v>
      </c>
      <c r="AF7" s="65">
        <f>VLOOKUP($G$7,humanresource[#All],MATCH('KPI''s'!AF6,humanresource[#Headers],0),FALSE)</f>
        <v>3</v>
      </c>
      <c r="AG7" s="65" t="str">
        <f>VLOOKUP($G$7,humanresource[#All],MATCH('KPI''s'!AG6,humanresource[#Headers],0),FALSE)</f>
        <v>Fully Meets</v>
      </c>
      <c r="AH7" s="65">
        <f>VLOOKUP($G$7,humanresource[#All],MATCH('KPI''s'!AH6,humanresource[#Headers],0),FALSE)</f>
        <v>4.46</v>
      </c>
      <c r="AI7" s="65" t="str">
        <f>VLOOKUP($G$7,humanresource[#All],MATCH('KPI''s'!AI6,humanresource[#Headers],0),FALSE)</f>
        <v>Neutral</v>
      </c>
      <c r="AJ7" s="65">
        <f>VLOOKUP($G$7,humanresource[#All],MATCH('KPI''s'!AJ6,humanresource[#Headers],0),FALSE)</f>
        <v>0</v>
      </c>
      <c r="AK7" s="65">
        <f>VLOOKUP($G$7,humanresource[#All],MATCH('KPI''s'!AK6,humanresource[#Headers],0),FALSE)</f>
        <v>43490</v>
      </c>
      <c r="AL7" s="65">
        <f>VLOOKUP($G$7,humanresource[#All],MATCH('KPI''s'!AL6,humanresource[#Headers],0),FALSE)</f>
        <v>0</v>
      </c>
      <c r="AM7" s="68">
        <f>VLOOKUP($G$7,humanresource[#All],MATCH('KPI''s'!AM6,humanresource[#Headers],0),FALSE)</f>
        <v>4</v>
      </c>
    </row>
    <row r="8" spans="3:39" ht="28.8">
      <c r="C8" s="39" t="s">
        <v>1764</v>
      </c>
      <c r="D8" s="36">
        <f>AVERAGE(PerfScoreID)</f>
        <v>2.6787048567870486</v>
      </c>
    </row>
    <row r="9" spans="3:39">
      <c r="C9" s="31"/>
      <c r="D9" s="5"/>
      <c r="H9" s="58">
        <f>MATCH(H6,humanresource[#Headers],0)</f>
        <v>2</v>
      </c>
      <c r="I9" s="58">
        <f>MATCH(I6,humanresource[#Headers],0)</f>
        <v>3</v>
      </c>
      <c r="J9" s="58">
        <f>MATCH(J6,humanresource[#Headers],0)</f>
        <v>4</v>
      </c>
      <c r="K9" s="58">
        <f>MATCH(K6,humanresource[#Headers],0)</f>
        <v>5</v>
      </c>
      <c r="L9" s="58">
        <f>MATCH(L6,humanresource[#Headers],0)</f>
        <v>6</v>
      </c>
      <c r="M9" s="58">
        <f>MATCH(M6,humanresource[#Headers],0)</f>
        <v>7</v>
      </c>
      <c r="N9" s="58">
        <f>MATCH(N6,humanresource[#Headers],0)</f>
        <v>8</v>
      </c>
      <c r="O9" s="58">
        <f>MATCH(O6,humanresource[#Headers],0)</f>
        <v>9</v>
      </c>
      <c r="P9" s="58">
        <f>MATCH(P6,humanresource[#Headers],0)</f>
        <v>10</v>
      </c>
    </row>
    <row r="10" spans="3:39" ht="29.4" thickBot="1">
      <c r="C10" s="39" t="s">
        <v>1765</v>
      </c>
      <c r="D10" s="40">
        <f>AVERAGE(EngagementSurvey)</f>
        <v>3.8828891656288924</v>
      </c>
    </row>
    <row r="11" spans="3:39">
      <c r="C11" s="31"/>
      <c r="D11" s="32"/>
      <c r="G11" s="61" t="s">
        <v>0</v>
      </c>
      <c r="H11" s="62" t="s">
        <v>924</v>
      </c>
      <c r="I11" s="62" t="s">
        <v>2</v>
      </c>
      <c r="J11" s="62" t="s">
        <v>19</v>
      </c>
      <c r="K11" s="62" t="s">
        <v>8</v>
      </c>
      <c r="L11" s="62" t="s">
        <v>20</v>
      </c>
      <c r="M11" s="62" t="s">
        <v>6</v>
      </c>
      <c r="N11" s="62" t="s">
        <v>27</v>
      </c>
      <c r="O11" s="62" t="s">
        <v>1762</v>
      </c>
      <c r="P11" s="62" t="s">
        <v>4</v>
      </c>
      <c r="Q11" s="62" t="s">
        <v>23</v>
      </c>
      <c r="R11" s="62" t="s">
        <v>24</v>
      </c>
      <c r="S11" s="63" t="s">
        <v>26</v>
      </c>
    </row>
    <row r="12" spans="3:39" ht="15" thickBot="1">
      <c r="C12" s="35" t="s">
        <v>1766</v>
      </c>
      <c r="D12" s="40">
        <f>AVERAGE(Leaves)</f>
        <v>7.0635118306351181</v>
      </c>
      <c r="G12" s="57">
        <v>10499</v>
      </c>
      <c r="H12" s="58" t="str">
        <f>VLOOKUP($G$12,humanresource[#All],MATCH(H11,humanresource[#Headers],0),FALSE)</f>
        <v xml:space="preserve"> Jennifer Black</v>
      </c>
      <c r="I12" s="58" t="str">
        <f>VLOOKUP($G$12,humanresource[#All],MATCH(I11,humanresource[#Headers],0),FALSE)</f>
        <v>Male</v>
      </c>
      <c r="J12" s="58" t="str">
        <f>VLOOKUP($G$12,humanresource[#All],MATCH(J11,humanresource[#Headers],0),FALSE)</f>
        <v>HR</v>
      </c>
      <c r="K12" s="58" t="str">
        <f>VLOOKUP($G$12,humanresource[#All],MATCH(K11,humanresource[#Headers],0),FALSE)</f>
        <v>Production Technician I</v>
      </c>
      <c r="L12" s="58" t="str">
        <f>VLOOKUP($G$12,humanresource[#All],MATCH(L11,humanresource[#Headers],0),FALSE)</f>
        <v>Jessica Burton</v>
      </c>
      <c r="M12" s="58">
        <f>VLOOKUP($G$12,humanresource[#All],MATCH(M11,humanresource[#Headers],0),FALSE)</f>
        <v>88538</v>
      </c>
      <c r="N12" s="58">
        <f>VLOOKUP($G$12,humanresource[#All],MATCH(N11,humanresource[#Headers],0),FALSE)</f>
        <v>1062456</v>
      </c>
      <c r="O12" s="58" t="str">
        <f>VLOOKUP($G$12,humanresource[#All],MATCH(O11,humanresource[#Headers],0),FALSE)</f>
        <v>Active</v>
      </c>
      <c r="P12" s="58">
        <f>VLOOKUP($G$12,humanresource[#All],MATCH(P11,humanresource[#Headers],0),FALSE)</f>
        <v>2</v>
      </c>
      <c r="Q12" s="58">
        <f>VLOOKUP($G$12,humanresource[#All],MATCH(Q11,humanresource[#Headers],0),FALSE)</f>
        <v>4.0999999999999996</v>
      </c>
      <c r="R12" s="58">
        <f>VLOOKUP($G$12,humanresource[#All],MATCH(R11,humanresource[#Headers],0),FALSE)</f>
        <v>2</v>
      </c>
      <c r="S12" s="58">
        <f>VLOOKUP($G$12,humanresource[#All],MATCH(S11,humanresource[#Headers],0),FALSE)</f>
        <v>4</v>
      </c>
    </row>
    <row r="13" spans="3:39">
      <c r="C13" s="14"/>
      <c r="D13" s="32"/>
    </row>
    <row r="14" spans="3:39">
      <c r="C14" s="35" t="s">
        <v>1767</v>
      </c>
      <c r="D14" s="40">
        <f>AVERAGE(Salary)</f>
        <v>72513.534246575349</v>
      </c>
    </row>
    <row r="15" spans="3:39">
      <c r="C15" s="14"/>
      <c r="D15" s="5"/>
    </row>
    <row r="16" spans="3:39" ht="29.4" thickBot="1">
      <c r="C16" s="41" t="s">
        <v>1769</v>
      </c>
      <c r="D16" s="42">
        <f>COUNTIFS(humanresource[DateofHire],"&gt;=01-01-2025",humanresource[DateofHire],"&lt;=31-12-2025")</f>
        <v>42</v>
      </c>
    </row>
  </sheetData>
  <dataValidations count="1">
    <dataValidation type="list" allowBlank="1" showInputMessage="1" showErrorMessage="1" sqref="G3 G7 G12" xr:uid="{A07CD19E-CF6A-4758-9085-55E7469BAD5A}">
      <formula1>EmpID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9D161AA-AC3E-411D-8CC3-FAA90EB3655B}">
          <x14:formula1>
            <xm:f>humanresource!$B$1:$AG$1</xm:f>
          </x14:formula1>
          <xm:sqref>H2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40E1B5-69DB-4A87-96E3-BEE436A1CF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33</vt:i4>
      </vt:variant>
    </vt:vector>
  </HeadingPairs>
  <TitlesOfParts>
    <vt:vector size="37" baseType="lpstr">
      <vt:lpstr>PivotField</vt:lpstr>
      <vt:lpstr>humanresource</vt:lpstr>
      <vt:lpstr>Dashboard</vt:lpstr>
      <vt:lpstr>KPI's</vt:lpstr>
      <vt:lpstr>AnnualSalary</vt:lpstr>
      <vt:lpstr>CitizenDesc</vt:lpstr>
      <vt:lpstr>DateofHire</vt:lpstr>
      <vt:lpstr>DateofTermination</vt:lpstr>
      <vt:lpstr>Department</vt:lpstr>
      <vt:lpstr>DOB</vt:lpstr>
      <vt:lpstr>EmpID</vt:lpstr>
      <vt:lpstr>EmployeeName</vt:lpstr>
      <vt:lpstr>EmployeSatisfaction</vt:lpstr>
      <vt:lpstr>EmploymentStatus</vt:lpstr>
      <vt:lpstr>EmpStatusID</vt:lpstr>
      <vt:lpstr>EngagementSurvey</vt:lpstr>
      <vt:lpstr>FromDiversityJobFairID</vt:lpstr>
      <vt:lpstr>GenderID</vt:lpstr>
      <vt:lpstr>HispanicLatino</vt:lpstr>
      <vt:lpstr>HR_DATA</vt:lpstr>
      <vt:lpstr>LastPerformanceReview</vt:lpstr>
      <vt:lpstr>LateDaysLast30</vt:lpstr>
      <vt:lpstr>Leaves</vt:lpstr>
      <vt:lpstr>ManagerName</vt:lpstr>
      <vt:lpstr>MaritialStatus</vt:lpstr>
      <vt:lpstr>MarriedID</vt:lpstr>
      <vt:lpstr>PerformanceScore</vt:lpstr>
      <vt:lpstr>PerfScoreID</vt:lpstr>
      <vt:lpstr>Position</vt:lpstr>
      <vt:lpstr>RaceDescription</vt:lpstr>
      <vt:lpstr>RecruitmentSource</vt:lpstr>
      <vt:lpstr>Salary</vt:lpstr>
      <vt:lpstr>Sex</vt:lpstr>
      <vt:lpstr>SpecialProjects</vt:lpstr>
      <vt:lpstr>State</vt:lpstr>
      <vt:lpstr>Termd</vt:lpstr>
      <vt:lpstr>Zip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Kapare</dc:creator>
  <cp:lastModifiedBy>Prathamesh Kapare</cp:lastModifiedBy>
  <dcterms:created xsi:type="dcterms:W3CDTF">2025-11-04T14:27:15Z</dcterms:created>
  <dcterms:modified xsi:type="dcterms:W3CDTF">2025-11-05T08:52:14Z</dcterms:modified>
</cp:coreProperties>
</file>